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0" windowWidth="14805" windowHeight="7965"/>
  </bookViews>
  <sheets>
    <sheet name="Script" sheetId="2" r:id="rId1"/>
    <sheet name="ReelTable" sheetId="1" r:id="rId2"/>
    <sheet name="PayLine" sheetId="4" r:id="rId3"/>
    <sheet name="Ref" sheetId="5" r:id="rId4"/>
  </sheets>
  <functionGroups/>
  <definedNames>
    <definedName name="Reel1">ReelTable!#REF!</definedName>
    <definedName name="Reel2">ReelTable!#REF!</definedName>
    <definedName name="Reel3">ReelTable!#REF!</definedName>
    <definedName name="Reel4">ReelTable!#REF!</definedName>
    <definedName name="Reel5">ReelTable!#REF!</definedName>
    <definedName name="Symbol">ReelTable!#REF!</definedName>
  </definedNames>
  <calcPr calcId="125725"/>
</workbook>
</file>

<file path=xl/calcChain.xml><?xml version="1.0" encoding="utf-8"?>
<calcChain xmlns="http://schemas.openxmlformats.org/spreadsheetml/2006/main">
  <c r="F60" i="2"/>
  <c r="F59"/>
  <c r="F10"/>
  <c r="T21" i="1"/>
  <c r="U21"/>
  <c r="V21"/>
  <c r="T22"/>
  <c r="U22"/>
  <c r="V22"/>
  <c r="T23"/>
  <c r="U23"/>
  <c r="V23"/>
  <c r="T24"/>
  <c r="U24"/>
  <c r="V24"/>
  <c r="T25"/>
  <c r="U25"/>
  <c r="V25"/>
  <c r="T26"/>
  <c r="U26"/>
  <c r="V26"/>
  <c r="V20"/>
  <c r="U20"/>
  <c r="T20"/>
  <c r="V19"/>
  <c r="U19"/>
  <c r="T19"/>
  <c r="V18"/>
  <c r="U18"/>
  <c r="T18"/>
  <c r="V17"/>
  <c r="U17"/>
  <c r="T17"/>
  <c r="V16"/>
  <c r="U16"/>
  <c r="T16"/>
  <c r="V15"/>
  <c r="U15"/>
  <c r="T15"/>
  <c r="V14"/>
  <c r="U14"/>
  <c r="T14"/>
  <c r="V13"/>
  <c r="U13"/>
  <c r="T13"/>
  <c r="V12"/>
  <c r="U12"/>
  <c r="T12"/>
  <c r="V11"/>
  <c r="U11"/>
  <c r="T11"/>
  <c r="V10"/>
  <c r="U10"/>
  <c r="T10"/>
  <c r="V9"/>
  <c r="U9"/>
  <c r="T9"/>
  <c r="V8"/>
  <c r="U8"/>
  <c r="T8"/>
  <c r="V7"/>
  <c r="U7"/>
  <c r="T7"/>
  <c r="V6"/>
  <c r="U6"/>
  <c r="T6"/>
  <c r="V5"/>
  <c r="U5"/>
  <c r="T5"/>
  <c r="V4"/>
  <c r="U4"/>
  <c r="T4"/>
  <c r="V3"/>
  <c r="U3"/>
  <c r="T3"/>
  <c r="F2" i="2"/>
  <c r="F5"/>
  <c r="F9"/>
  <c r="F14"/>
  <c r="F18"/>
  <c r="F22"/>
  <c r="F26"/>
  <c r="F30"/>
  <c r="F34"/>
  <c r="F38"/>
  <c r="F42"/>
  <c r="F46"/>
  <c r="F50"/>
  <c r="F54"/>
  <c r="F3"/>
  <c r="F36"/>
  <c r="F44"/>
  <c r="F6"/>
  <c r="F19"/>
  <c r="F27"/>
  <c r="F35"/>
  <c r="F43"/>
  <c r="F47"/>
  <c r="F4"/>
  <c r="F8"/>
  <c r="F13"/>
  <c r="F17"/>
  <c r="F21"/>
  <c r="F25"/>
  <c r="F29"/>
  <c r="F33"/>
  <c r="F37"/>
  <c r="F41"/>
  <c r="F45"/>
  <c r="F49"/>
  <c r="F53"/>
  <c r="F7"/>
  <c r="F12"/>
  <c r="F16"/>
  <c r="F20"/>
  <c r="F24"/>
  <c r="F32"/>
  <c r="F40"/>
  <c r="F48"/>
  <c r="F52"/>
  <c r="F11"/>
  <c r="F15"/>
  <c r="F23"/>
  <c r="F31"/>
  <c r="F39"/>
  <c r="F51"/>
  <c r="F55"/>
  <c r="F28"/>
  <c r="F58"/>
  <c r="J26" l="1"/>
  <c r="J27"/>
  <c r="J28"/>
  <c r="J29"/>
  <c r="J25"/>
  <c r="H21" l="1"/>
  <c r="G12"/>
  <c r="G11"/>
  <c r="I12"/>
  <c r="H12"/>
  <c r="I11"/>
  <c r="H11"/>
  <c r="I10"/>
  <c r="H10"/>
  <c r="G10"/>
  <c r="I16" l="1"/>
  <c r="H16"/>
  <c r="G16"/>
  <c r="I15"/>
  <c r="H15"/>
  <c r="G15"/>
  <c r="I14"/>
  <c r="H14"/>
  <c r="G14"/>
  <c r="N4" i="1"/>
  <c r="O4"/>
  <c r="P4"/>
  <c r="N5"/>
  <c r="O5"/>
  <c r="P5"/>
  <c r="N6"/>
  <c r="O6"/>
  <c r="P6"/>
  <c r="N7"/>
  <c r="O7"/>
  <c r="P7"/>
  <c r="N8"/>
  <c r="O8"/>
  <c r="P8"/>
  <c r="N9"/>
  <c r="O9"/>
  <c r="P9"/>
  <c r="N10"/>
  <c r="O10"/>
  <c r="P10"/>
  <c r="N11"/>
  <c r="O11"/>
  <c r="P11"/>
  <c r="N12"/>
  <c r="O12"/>
  <c r="P12"/>
  <c r="N13"/>
  <c r="O13"/>
  <c r="P13"/>
  <c r="N14"/>
  <c r="O14"/>
  <c r="P14"/>
  <c r="N15"/>
  <c r="O15"/>
  <c r="P15"/>
  <c r="N16"/>
  <c r="O16"/>
  <c r="P16"/>
  <c r="N17"/>
  <c r="O17"/>
  <c r="P17"/>
  <c r="N18"/>
  <c r="O18"/>
  <c r="P18"/>
  <c r="N19"/>
  <c r="O19"/>
  <c r="P19"/>
  <c r="N20"/>
  <c r="O20"/>
  <c r="P20"/>
  <c r="N21"/>
  <c r="O21"/>
  <c r="P21"/>
  <c r="N22"/>
  <c r="O22"/>
  <c r="P22"/>
  <c r="N23"/>
  <c r="O23"/>
  <c r="P23"/>
  <c r="N24"/>
  <c r="O24"/>
  <c r="P24"/>
  <c r="N25"/>
  <c r="O25"/>
  <c r="P25"/>
  <c r="N26"/>
  <c r="O26"/>
  <c r="P26"/>
  <c r="N27"/>
  <c r="O27"/>
  <c r="P27"/>
  <c r="N28"/>
  <c r="O28"/>
  <c r="P28"/>
  <c r="O3"/>
  <c r="P3"/>
  <c r="N3"/>
  <c r="H19" i="2"/>
  <c r="H23"/>
  <c r="H20"/>
</calcChain>
</file>

<file path=xl/sharedStrings.xml><?xml version="1.0" encoding="utf-8"?>
<sst xmlns="http://schemas.openxmlformats.org/spreadsheetml/2006/main" count="213" uniqueCount="186">
  <si>
    <t>#</t>
  </si>
  <si>
    <t>R1</t>
  </si>
  <si>
    <t>R2</t>
  </si>
  <si>
    <t>R3</t>
  </si>
  <si>
    <t>LineNo</t>
    <phoneticPr fontId="3" type="noConversion"/>
  </si>
  <si>
    <t>Reel1Pos</t>
    <phoneticPr fontId="3" type="noConversion"/>
  </si>
  <si>
    <t>Reel2Pos</t>
  </si>
  <si>
    <t>Reel3Pos</t>
  </si>
  <si>
    <t>PayLines</t>
    <phoneticPr fontId="3" type="noConversion"/>
  </si>
  <si>
    <t>總贏倍數</t>
  </si>
  <si>
    <t>巨集抓參數位置</t>
    <phoneticPr fontId="3" type="noConversion"/>
  </si>
  <si>
    <t>說明</t>
    <phoneticPr fontId="3" type="noConversion"/>
  </si>
  <si>
    <t>位置(BaseGame)</t>
    <phoneticPr fontId="3" type="noConversion"/>
  </si>
  <si>
    <t>贏線位置表</t>
  </si>
  <si>
    <t>圖像贏分表</t>
  </si>
  <si>
    <t>旋轉結果字串</t>
  </si>
  <si>
    <t>寫入贏分詳細的起始儲存格位置(列)</t>
  </si>
  <si>
    <t>寫入贏分詳細的起始儲存格位置(欄)</t>
  </si>
  <si>
    <t>清空贏分詳細的儲存格</t>
  </si>
  <si>
    <t>更動這範圍內資料會重算贏分</t>
  </si>
  <si>
    <t>輸入RNG腳本字串</t>
  </si>
  <si>
    <t>G4</t>
  </si>
  <si>
    <t>分割符號</t>
  </si>
  <si>
    <t>輪帶表Reel1</t>
  </si>
  <si>
    <t>輪帶表Reel2</t>
  </si>
  <si>
    <t>輪帶表Reel3</t>
  </si>
  <si>
    <t>輪帶表Reel1初始輪帶編號數量</t>
  </si>
  <si>
    <t>輪帶表Reel2初始輪帶編號數量</t>
  </si>
  <si>
    <t>RNG腳本</t>
  </si>
  <si>
    <t>,</t>
  </si>
  <si>
    <t>旋轉結果</t>
  </si>
  <si>
    <t>輪帶表Reel3初始輪帶編號數量</t>
    <phoneticPr fontId="3" type="noConversion"/>
  </si>
  <si>
    <t>軸1</t>
    <phoneticPr fontId="3" type="noConversion"/>
  </si>
  <si>
    <t>軸2</t>
  </si>
  <si>
    <t>軸3</t>
  </si>
  <si>
    <t>結果</t>
    <phoneticPr fontId="3" type="noConversion"/>
  </si>
  <si>
    <t>程式編碼</t>
  </si>
  <si>
    <t>名稱</t>
    <phoneticPr fontId="3" type="noConversion"/>
  </si>
  <si>
    <t>賠率表</t>
    <phoneticPr fontId="3" type="noConversion"/>
  </si>
  <si>
    <t>SN</t>
  </si>
  <si>
    <t>模擬器</t>
    <phoneticPr fontId="3" type="noConversion"/>
  </si>
  <si>
    <t>G5:I5</t>
    <phoneticPr fontId="3" type="noConversion"/>
  </si>
  <si>
    <t>H22</t>
    <phoneticPr fontId="3" type="noConversion"/>
  </si>
  <si>
    <t>泰山</t>
    <phoneticPr fontId="3" type="noConversion"/>
  </si>
  <si>
    <t>丹丹</t>
    <phoneticPr fontId="3" type="noConversion"/>
  </si>
  <si>
    <t>托托</t>
    <phoneticPr fontId="3" type="noConversion"/>
  </si>
  <si>
    <t>獵槍</t>
    <phoneticPr fontId="3" type="noConversion"/>
  </si>
  <si>
    <t>叢林帽</t>
    <phoneticPr fontId="3" type="noConversion"/>
  </si>
  <si>
    <t>2BAR</t>
    <phoneticPr fontId="3" type="noConversion"/>
  </si>
  <si>
    <t>1BAR</t>
    <phoneticPr fontId="3" type="noConversion"/>
  </si>
  <si>
    <t>Line1</t>
    <phoneticPr fontId="3" type="noConversion"/>
  </si>
  <si>
    <t>BaseGame</t>
    <phoneticPr fontId="3" type="noConversion"/>
  </si>
  <si>
    <t>Line2</t>
    <phoneticPr fontId="3" type="noConversion"/>
  </si>
  <si>
    <t>Line3</t>
    <phoneticPr fontId="3" type="noConversion"/>
  </si>
  <si>
    <t>Line4</t>
    <phoneticPr fontId="3" type="noConversion"/>
  </si>
  <si>
    <t>Line5</t>
    <phoneticPr fontId="3" type="noConversion"/>
  </si>
  <si>
    <t>C2:E9</t>
    <phoneticPr fontId="3" type="noConversion"/>
  </si>
  <si>
    <t>百搭</t>
    <phoneticPr fontId="3" type="noConversion"/>
  </si>
  <si>
    <t>全泰山</t>
    <phoneticPr fontId="3" type="noConversion"/>
  </si>
  <si>
    <t>B3:D7</t>
    <phoneticPr fontId="3" type="noConversion"/>
  </si>
  <si>
    <t>第幾線</t>
    <phoneticPr fontId="3" type="noConversion"/>
  </si>
  <si>
    <t>圖像ID</t>
    <phoneticPr fontId="3" type="noConversion"/>
  </si>
  <si>
    <t>贏分</t>
    <phoneticPr fontId="3" type="noConversion"/>
  </si>
  <si>
    <t>圖像</t>
    <phoneticPr fontId="3" type="noConversion"/>
  </si>
  <si>
    <t>贏得線數</t>
  </si>
  <si>
    <t>編號</t>
    <phoneticPr fontId="3" type="noConversion"/>
  </si>
  <si>
    <t>描述</t>
    <phoneticPr fontId="3" type="noConversion"/>
  </si>
  <si>
    <t>RNG腳本</t>
    <phoneticPr fontId="3" type="noConversion"/>
  </si>
  <si>
    <t>贏分</t>
    <phoneticPr fontId="3" type="noConversion"/>
  </si>
  <si>
    <t>贏線數</t>
    <phoneticPr fontId="3" type="noConversion"/>
  </si>
  <si>
    <t>※贏分是以每線下注1元為基礎計算(也就是1*5線=共下注5元)</t>
    <phoneticPr fontId="3" type="noConversion"/>
  </si>
  <si>
    <t>K3:K26</t>
    <phoneticPr fontId="3" type="noConversion"/>
  </si>
  <si>
    <t>L3:L26</t>
    <phoneticPr fontId="3" type="noConversion"/>
  </si>
  <si>
    <t>M3:M26</t>
    <phoneticPr fontId="3" type="noConversion"/>
  </si>
  <si>
    <t>G25:I29</t>
    <phoneticPr fontId="3" type="noConversion"/>
  </si>
  <si>
    <t>G14:I16</t>
    <phoneticPr fontId="3" type="noConversion"/>
  </si>
  <si>
    <t>G6</t>
  </si>
  <si>
    <t>是否要顯示所有線</t>
  </si>
  <si>
    <t>H23</t>
    <phoneticPr fontId="3" type="noConversion"/>
  </si>
  <si>
    <t>20,20,20</t>
  </si>
  <si>
    <t>15,17,16</t>
  </si>
  <si>
    <t>3BAR</t>
    <phoneticPr fontId="3" type="noConversion"/>
  </si>
  <si>
    <t>顯示贏線圖案範圍(圖像)</t>
    <phoneticPr fontId="3" type="noConversion"/>
  </si>
  <si>
    <t>顯示贏線圖案範圍起始位置(列)</t>
    <phoneticPr fontId="3" type="noConversion"/>
  </si>
  <si>
    <t>顯示贏線圖案範圍起始位置(欄)</t>
    <phoneticPr fontId="3" type="noConversion"/>
  </si>
  <si>
    <t>G25:G29</t>
    <phoneticPr fontId="3" type="noConversion"/>
  </si>
  <si>
    <t>點擊顯示贏線圖案範圍</t>
    <phoneticPr fontId="3" type="noConversion"/>
  </si>
  <si>
    <t>2,2,2</t>
  </si>
  <si>
    <t>3,3,3</t>
  </si>
  <si>
    <t>丹丹x5</t>
    <phoneticPr fontId="3" type="noConversion"/>
  </si>
  <si>
    <t>丹丹x2+泰山x1</t>
    <phoneticPr fontId="3" type="noConversion"/>
  </si>
  <si>
    <t>丹丹x1+泰山x2</t>
    <phoneticPr fontId="3" type="noConversion"/>
  </si>
  <si>
    <t>5,5,5</t>
  </si>
  <si>
    <t>丹丹x2</t>
    <phoneticPr fontId="3" type="noConversion"/>
  </si>
  <si>
    <t>丹丹x1</t>
    <phoneticPr fontId="3" type="noConversion"/>
  </si>
  <si>
    <t>3,5,4</t>
  </si>
  <si>
    <t>4,5,3</t>
  </si>
  <si>
    <t>9,9,9</t>
  </si>
  <si>
    <t>托托x5</t>
    <phoneticPr fontId="3" type="noConversion"/>
  </si>
  <si>
    <t>10,10,10</t>
  </si>
  <si>
    <t>托托x2+叢林帽x1</t>
    <phoneticPr fontId="3" type="noConversion"/>
  </si>
  <si>
    <t>11,11,11</t>
  </si>
  <si>
    <t>托托x1+叢林帽x2</t>
    <phoneticPr fontId="3" type="noConversion"/>
  </si>
  <si>
    <t>9,10,11</t>
  </si>
  <si>
    <t>托托x2</t>
    <phoneticPr fontId="3" type="noConversion"/>
  </si>
  <si>
    <t>托托x1</t>
    <phoneticPr fontId="3" type="noConversion"/>
  </si>
  <si>
    <t>11,9,10</t>
  </si>
  <si>
    <t>3,4,5</t>
    <phoneticPr fontId="3" type="noConversion"/>
  </si>
  <si>
    <t>11,10,9</t>
    <phoneticPr fontId="3" type="noConversion"/>
  </si>
  <si>
    <t>5,4,3</t>
  </si>
  <si>
    <t>9,11,10</t>
  </si>
  <si>
    <t>10,11,9</t>
  </si>
  <si>
    <t>0,0,0</t>
  </si>
  <si>
    <t>獵槍x5</t>
    <phoneticPr fontId="3" type="noConversion"/>
  </si>
  <si>
    <t>1,1,1</t>
  </si>
  <si>
    <t>獵槍x2+丹丹x1</t>
    <phoneticPr fontId="3" type="noConversion"/>
  </si>
  <si>
    <t>獵槍x1+丹丹x2</t>
    <phoneticPr fontId="3" type="noConversion"/>
  </si>
  <si>
    <t>0,1,2</t>
  </si>
  <si>
    <t>獵槍x2</t>
    <phoneticPr fontId="3" type="noConversion"/>
  </si>
  <si>
    <t>2,1,0</t>
  </si>
  <si>
    <t>2,0,1</t>
  </si>
  <si>
    <t>獵槍x1</t>
    <phoneticPr fontId="3" type="noConversion"/>
  </si>
  <si>
    <t>0,2,1</t>
  </si>
  <si>
    <t>1,2,0</t>
  </si>
  <si>
    <t>12,12,12</t>
  </si>
  <si>
    <t>叢林帽x5</t>
    <phoneticPr fontId="3" type="noConversion"/>
  </si>
  <si>
    <t>13,13,13</t>
  </si>
  <si>
    <t>叢林帽x2+2BARx1</t>
    <phoneticPr fontId="3" type="noConversion"/>
  </si>
  <si>
    <t>14,14,14</t>
  </si>
  <si>
    <t>叢林帽x1+2BARx2</t>
    <phoneticPr fontId="3" type="noConversion"/>
  </si>
  <si>
    <t>12,13,14</t>
  </si>
  <si>
    <t>叢林帽x2</t>
    <phoneticPr fontId="3" type="noConversion"/>
  </si>
  <si>
    <t>14,13,12</t>
  </si>
  <si>
    <t>14,12,13</t>
  </si>
  <si>
    <t>叢林帽x1</t>
    <phoneticPr fontId="3" type="noConversion"/>
  </si>
  <si>
    <t>12,14,13</t>
  </si>
  <si>
    <t>13,14,12</t>
  </si>
  <si>
    <t>21,21,21</t>
  </si>
  <si>
    <t>3BARx5</t>
    <phoneticPr fontId="3" type="noConversion"/>
  </si>
  <si>
    <t>3BARx2+獵槍x1</t>
    <phoneticPr fontId="3" type="noConversion"/>
  </si>
  <si>
    <t>22,22,22</t>
  </si>
  <si>
    <t>23,23,23</t>
  </si>
  <si>
    <t>3BARx1+獵槍x2</t>
    <phoneticPr fontId="3" type="noConversion"/>
  </si>
  <si>
    <t>3BARx2</t>
    <phoneticPr fontId="3" type="noConversion"/>
  </si>
  <si>
    <t>21,22,23</t>
  </si>
  <si>
    <t>23,22,21</t>
  </si>
  <si>
    <t>21,23,22</t>
  </si>
  <si>
    <t>3BARx1</t>
    <phoneticPr fontId="3" type="noConversion"/>
  </si>
  <si>
    <t>22,23,21</t>
  </si>
  <si>
    <t>15,15,15</t>
  </si>
  <si>
    <t>2BARx5</t>
    <phoneticPr fontId="3" type="noConversion"/>
  </si>
  <si>
    <t>16,16,16</t>
  </si>
  <si>
    <t>2BARx2</t>
    <phoneticPr fontId="3" type="noConversion"/>
  </si>
  <si>
    <t>2BARx2+1BARx1</t>
    <phoneticPr fontId="3" type="noConversion"/>
  </si>
  <si>
    <t>17,17,17</t>
  </si>
  <si>
    <t>2BARx1+1BARx2</t>
    <phoneticPr fontId="3" type="noConversion"/>
  </si>
  <si>
    <t>15,16,17</t>
  </si>
  <si>
    <t>17,16,15</t>
  </si>
  <si>
    <t>17,15,16</t>
  </si>
  <si>
    <t>2BARx1</t>
    <phoneticPr fontId="3" type="noConversion"/>
  </si>
  <si>
    <t>16,17,15</t>
  </si>
  <si>
    <t>1BARx5</t>
    <phoneticPr fontId="3" type="noConversion"/>
  </si>
  <si>
    <t>18,18,18</t>
  </si>
  <si>
    <t>19,19,19</t>
  </si>
  <si>
    <t>3BARx1+1BARx2</t>
    <phoneticPr fontId="3" type="noConversion"/>
  </si>
  <si>
    <t>3BARx2+1BARx1</t>
    <phoneticPr fontId="3" type="noConversion"/>
  </si>
  <si>
    <t>18,19,20</t>
  </si>
  <si>
    <t>1BARx2</t>
    <phoneticPr fontId="3" type="noConversion"/>
  </si>
  <si>
    <t>20,19,18</t>
  </si>
  <si>
    <t>20,18,19</t>
  </si>
  <si>
    <t>1BARx1</t>
    <phoneticPr fontId="3" type="noConversion"/>
  </si>
  <si>
    <t>18,20,19</t>
  </si>
  <si>
    <t>19,20,18</t>
  </si>
  <si>
    <t>4,4,4</t>
    <phoneticPr fontId="3" type="noConversion"/>
  </si>
  <si>
    <t>Reel權重加總表</t>
    <phoneticPr fontId="3" type="noConversion"/>
  </si>
  <si>
    <t>Weights</t>
    <phoneticPr fontId="3" type="noConversion"/>
  </si>
  <si>
    <t>R1Sum</t>
    <phoneticPr fontId="3" type="noConversion"/>
  </si>
  <si>
    <t>R2Sum</t>
  </si>
  <si>
    <t>R3Sum</t>
  </si>
  <si>
    <t>T3:V26</t>
    <phoneticPr fontId="3" type="noConversion"/>
  </si>
  <si>
    <t>輪帶編號</t>
    <phoneticPr fontId="3" type="noConversion"/>
  </si>
  <si>
    <t>2,6,15</t>
  </si>
  <si>
    <t>軸2泰山</t>
    <phoneticPr fontId="3" type="noConversion"/>
  </si>
  <si>
    <t>14,3,0</t>
  </si>
  <si>
    <t>沒中獎</t>
    <phoneticPr fontId="3" type="noConversion"/>
  </si>
  <si>
    <t>2,3,0</t>
  </si>
</sst>
</file>

<file path=xl/styles.xml><?xml version="1.0" encoding="utf-8"?>
<styleSheet xmlns="http://schemas.openxmlformats.org/spreadsheetml/2006/main">
  <fonts count="21">
    <font>
      <sz val="12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rgb="FFFF0000"/>
      <name val="新細明體"/>
      <family val="2"/>
      <scheme val="minor"/>
    </font>
    <font>
      <sz val="12"/>
      <color theme="1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2"/>
      <color rgb="FFFF0000"/>
      <name val="新細明體"/>
      <family val="1"/>
      <charset val="136"/>
    </font>
    <font>
      <b/>
      <sz val="14"/>
      <color theme="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sz val="14"/>
      <color rgb="FF000000"/>
      <name val="PMingLiu"/>
      <family val="1"/>
      <charset val="136"/>
    </font>
    <font>
      <b/>
      <sz val="12"/>
      <color theme="0"/>
      <name val="新細明體"/>
      <family val="2"/>
      <scheme val="minor"/>
    </font>
    <font>
      <b/>
      <sz val="12"/>
      <color rgb="FFFFFFFF"/>
      <name val="Arial"/>
      <family val="2"/>
    </font>
    <font>
      <b/>
      <sz val="12"/>
      <color rgb="FFFFFFFF"/>
      <name val="細明體"/>
      <family val="3"/>
      <charset val="136"/>
    </font>
    <font>
      <sz val="10"/>
      <color theme="1"/>
      <name val="Courier New"/>
      <family val="3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DC969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5" fillId="2" borderId="1" xfId="0" applyFont="1" applyFill="1" applyBorder="1"/>
    <xf numFmtId="0" fontId="0" fillId="0" borderId="1" xfId="0" applyBorder="1" applyAlignment="1">
      <alignment horizontal="left"/>
    </xf>
    <xf numFmtId="0" fontId="7" fillId="0" borderId="0" xfId="0" applyFont="1"/>
    <xf numFmtId="0" fontId="7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7" fillId="0" borderId="0" xfId="0" applyFont="1" applyBorder="1"/>
    <xf numFmtId="0" fontId="7" fillId="0" borderId="0" xfId="0" applyFont="1" applyBorder="1" applyAlignment="1"/>
    <xf numFmtId="0" fontId="1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9" fillId="0" borderId="0" xfId="0" applyFont="1"/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19" fillId="2" borderId="0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Medium9"/>
  <colors>
    <mruColors>
      <color rgb="FFDC9696"/>
      <color rgb="FFE48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3</xdr:row>
      <xdr:rowOff>66675</xdr:rowOff>
    </xdr:from>
    <xdr:to>
      <xdr:col>8</xdr:col>
      <xdr:colOff>95250</xdr:colOff>
      <xdr:row>3</xdr:row>
      <xdr:rowOff>276225</xdr:rowOff>
    </xdr:to>
    <xdr:sp macro="[0]!RandomBaseGameRNGString" textlink="">
      <xdr:nvSpPr>
        <xdr:cNvPr id="2" name="矩形 1"/>
        <xdr:cNvSpPr/>
      </xdr:nvSpPr>
      <xdr:spPr>
        <a:xfrm>
          <a:off x="7277100" y="809625"/>
          <a:ext cx="990600" cy="2095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+mj-ea"/>
              <a:ea typeface="+mj-ea"/>
            </a:rPr>
            <a:t>隨機數值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2" sqref="B42"/>
    </sheetView>
  </sheetViews>
  <sheetFormatPr defaultColWidth="12.625" defaultRowHeight="15" customHeight="1"/>
  <cols>
    <col min="1" max="1" width="6" style="39" customWidth="1"/>
    <col min="2" max="2" width="23.875" style="39" customWidth="1"/>
    <col min="3" max="3" width="10.25" style="39" customWidth="1"/>
    <col min="4" max="4" width="7.875" style="39" customWidth="1"/>
    <col min="5" max="5" width="8.25" style="39" customWidth="1"/>
    <col min="6" max="6" width="21.5" style="7" customWidth="1"/>
    <col min="7" max="9" width="12.25" style="7" customWidth="1"/>
    <col min="10" max="10" width="13.625" style="7" customWidth="1"/>
    <col min="11" max="11" width="12.75" style="7" customWidth="1"/>
    <col min="12" max="16384" width="12.625" style="7"/>
  </cols>
  <sheetData>
    <row r="1" spans="1:16" ht="22.5" customHeight="1">
      <c r="A1" s="14" t="s">
        <v>65</v>
      </c>
      <c r="B1" s="14" t="s">
        <v>66</v>
      </c>
      <c r="C1" s="14" t="s">
        <v>180</v>
      </c>
      <c r="D1" s="14" t="s">
        <v>68</v>
      </c>
      <c r="E1" s="14" t="s">
        <v>69</v>
      </c>
      <c r="F1" s="14" t="s">
        <v>67</v>
      </c>
      <c r="G1" s="6"/>
      <c r="H1" s="6"/>
      <c r="I1" s="6"/>
      <c r="J1" s="6"/>
      <c r="K1" s="6"/>
    </row>
    <row r="2" spans="1:16" ht="16.5">
      <c r="A2" s="39">
        <v>1</v>
      </c>
      <c r="B2" s="40" t="s">
        <v>89</v>
      </c>
      <c r="C2" s="39" t="s">
        <v>88</v>
      </c>
      <c r="D2" s="39">
        <v>1000</v>
      </c>
      <c r="E2" s="41">
        <v>5</v>
      </c>
      <c r="F2" s="6" t="str">
        <f>ReelIndexToWeight(C2)</f>
        <v>217,217,217</v>
      </c>
      <c r="G2" s="36" t="s">
        <v>70</v>
      </c>
      <c r="H2" s="6"/>
      <c r="I2" s="6"/>
      <c r="J2" s="6"/>
      <c r="K2"/>
      <c r="L2"/>
      <c r="M2"/>
      <c r="N2"/>
    </row>
    <row r="3" spans="1:16" ht="19.5" customHeight="1">
      <c r="A3" s="39">
        <v>2</v>
      </c>
      <c r="B3" s="40" t="s">
        <v>90</v>
      </c>
      <c r="C3" s="39" t="s">
        <v>173</v>
      </c>
      <c r="D3" s="39">
        <v>700</v>
      </c>
      <c r="E3" s="41">
        <v>3</v>
      </c>
      <c r="F3" s="6" t="str">
        <f t="shared" ref="F3:F56" si="0">ReelIndexToWeight(C3)</f>
        <v>226,226,226</v>
      </c>
      <c r="G3" s="46" t="s">
        <v>40</v>
      </c>
      <c r="H3" s="47"/>
      <c r="I3" s="47"/>
      <c r="K3"/>
      <c r="L3"/>
      <c r="M3"/>
      <c r="N3"/>
    </row>
    <row r="4" spans="1:16" ht="24.75" customHeight="1">
      <c r="A4" s="39">
        <v>3</v>
      </c>
      <c r="B4" s="40" t="s">
        <v>91</v>
      </c>
      <c r="C4" s="39" t="s">
        <v>92</v>
      </c>
      <c r="D4" s="39">
        <v>800</v>
      </c>
      <c r="E4" s="41">
        <v>3</v>
      </c>
      <c r="F4" s="6" t="str">
        <f t="shared" si="0"/>
        <v>235,235,235</v>
      </c>
      <c r="G4" s="39" t="s">
        <v>185</v>
      </c>
      <c r="H4" s="39"/>
      <c r="I4" s="39"/>
      <c r="K4"/>
      <c r="L4"/>
      <c r="M4"/>
      <c r="N4"/>
      <c r="O4"/>
      <c r="P4"/>
    </row>
    <row r="5" spans="1:16" ht="24" customHeight="1">
      <c r="A5" s="39">
        <v>4</v>
      </c>
      <c r="B5" s="40" t="s">
        <v>93</v>
      </c>
      <c r="C5" s="39" t="s">
        <v>107</v>
      </c>
      <c r="D5" s="39">
        <v>400</v>
      </c>
      <c r="E5" s="41">
        <v>2</v>
      </c>
      <c r="F5" s="6" t="str">
        <f t="shared" si="0"/>
        <v>217,226,235</v>
      </c>
      <c r="G5" s="40">
        <v>2</v>
      </c>
      <c r="H5" s="40">
        <v>3</v>
      </c>
      <c r="I5" s="40">
        <v>0</v>
      </c>
      <c r="K5" s="39"/>
      <c r="L5"/>
      <c r="M5"/>
      <c r="N5"/>
      <c r="O5"/>
      <c r="P5"/>
    </row>
    <row r="6" spans="1:16" ht="16.5">
      <c r="A6" s="39">
        <v>5</v>
      </c>
      <c r="B6" s="40" t="s">
        <v>93</v>
      </c>
      <c r="C6" s="39" t="s">
        <v>109</v>
      </c>
      <c r="D6" s="39">
        <v>400</v>
      </c>
      <c r="E6" s="41">
        <v>2</v>
      </c>
      <c r="F6" s="6" t="str">
        <f t="shared" si="0"/>
        <v>235,226,217</v>
      </c>
      <c r="G6" s="22" t="b">
        <v>1</v>
      </c>
      <c r="H6" s="39"/>
      <c r="I6" s="39"/>
      <c r="K6" s="39"/>
      <c r="L6"/>
      <c r="M6"/>
      <c r="N6"/>
      <c r="O6"/>
      <c r="P6"/>
    </row>
    <row r="7" spans="1:16" ht="16.5">
      <c r="A7" s="39">
        <v>6</v>
      </c>
      <c r="B7" s="40" t="s">
        <v>94</v>
      </c>
      <c r="C7" s="39" t="s">
        <v>95</v>
      </c>
      <c r="D7" s="39">
        <v>200</v>
      </c>
      <c r="E7" s="41">
        <v>1</v>
      </c>
      <c r="F7" s="6" t="str">
        <f t="shared" si="0"/>
        <v>217,235,226</v>
      </c>
      <c r="G7" s="24"/>
      <c r="H7" s="6"/>
      <c r="I7" s="6"/>
      <c r="K7" s="39"/>
      <c r="L7"/>
      <c r="M7"/>
      <c r="N7"/>
      <c r="O7"/>
      <c r="P7"/>
    </row>
    <row r="8" spans="1:16" ht="16.5">
      <c r="A8" s="39">
        <v>7</v>
      </c>
      <c r="B8" s="40" t="s">
        <v>94</v>
      </c>
      <c r="C8" s="39" t="s">
        <v>96</v>
      </c>
      <c r="D8" s="39">
        <v>200</v>
      </c>
      <c r="E8" s="41">
        <v>1</v>
      </c>
      <c r="F8" s="6" t="str">
        <f t="shared" si="0"/>
        <v>226,235,217</v>
      </c>
      <c r="G8" s="25"/>
      <c r="H8" s="25"/>
      <c r="I8" s="25"/>
      <c r="K8"/>
      <c r="L8"/>
      <c r="M8"/>
      <c r="N8"/>
      <c r="O8"/>
      <c r="P8"/>
    </row>
    <row r="9" spans="1:16" ht="16.5">
      <c r="A9" s="39">
        <v>8</v>
      </c>
      <c r="B9" s="40" t="s">
        <v>98</v>
      </c>
      <c r="C9" s="39" t="s">
        <v>97</v>
      </c>
      <c r="D9" s="39">
        <v>500</v>
      </c>
      <c r="E9" s="41">
        <v>5</v>
      </c>
      <c r="F9" s="6" t="str">
        <f t="shared" si="0"/>
        <v>353,353,353</v>
      </c>
      <c r="G9" s="11" t="s">
        <v>32</v>
      </c>
      <c r="H9" s="11" t="s">
        <v>33</v>
      </c>
      <c r="I9" s="11" t="s">
        <v>34</v>
      </c>
      <c r="K9"/>
      <c r="L9"/>
      <c r="M9"/>
      <c r="N9"/>
      <c r="O9"/>
      <c r="P9"/>
    </row>
    <row r="10" spans="1:16" ht="16.5">
      <c r="A10" s="39">
        <v>9</v>
      </c>
      <c r="B10" s="40" t="s">
        <v>100</v>
      </c>
      <c r="C10" s="39" t="s">
        <v>99</v>
      </c>
      <c r="D10" s="39">
        <v>225</v>
      </c>
      <c r="E10" s="41">
        <v>3</v>
      </c>
      <c r="F10" s="6" t="str">
        <f>ReelIndexToWeight(C10)</f>
        <v>362,362,362</v>
      </c>
      <c r="G10" s="9">
        <f>VLOOKUP(G$5,ReelTable!$J$3:$M$28,3,FALSE)</f>
        <v>4</v>
      </c>
      <c r="H10" s="9">
        <f>VLOOKUP(H$5,ReelTable!$J$3:$M$28,3,FALSE)</f>
        <v>2</v>
      </c>
      <c r="I10" s="9">
        <f>VLOOKUP(I$5,ReelTable!$J$3:$M$28,4,FALSE)</f>
        <v>4</v>
      </c>
      <c r="K10"/>
      <c r="L10"/>
      <c r="M10"/>
      <c r="N10"/>
      <c r="O10"/>
      <c r="P10"/>
    </row>
    <row r="11" spans="1:16" ht="16.5">
      <c r="A11" s="39">
        <v>10</v>
      </c>
      <c r="B11" s="40" t="s">
        <v>102</v>
      </c>
      <c r="C11" s="39" t="s">
        <v>101</v>
      </c>
      <c r="D11" s="39">
        <v>150</v>
      </c>
      <c r="E11" s="41">
        <v>3</v>
      </c>
      <c r="F11" s="6" t="str">
        <f t="shared" si="0"/>
        <v>371,371,371</v>
      </c>
      <c r="G11" s="9">
        <f>VLOOKUP(G$5+1,ReelTable!$J$3:$M$28,3,FALSE)</f>
        <v>2</v>
      </c>
      <c r="H11" s="9">
        <f>VLOOKUP(H$5+1,ReelTable!$J$3:$M$28,3,FALSE)</f>
        <v>2</v>
      </c>
      <c r="I11" s="9">
        <f>VLOOKUP(I$5+1,ReelTable!$J$3:$M$28,4,FALSE)</f>
        <v>4</v>
      </c>
      <c r="K11"/>
      <c r="L11"/>
      <c r="M11"/>
      <c r="N11"/>
      <c r="O11"/>
      <c r="P11"/>
    </row>
    <row r="12" spans="1:16" ht="15" customHeight="1">
      <c r="A12" s="39">
        <v>11</v>
      </c>
      <c r="B12" s="40" t="s">
        <v>104</v>
      </c>
      <c r="C12" s="39" t="s">
        <v>103</v>
      </c>
      <c r="D12" s="39">
        <v>200</v>
      </c>
      <c r="E12" s="41">
        <v>2</v>
      </c>
      <c r="F12" s="6" t="str">
        <f t="shared" si="0"/>
        <v>353,362,371</v>
      </c>
      <c r="G12" s="9">
        <f>VLOOKUP(G$5+2,ReelTable!$J$3:$M$28,3,FALSE)</f>
        <v>2</v>
      </c>
      <c r="H12" s="9">
        <f>VLOOKUP(H$5+2,ReelTable!$J$3:$M$28,3,FALSE)</f>
        <v>2</v>
      </c>
      <c r="I12" s="9">
        <f>VLOOKUP(I$5+2,ReelTable!$J$3:$M$28,4,FALSE)</f>
        <v>4</v>
      </c>
      <c r="K12"/>
      <c r="L12"/>
      <c r="M12"/>
      <c r="N12"/>
      <c r="O12"/>
      <c r="P12"/>
    </row>
    <row r="13" spans="1:16" ht="16.5">
      <c r="A13" s="39">
        <v>12</v>
      </c>
      <c r="B13" s="40" t="s">
        <v>104</v>
      </c>
      <c r="C13" s="39" t="s">
        <v>108</v>
      </c>
      <c r="D13" s="39">
        <v>200</v>
      </c>
      <c r="E13" s="41">
        <v>2</v>
      </c>
      <c r="F13" s="6" t="str">
        <f t="shared" si="0"/>
        <v>371,362,353</v>
      </c>
      <c r="G13" s="8" t="s">
        <v>32</v>
      </c>
      <c r="H13" s="8" t="s">
        <v>33</v>
      </c>
      <c r="I13" s="8" t="s">
        <v>34</v>
      </c>
      <c r="K13"/>
      <c r="L13"/>
      <c r="M13"/>
      <c r="N13"/>
      <c r="O13"/>
      <c r="P13"/>
    </row>
    <row r="14" spans="1:16" ht="16.5">
      <c r="A14" s="39">
        <v>13</v>
      </c>
      <c r="B14" s="40" t="s">
        <v>105</v>
      </c>
      <c r="C14" s="39" t="s">
        <v>106</v>
      </c>
      <c r="D14" s="39">
        <v>100</v>
      </c>
      <c r="E14" s="41">
        <v>1</v>
      </c>
      <c r="F14" s="6" t="str">
        <f t="shared" si="0"/>
        <v>371,353,362</v>
      </c>
      <c r="G14" s="10" t="str">
        <f>VLOOKUP(G10,ReelTable!$A$2:'ReelTable'!$B$9,2,FALSE)</f>
        <v>獵槍</v>
      </c>
      <c r="H14" s="10" t="str">
        <f>VLOOKUP(H10,ReelTable!$A$2:'ReelTable'!$B$9,2,FALSE)</f>
        <v>丹丹</v>
      </c>
      <c r="I14" s="10" t="str">
        <f>VLOOKUP(I10,ReelTable!$A$2:'ReelTable'!$B$9,2,FALSE)</f>
        <v>獵槍</v>
      </c>
      <c r="K14"/>
      <c r="L14"/>
      <c r="M14"/>
      <c r="N14"/>
      <c r="O14"/>
      <c r="P14"/>
    </row>
    <row r="15" spans="1:16" ht="16.5">
      <c r="A15" s="39">
        <v>14</v>
      </c>
      <c r="B15" s="40" t="s">
        <v>105</v>
      </c>
      <c r="C15" s="39" t="s">
        <v>110</v>
      </c>
      <c r="D15" s="39">
        <v>100</v>
      </c>
      <c r="E15" s="41">
        <v>1</v>
      </c>
      <c r="F15" s="6" t="str">
        <f t="shared" si="0"/>
        <v>353,371,362</v>
      </c>
      <c r="G15" s="10" t="str">
        <f>VLOOKUP(G11,ReelTable!$A$2:'ReelTable'!$B$9,2,FALSE)</f>
        <v>丹丹</v>
      </c>
      <c r="H15" s="10" t="str">
        <f>VLOOKUP(H11,ReelTable!$A$2:'ReelTable'!$B$9,2,FALSE)</f>
        <v>丹丹</v>
      </c>
      <c r="I15" s="10" t="str">
        <f>VLOOKUP(I11,ReelTable!$A$2:'ReelTable'!$B$9,2,FALSE)</f>
        <v>獵槍</v>
      </c>
      <c r="K15"/>
      <c r="L15"/>
      <c r="M15"/>
      <c r="N15"/>
      <c r="O15"/>
      <c r="P15"/>
    </row>
    <row r="16" spans="1:16" ht="16.5">
      <c r="A16" s="39">
        <v>15</v>
      </c>
      <c r="B16" s="40" t="s">
        <v>105</v>
      </c>
      <c r="C16" s="39" t="s">
        <v>111</v>
      </c>
      <c r="D16" s="39">
        <v>100</v>
      </c>
      <c r="E16" s="41">
        <v>1</v>
      </c>
      <c r="F16" s="6" t="str">
        <f t="shared" si="0"/>
        <v>362,371,353</v>
      </c>
      <c r="G16" s="10" t="str">
        <f>VLOOKUP(G12,ReelTable!$A$2:'ReelTable'!$B$9,2,FALSE)</f>
        <v>丹丹</v>
      </c>
      <c r="H16" s="10" t="str">
        <f>VLOOKUP(H12,ReelTable!$A$2:'ReelTable'!$B$9,2,FALSE)</f>
        <v>丹丹</v>
      </c>
      <c r="I16" s="10" t="str">
        <f>VLOOKUP(I12,ReelTable!$A$2:'ReelTable'!$B$9,2,FALSE)</f>
        <v>獵槍</v>
      </c>
      <c r="K16"/>
      <c r="L16"/>
      <c r="M16"/>
      <c r="N16"/>
      <c r="O16"/>
      <c r="P16"/>
    </row>
    <row r="17" spans="1:16" ht="16.5">
      <c r="A17" s="39">
        <v>16</v>
      </c>
      <c r="B17" s="40" t="s">
        <v>113</v>
      </c>
      <c r="C17" s="39" t="s">
        <v>112</v>
      </c>
      <c r="D17" s="39">
        <v>250</v>
      </c>
      <c r="E17" s="41">
        <v>5</v>
      </c>
      <c r="F17" s="6" t="str">
        <f t="shared" si="0"/>
        <v>129,129,129</v>
      </c>
      <c r="K17"/>
      <c r="L17"/>
      <c r="M17"/>
      <c r="N17"/>
      <c r="O17"/>
      <c r="P17"/>
    </row>
    <row r="18" spans="1:16" ht="16.5">
      <c r="A18" s="39">
        <v>17</v>
      </c>
      <c r="B18" s="40" t="s">
        <v>115</v>
      </c>
      <c r="C18" s="39" t="s">
        <v>114</v>
      </c>
      <c r="D18" s="39">
        <v>300</v>
      </c>
      <c r="E18" s="41">
        <v>3</v>
      </c>
      <c r="F18" s="6" t="str">
        <f t="shared" si="0"/>
        <v>138,138,138</v>
      </c>
      <c r="G18" s="23" t="s">
        <v>35</v>
      </c>
      <c r="H18" s="12"/>
      <c r="I18" s="12"/>
      <c r="K18"/>
      <c r="L18"/>
      <c r="M18"/>
      <c r="N18"/>
      <c r="O18"/>
      <c r="P18"/>
    </row>
    <row r="19" spans="1:16" ht="16.5">
      <c r="A19" s="39">
        <v>18</v>
      </c>
      <c r="B19" s="40" t="s">
        <v>116</v>
      </c>
      <c r="C19" s="39" t="s">
        <v>87</v>
      </c>
      <c r="D19" s="39">
        <v>450</v>
      </c>
      <c r="E19" s="41">
        <v>3</v>
      </c>
      <c r="F19" s="6" t="str">
        <f t="shared" si="0"/>
        <v>147,147,147</v>
      </c>
      <c r="G19" s="35" t="s">
        <v>28</v>
      </c>
      <c r="H19" s="28" t="str">
        <f>GetStringDivByChar(G5:I5,H22)</f>
        <v>2,3,0</v>
      </c>
      <c r="I19" s="12"/>
      <c r="K19"/>
      <c r="L19"/>
      <c r="M19"/>
      <c r="N19"/>
      <c r="O19"/>
      <c r="P19"/>
    </row>
    <row r="20" spans="1:16" ht="16.5">
      <c r="A20" s="39">
        <v>19</v>
      </c>
      <c r="B20" s="40" t="s">
        <v>118</v>
      </c>
      <c r="C20" s="39" t="s">
        <v>117</v>
      </c>
      <c r="D20" s="39">
        <v>100</v>
      </c>
      <c r="E20" s="41">
        <v>2</v>
      </c>
      <c r="F20" s="6" t="str">
        <f t="shared" si="0"/>
        <v>129,138,147</v>
      </c>
      <c r="G20" s="9" t="s">
        <v>9</v>
      </c>
      <c r="H20" s="28">
        <f>GetPay(H23)</f>
        <v>0</v>
      </c>
      <c r="I20" s="12"/>
      <c r="K20"/>
      <c r="L20"/>
      <c r="M20"/>
      <c r="N20"/>
      <c r="O20"/>
      <c r="P20"/>
    </row>
    <row r="21" spans="1:16" ht="16.5">
      <c r="A21" s="39">
        <v>20</v>
      </c>
      <c r="B21" s="40" t="s">
        <v>118</v>
      </c>
      <c r="C21" s="39" t="s">
        <v>119</v>
      </c>
      <c r="D21" s="39">
        <v>100</v>
      </c>
      <c r="E21" s="41">
        <v>2</v>
      </c>
      <c r="F21" s="6" t="str">
        <f t="shared" si="0"/>
        <v>147,138,129</v>
      </c>
      <c r="G21" s="9" t="s">
        <v>64</v>
      </c>
      <c r="H21" s="13">
        <f>COUNTIF(I25:I29,"&gt;0")</f>
        <v>0</v>
      </c>
      <c r="K21"/>
      <c r="L21"/>
      <c r="M21"/>
      <c r="N21"/>
      <c r="O21"/>
      <c r="P21"/>
    </row>
    <row r="22" spans="1:16" ht="16.5">
      <c r="A22" s="39">
        <v>21</v>
      </c>
      <c r="B22" s="40" t="s">
        <v>121</v>
      </c>
      <c r="C22" s="39" t="s">
        <v>120</v>
      </c>
      <c r="D22" s="39">
        <v>50</v>
      </c>
      <c r="E22" s="41">
        <v>1</v>
      </c>
      <c r="F22" s="6" t="str">
        <f t="shared" si="0"/>
        <v>147,129,138</v>
      </c>
      <c r="G22" s="9" t="s">
        <v>22</v>
      </c>
      <c r="H22" s="13" t="s">
        <v>29</v>
      </c>
      <c r="I22" s="12"/>
      <c r="K22"/>
      <c r="L22"/>
      <c r="M22"/>
      <c r="N22"/>
      <c r="O22"/>
      <c r="P22"/>
    </row>
    <row r="23" spans="1:16" ht="16.5">
      <c r="A23" s="39">
        <v>22</v>
      </c>
      <c r="B23" s="40" t="s">
        <v>121</v>
      </c>
      <c r="C23" s="39" t="s">
        <v>122</v>
      </c>
      <c r="D23" s="39">
        <v>50</v>
      </c>
      <c r="E23" s="41">
        <v>1</v>
      </c>
      <c r="F23" s="6" t="str">
        <f t="shared" si="0"/>
        <v>129,147,138</v>
      </c>
      <c r="G23" s="15" t="s">
        <v>30</v>
      </c>
      <c r="H23" s="37" t="str">
        <f>GetStringDivByChar(G10:I12,H22)</f>
        <v>4,2,4,2,2,4,2,2,4</v>
      </c>
      <c r="I23" s="32"/>
      <c r="L23"/>
      <c r="M23"/>
      <c r="N23"/>
      <c r="O23"/>
      <c r="P23"/>
    </row>
    <row r="24" spans="1:16" ht="16.5">
      <c r="A24" s="39">
        <v>23</v>
      </c>
      <c r="B24" s="40" t="s">
        <v>121</v>
      </c>
      <c r="C24" s="39" t="s">
        <v>123</v>
      </c>
      <c r="D24" s="39">
        <v>50</v>
      </c>
      <c r="E24" s="41">
        <v>1</v>
      </c>
      <c r="F24" s="6" t="str">
        <f t="shared" si="0"/>
        <v>138,147,129</v>
      </c>
      <c r="G24" s="11" t="s">
        <v>60</v>
      </c>
      <c r="H24" s="11" t="s">
        <v>61</v>
      </c>
      <c r="I24" s="11" t="s">
        <v>62</v>
      </c>
      <c r="J24" s="11" t="s">
        <v>63</v>
      </c>
      <c r="K24"/>
      <c r="L24"/>
      <c r="M24"/>
      <c r="N24"/>
      <c r="O24"/>
      <c r="P24"/>
    </row>
    <row r="25" spans="1:16" ht="16.5">
      <c r="A25" s="39">
        <v>24</v>
      </c>
      <c r="B25" s="40" t="s">
        <v>125</v>
      </c>
      <c r="C25" s="39" t="s">
        <v>124</v>
      </c>
      <c r="D25" s="39">
        <v>125</v>
      </c>
      <c r="E25" s="41">
        <v>5</v>
      </c>
      <c r="F25" s="6" t="str">
        <f t="shared" si="0"/>
        <v>531,531,531</v>
      </c>
      <c r="G25" s="38">
        <v>1</v>
      </c>
      <c r="H25" s="38">
        <v>2</v>
      </c>
      <c r="I25" s="38">
        <v>0</v>
      </c>
      <c r="J25" s="32" t="str">
        <f>IF(I25&lt;=0,"",VLOOKUP(H25,ReelTable!$A$2:$B$9,2,FALSE))</f>
        <v/>
      </c>
      <c r="K25"/>
      <c r="L25"/>
      <c r="M25"/>
      <c r="N25"/>
      <c r="O25"/>
      <c r="P25"/>
    </row>
    <row r="26" spans="1:16" ht="16.5">
      <c r="A26" s="39">
        <v>25</v>
      </c>
      <c r="B26" s="40" t="s">
        <v>127</v>
      </c>
      <c r="C26" s="39" t="s">
        <v>126</v>
      </c>
      <c r="D26" s="39">
        <v>60</v>
      </c>
      <c r="E26" s="41">
        <v>3</v>
      </c>
      <c r="F26" s="6" t="str">
        <f t="shared" si="0"/>
        <v>540,540,540</v>
      </c>
      <c r="G26" s="38">
        <v>2</v>
      </c>
      <c r="H26" s="38">
        <v>4</v>
      </c>
      <c r="I26" s="38">
        <v>0</v>
      </c>
      <c r="J26" s="32" t="str">
        <f>IF(I26&lt;=0,"",VLOOKUP(H26,ReelTable!$A$2:$B$9,2,FALSE))</f>
        <v/>
      </c>
      <c r="K26"/>
      <c r="L26"/>
      <c r="M26"/>
      <c r="N26"/>
      <c r="O26"/>
      <c r="P26"/>
    </row>
    <row r="27" spans="1:16" ht="16.5">
      <c r="A27" s="39">
        <v>26</v>
      </c>
      <c r="B27" s="40" t="s">
        <v>129</v>
      </c>
      <c r="C27" s="39" t="s">
        <v>128</v>
      </c>
      <c r="D27" s="39">
        <v>45</v>
      </c>
      <c r="E27" s="41">
        <v>3</v>
      </c>
      <c r="F27" s="6" t="str">
        <f t="shared" si="0"/>
        <v>549,549,549</v>
      </c>
      <c r="G27" s="38">
        <v>3</v>
      </c>
      <c r="H27" s="38">
        <v>2</v>
      </c>
      <c r="I27" s="38">
        <v>0</v>
      </c>
      <c r="J27" s="32" t="str">
        <f>IF(I27&lt;=0,"",VLOOKUP(H27,ReelTable!$A$2:$B$9,2,FALSE))</f>
        <v/>
      </c>
      <c r="K27"/>
      <c r="L27"/>
      <c r="M27"/>
      <c r="N27"/>
      <c r="O27"/>
      <c r="P27"/>
    </row>
    <row r="28" spans="1:16" ht="16.5">
      <c r="A28" s="39">
        <v>27</v>
      </c>
      <c r="B28" s="40" t="s">
        <v>131</v>
      </c>
      <c r="C28" s="39" t="s">
        <v>130</v>
      </c>
      <c r="D28" s="39">
        <v>50</v>
      </c>
      <c r="E28" s="41">
        <v>2</v>
      </c>
      <c r="F28" s="6" t="str">
        <f t="shared" si="0"/>
        <v>531,540,549</v>
      </c>
      <c r="G28" s="38">
        <v>4</v>
      </c>
      <c r="H28" s="38">
        <v>4</v>
      </c>
      <c r="I28" s="38">
        <v>0</v>
      </c>
      <c r="J28" s="32" t="str">
        <f>IF(I28&lt;=0,"",VLOOKUP(H28,ReelTable!$A$2:$B$9,2,FALSE))</f>
        <v/>
      </c>
      <c r="K28"/>
      <c r="L28"/>
    </row>
    <row r="29" spans="1:16" ht="16.5">
      <c r="A29" s="39">
        <v>28</v>
      </c>
      <c r="B29" s="40" t="s">
        <v>131</v>
      </c>
      <c r="C29" s="39" t="s">
        <v>132</v>
      </c>
      <c r="D29" s="39">
        <v>50</v>
      </c>
      <c r="E29" s="41">
        <v>2</v>
      </c>
      <c r="F29" s="6" t="str">
        <f t="shared" si="0"/>
        <v>549,540,531</v>
      </c>
      <c r="G29" s="38">
        <v>5</v>
      </c>
      <c r="H29" s="38">
        <v>2</v>
      </c>
      <c r="I29" s="38">
        <v>0</v>
      </c>
      <c r="J29" s="32" t="str">
        <f>IF(I29&lt;=0,"",VLOOKUP(H29,ReelTable!$A$2:$B$9,2,FALSE))</f>
        <v/>
      </c>
      <c r="K29"/>
      <c r="L29"/>
    </row>
    <row r="30" spans="1:16" ht="16.5">
      <c r="A30" s="39">
        <v>29</v>
      </c>
      <c r="B30" s="40" t="s">
        <v>134</v>
      </c>
      <c r="C30" s="39" t="s">
        <v>133</v>
      </c>
      <c r="D30" s="39">
        <v>25</v>
      </c>
      <c r="E30" s="41">
        <v>1</v>
      </c>
      <c r="F30" s="6" t="str">
        <f t="shared" si="0"/>
        <v>549,531,540</v>
      </c>
      <c r="I30" s="6"/>
      <c r="J30" s="6"/>
      <c r="K30"/>
      <c r="L30"/>
    </row>
    <row r="31" spans="1:16" ht="16.5">
      <c r="A31" s="39">
        <v>30</v>
      </c>
      <c r="B31" s="40" t="s">
        <v>134</v>
      </c>
      <c r="C31" s="39" t="s">
        <v>135</v>
      </c>
      <c r="D31" s="39">
        <v>25</v>
      </c>
      <c r="E31" s="41">
        <v>1</v>
      </c>
      <c r="F31" s="6" t="str">
        <f t="shared" si="0"/>
        <v>531,549,540</v>
      </c>
      <c r="I31" s="6"/>
      <c r="J31" s="6"/>
      <c r="K31"/>
      <c r="L31"/>
    </row>
    <row r="32" spans="1:16" ht="16.5">
      <c r="A32" s="39">
        <v>31</v>
      </c>
      <c r="B32" s="40" t="s">
        <v>134</v>
      </c>
      <c r="C32" s="39" t="s">
        <v>136</v>
      </c>
      <c r="D32" s="39">
        <v>25</v>
      </c>
      <c r="E32" s="41">
        <v>1</v>
      </c>
      <c r="F32" s="6" t="str">
        <f t="shared" si="0"/>
        <v>540,549,531</v>
      </c>
      <c r="I32" s="6"/>
      <c r="J32" s="6"/>
      <c r="K32"/>
      <c r="L32"/>
    </row>
    <row r="33" spans="1:12" ht="16.5">
      <c r="A33" s="39">
        <v>32</v>
      </c>
      <c r="B33" s="40" t="s">
        <v>138</v>
      </c>
      <c r="C33" s="39" t="s">
        <v>137</v>
      </c>
      <c r="D33" s="39">
        <v>75</v>
      </c>
      <c r="E33" s="41">
        <v>5</v>
      </c>
      <c r="F33" s="6" t="str">
        <f t="shared" si="0"/>
        <v>1327,1327,1327</v>
      </c>
      <c r="I33" s="6"/>
      <c r="J33" s="6"/>
      <c r="K33"/>
      <c r="L33"/>
    </row>
    <row r="34" spans="1:12" ht="16.5">
      <c r="A34" s="39">
        <v>33</v>
      </c>
      <c r="B34" s="40" t="s">
        <v>139</v>
      </c>
      <c r="C34" s="39" t="s">
        <v>140</v>
      </c>
      <c r="D34" s="39">
        <v>80</v>
      </c>
      <c r="E34" s="41">
        <v>3</v>
      </c>
      <c r="F34" s="6" t="str">
        <f t="shared" si="0"/>
        <v>1336,1336,1336</v>
      </c>
      <c r="G34" s="6"/>
      <c r="H34" s="6"/>
      <c r="I34" s="6"/>
      <c r="J34" s="6"/>
      <c r="K34"/>
      <c r="L34"/>
    </row>
    <row r="35" spans="1:12" ht="16.5">
      <c r="A35" s="39">
        <v>34</v>
      </c>
      <c r="B35" s="40" t="s">
        <v>142</v>
      </c>
      <c r="C35" s="39" t="s">
        <v>141</v>
      </c>
      <c r="D35" s="39">
        <v>115</v>
      </c>
      <c r="E35" s="41">
        <v>3</v>
      </c>
      <c r="F35" s="6" t="str">
        <f t="shared" si="0"/>
        <v>1345,1345,1345</v>
      </c>
      <c r="G35" s="6"/>
      <c r="H35" s="6"/>
      <c r="I35" s="6"/>
      <c r="J35" s="6"/>
      <c r="K35"/>
      <c r="L35"/>
    </row>
    <row r="36" spans="1:12" ht="16.5">
      <c r="A36" s="39">
        <v>35</v>
      </c>
      <c r="B36" s="40" t="s">
        <v>143</v>
      </c>
      <c r="C36" s="39" t="s">
        <v>144</v>
      </c>
      <c r="D36" s="39">
        <v>30</v>
      </c>
      <c r="E36" s="41">
        <v>2</v>
      </c>
      <c r="F36" s="6" t="str">
        <f t="shared" si="0"/>
        <v>1327,1336,1345</v>
      </c>
      <c r="G36" s="6"/>
      <c r="H36" s="6"/>
      <c r="I36" s="6"/>
      <c r="J36" s="6"/>
      <c r="K36"/>
      <c r="L36"/>
    </row>
    <row r="37" spans="1:12" ht="16.5">
      <c r="A37" s="39">
        <v>36</v>
      </c>
      <c r="B37" s="40" t="s">
        <v>143</v>
      </c>
      <c r="C37" s="39" t="s">
        <v>145</v>
      </c>
      <c r="D37" s="39">
        <v>30</v>
      </c>
      <c r="E37" s="41">
        <v>2</v>
      </c>
      <c r="F37" s="6" t="str">
        <f t="shared" si="0"/>
        <v>1345,1336,1327</v>
      </c>
      <c r="G37" s="6"/>
      <c r="H37" s="6"/>
      <c r="I37" s="6"/>
      <c r="J37" s="6"/>
      <c r="K37"/>
      <c r="L37"/>
    </row>
    <row r="38" spans="1:12" ht="16.5">
      <c r="A38" s="39">
        <v>37</v>
      </c>
      <c r="B38" s="40" t="s">
        <v>147</v>
      </c>
      <c r="C38" s="39" t="s">
        <v>146</v>
      </c>
      <c r="D38" s="39">
        <v>15</v>
      </c>
      <c r="E38" s="41">
        <v>1</v>
      </c>
      <c r="F38" s="6" t="str">
        <f t="shared" si="0"/>
        <v>1327,1345,1336</v>
      </c>
      <c r="G38" s="6"/>
      <c r="H38" s="6"/>
      <c r="I38" s="6"/>
      <c r="J38" s="6"/>
      <c r="K38"/>
      <c r="L38"/>
    </row>
    <row r="39" spans="1:12" ht="16.5">
      <c r="A39" s="39">
        <v>38</v>
      </c>
      <c r="B39" s="40" t="s">
        <v>147</v>
      </c>
      <c r="C39" s="39" t="s">
        <v>148</v>
      </c>
      <c r="D39" s="39">
        <v>15</v>
      </c>
      <c r="E39" s="41">
        <v>1</v>
      </c>
      <c r="F39" s="6" t="str">
        <f t="shared" si="0"/>
        <v>1336,1345,1327</v>
      </c>
      <c r="G39" s="6"/>
      <c r="H39" s="6"/>
      <c r="I39" s="6"/>
      <c r="J39" s="6"/>
      <c r="K39" s="6"/>
    </row>
    <row r="40" spans="1:12" ht="16.5">
      <c r="A40" s="39">
        <v>39</v>
      </c>
      <c r="B40" s="40" t="s">
        <v>150</v>
      </c>
      <c r="C40" s="39" t="s">
        <v>149</v>
      </c>
      <c r="D40" s="39">
        <v>50</v>
      </c>
      <c r="E40" s="41">
        <v>5</v>
      </c>
      <c r="F40" s="6" t="str">
        <f t="shared" si="0"/>
        <v>804,804,804</v>
      </c>
      <c r="G40" s="6"/>
      <c r="H40" s="6"/>
      <c r="I40" s="6"/>
      <c r="J40" s="6"/>
      <c r="K40" s="6"/>
    </row>
    <row r="41" spans="1:12" ht="16.5">
      <c r="A41" s="39">
        <v>40</v>
      </c>
      <c r="B41" s="40" t="s">
        <v>153</v>
      </c>
      <c r="C41" s="39" t="s">
        <v>151</v>
      </c>
      <c r="D41" s="39">
        <v>25</v>
      </c>
      <c r="E41" s="41">
        <v>3</v>
      </c>
      <c r="F41" s="6" t="str">
        <f t="shared" si="0"/>
        <v>813,813,813</v>
      </c>
      <c r="G41" s="6"/>
      <c r="H41" s="6"/>
      <c r="I41" s="6"/>
      <c r="J41" s="6"/>
      <c r="K41" s="6"/>
    </row>
    <row r="42" spans="1:12" ht="16.5">
      <c r="A42" s="39">
        <v>41</v>
      </c>
      <c r="B42" s="40" t="s">
        <v>155</v>
      </c>
      <c r="C42" s="39" t="s">
        <v>154</v>
      </c>
      <c r="D42" s="39">
        <v>20</v>
      </c>
      <c r="E42" s="41">
        <v>3</v>
      </c>
      <c r="F42" s="6" t="str">
        <f t="shared" si="0"/>
        <v>822,822,822</v>
      </c>
      <c r="G42" s="6"/>
      <c r="H42" s="6"/>
      <c r="I42" s="6"/>
      <c r="J42" s="6"/>
      <c r="K42" s="6"/>
    </row>
    <row r="43" spans="1:12" ht="16.5">
      <c r="A43" s="39">
        <v>42</v>
      </c>
      <c r="B43" s="39" t="s">
        <v>152</v>
      </c>
      <c r="C43" s="39" t="s">
        <v>156</v>
      </c>
      <c r="D43" s="39">
        <v>20</v>
      </c>
      <c r="E43" s="39">
        <v>2</v>
      </c>
      <c r="F43" s="6" t="str">
        <f t="shared" si="0"/>
        <v>804,813,822</v>
      </c>
      <c r="G43" s="6"/>
      <c r="H43" s="6"/>
      <c r="I43" s="6"/>
      <c r="J43" s="6"/>
      <c r="K43" s="6"/>
    </row>
    <row r="44" spans="1:12" ht="16.5">
      <c r="A44" s="39">
        <v>43</v>
      </c>
      <c r="B44" s="39" t="s">
        <v>152</v>
      </c>
      <c r="C44" s="39" t="s">
        <v>157</v>
      </c>
      <c r="D44" s="39">
        <v>20</v>
      </c>
      <c r="E44" s="39">
        <v>2</v>
      </c>
      <c r="F44" s="6" t="str">
        <f t="shared" si="0"/>
        <v>822,813,804</v>
      </c>
      <c r="G44" s="6"/>
      <c r="H44" s="6"/>
      <c r="I44" s="6"/>
      <c r="J44" s="6"/>
      <c r="K44" s="6"/>
    </row>
    <row r="45" spans="1:12" ht="16.5">
      <c r="A45" s="39">
        <v>44</v>
      </c>
      <c r="B45" s="39" t="s">
        <v>159</v>
      </c>
      <c r="C45" s="39" t="s">
        <v>158</v>
      </c>
      <c r="D45" s="39">
        <v>10</v>
      </c>
      <c r="E45" s="39">
        <v>1</v>
      </c>
      <c r="F45" s="6" t="str">
        <f t="shared" si="0"/>
        <v>822,804,813</v>
      </c>
      <c r="G45" s="6"/>
      <c r="H45" s="6"/>
      <c r="I45" s="6"/>
      <c r="J45" s="6"/>
      <c r="K45" s="6"/>
    </row>
    <row r="46" spans="1:12" ht="16.5">
      <c r="A46" s="39">
        <v>45</v>
      </c>
      <c r="B46" s="39" t="s">
        <v>159</v>
      </c>
      <c r="C46" s="39" t="s">
        <v>80</v>
      </c>
      <c r="D46" s="39">
        <v>10</v>
      </c>
      <c r="E46" s="39">
        <v>1</v>
      </c>
      <c r="F46" s="6" t="str">
        <f t="shared" si="0"/>
        <v>804,822,813</v>
      </c>
      <c r="G46" s="6"/>
      <c r="H46" s="6"/>
      <c r="I46" s="6"/>
      <c r="J46" s="6"/>
      <c r="K46" s="6"/>
    </row>
    <row r="47" spans="1:12" ht="16.5">
      <c r="A47" s="39">
        <v>46</v>
      </c>
      <c r="B47" s="39" t="s">
        <v>159</v>
      </c>
      <c r="C47" s="39" t="s">
        <v>160</v>
      </c>
      <c r="D47" s="39">
        <v>10</v>
      </c>
      <c r="E47" s="39">
        <v>1</v>
      </c>
      <c r="F47" s="6" t="str">
        <f t="shared" si="0"/>
        <v>813,822,804</v>
      </c>
      <c r="G47" s="6"/>
      <c r="H47" s="6"/>
      <c r="I47" s="6"/>
      <c r="J47" s="6"/>
      <c r="K47" s="6"/>
    </row>
    <row r="48" spans="1:12" ht="16.5">
      <c r="A48" s="39">
        <v>47</v>
      </c>
      <c r="B48" s="39" t="s">
        <v>161</v>
      </c>
      <c r="C48" s="39" t="s">
        <v>162</v>
      </c>
      <c r="D48" s="39">
        <v>25</v>
      </c>
      <c r="E48" s="39">
        <v>5</v>
      </c>
      <c r="F48" s="6" t="str">
        <f t="shared" si="0"/>
        <v>1082,1082,1082</v>
      </c>
      <c r="G48" s="6"/>
      <c r="H48" s="6"/>
      <c r="I48" s="6"/>
      <c r="J48" s="6"/>
      <c r="K48" s="6"/>
    </row>
    <row r="49" spans="1:11" ht="16.5">
      <c r="A49" s="39">
        <v>48</v>
      </c>
      <c r="B49" s="39" t="s">
        <v>164</v>
      </c>
      <c r="C49" s="39" t="s">
        <v>163</v>
      </c>
      <c r="D49" s="39">
        <v>25</v>
      </c>
      <c r="E49" s="39">
        <v>3</v>
      </c>
      <c r="F49" s="6" t="str">
        <f t="shared" si="0"/>
        <v>1092,1092,1092</v>
      </c>
      <c r="G49" s="6"/>
      <c r="H49" s="6"/>
      <c r="I49" s="6"/>
      <c r="J49" s="6"/>
      <c r="K49" s="6"/>
    </row>
    <row r="50" spans="1:11" ht="16.5">
      <c r="A50" s="39">
        <v>49</v>
      </c>
      <c r="B50" s="39" t="s">
        <v>165</v>
      </c>
      <c r="C50" s="39" t="s">
        <v>79</v>
      </c>
      <c r="D50" s="39">
        <v>35</v>
      </c>
      <c r="E50" s="39">
        <v>3</v>
      </c>
      <c r="F50" s="6" t="str">
        <f t="shared" si="0"/>
        <v>1102,1102,1102</v>
      </c>
      <c r="G50" s="6"/>
      <c r="H50" s="6"/>
      <c r="I50" s="6"/>
      <c r="J50" s="6"/>
      <c r="K50" s="6"/>
    </row>
    <row r="51" spans="1:11" ht="16.5">
      <c r="A51" s="39">
        <v>50</v>
      </c>
      <c r="B51" s="39" t="s">
        <v>167</v>
      </c>
      <c r="C51" s="39" t="s">
        <v>166</v>
      </c>
      <c r="D51" s="39">
        <v>10</v>
      </c>
      <c r="E51" s="39">
        <v>2</v>
      </c>
      <c r="F51" s="6" t="str">
        <f t="shared" si="0"/>
        <v>1082,1092,1102</v>
      </c>
      <c r="G51" s="6"/>
      <c r="H51" s="6"/>
      <c r="I51" s="6"/>
      <c r="J51" s="6"/>
      <c r="K51" s="6"/>
    </row>
    <row r="52" spans="1:11" ht="16.5">
      <c r="A52" s="39">
        <v>51</v>
      </c>
      <c r="B52" s="39" t="s">
        <v>167</v>
      </c>
      <c r="C52" s="39" t="s">
        <v>168</v>
      </c>
      <c r="D52" s="39">
        <v>10</v>
      </c>
      <c r="E52" s="39">
        <v>2</v>
      </c>
      <c r="F52" s="6" t="str">
        <f t="shared" si="0"/>
        <v>1102,1092,1082</v>
      </c>
      <c r="G52" s="6"/>
      <c r="H52" s="6"/>
      <c r="I52" s="6"/>
      <c r="J52" s="6"/>
      <c r="K52" s="6"/>
    </row>
    <row r="53" spans="1:11" ht="16.5">
      <c r="A53" s="39">
        <v>52</v>
      </c>
      <c r="B53" s="39" t="s">
        <v>170</v>
      </c>
      <c r="C53" s="39" t="s">
        <v>169</v>
      </c>
      <c r="D53" s="39">
        <v>5</v>
      </c>
      <c r="E53" s="39">
        <v>1</v>
      </c>
      <c r="F53" s="6" t="str">
        <f t="shared" si="0"/>
        <v>1102,1082,1092</v>
      </c>
      <c r="G53" s="6"/>
      <c r="H53" s="6"/>
      <c r="I53" s="6"/>
      <c r="J53" s="6"/>
      <c r="K53" s="6"/>
    </row>
    <row r="54" spans="1:11" ht="16.5">
      <c r="A54" s="39">
        <v>53</v>
      </c>
      <c r="B54" s="39" t="s">
        <v>170</v>
      </c>
      <c r="C54" s="39" t="s">
        <v>171</v>
      </c>
      <c r="D54" s="39">
        <v>5</v>
      </c>
      <c r="E54" s="39">
        <v>1</v>
      </c>
      <c r="F54" s="6" t="str">
        <f t="shared" si="0"/>
        <v>1082,1102,1092</v>
      </c>
      <c r="G54" s="6"/>
      <c r="H54" s="6"/>
      <c r="I54" s="6"/>
      <c r="J54" s="6"/>
      <c r="K54" s="6"/>
    </row>
    <row r="55" spans="1:11" ht="16.5">
      <c r="A55" s="39">
        <v>54</v>
      </c>
      <c r="B55" s="39" t="s">
        <v>170</v>
      </c>
      <c r="C55" s="39" t="s">
        <v>172</v>
      </c>
      <c r="D55" s="39">
        <v>5</v>
      </c>
      <c r="E55" s="39">
        <v>1</v>
      </c>
      <c r="F55" s="6" t="str">
        <f t="shared" si="0"/>
        <v>1092,1102,1082</v>
      </c>
      <c r="G55" s="6"/>
      <c r="H55" s="6"/>
      <c r="I55" s="6"/>
      <c r="J55" s="6"/>
      <c r="K55" s="6"/>
    </row>
    <row r="56" spans="1:11" ht="16.5">
      <c r="G56" s="6"/>
      <c r="H56" s="6"/>
      <c r="I56" s="6"/>
      <c r="J56" s="6"/>
      <c r="K56" s="6"/>
    </row>
    <row r="57" spans="1:11" ht="16.5">
      <c r="F57" s="6"/>
      <c r="G57" s="6"/>
      <c r="H57" s="6"/>
      <c r="I57" s="6"/>
      <c r="J57" s="6"/>
      <c r="K57" s="6"/>
    </row>
    <row r="58" spans="1:11" ht="16.5">
      <c r="B58" s="39" t="s">
        <v>182</v>
      </c>
      <c r="C58" s="39" t="s">
        <v>181</v>
      </c>
      <c r="D58" s="39">
        <v>0</v>
      </c>
      <c r="E58" s="39">
        <v>0</v>
      </c>
      <c r="F58" s="6" t="str">
        <f>ReelIndexToWeight(C58)</f>
        <v>147,245,804</v>
      </c>
      <c r="G58" s="6"/>
      <c r="H58" s="6"/>
      <c r="I58" s="6"/>
      <c r="J58" s="6"/>
      <c r="K58" s="6"/>
    </row>
    <row r="59" spans="1:11" ht="16.5">
      <c r="B59" s="39" t="s">
        <v>184</v>
      </c>
      <c r="C59" s="39" t="s">
        <v>183</v>
      </c>
      <c r="D59" s="39">
        <v>0</v>
      </c>
      <c r="E59" s="39">
        <v>0</v>
      </c>
      <c r="F59" s="6" t="str">
        <f>ReelIndexToWeight(C59)</f>
        <v>549,217,129</v>
      </c>
      <c r="G59" s="6"/>
      <c r="H59" s="6"/>
      <c r="I59" s="6"/>
      <c r="J59" s="6"/>
      <c r="K59" s="6"/>
    </row>
    <row r="60" spans="1:11" ht="16.5">
      <c r="C60" s="39" t="s">
        <v>185</v>
      </c>
      <c r="D60" s="39">
        <v>0</v>
      </c>
      <c r="E60" s="39">
        <v>0</v>
      </c>
      <c r="F60" s="6" t="str">
        <f>ReelIndexToWeight(C60)</f>
        <v>147,217,129</v>
      </c>
      <c r="G60" s="6"/>
      <c r="H60" s="6"/>
      <c r="I60" s="6"/>
      <c r="J60" s="6"/>
      <c r="K60" s="6"/>
    </row>
    <row r="61" spans="1:11" ht="16.5">
      <c r="F61" s="6"/>
      <c r="G61" s="6"/>
      <c r="H61" s="6"/>
      <c r="I61" s="6"/>
      <c r="J61" s="6"/>
      <c r="K61" s="6"/>
    </row>
    <row r="62" spans="1:11" ht="16.5">
      <c r="F62" s="6"/>
      <c r="G62" s="6"/>
      <c r="H62" s="6"/>
      <c r="I62" s="6"/>
      <c r="J62" s="6"/>
      <c r="K62" s="6"/>
    </row>
    <row r="63" spans="1:11" ht="16.5">
      <c r="F63" s="6"/>
      <c r="G63" s="6"/>
      <c r="H63" s="6"/>
      <c r="I63" s="6"/>
      <c r="J63" s="6"/>
      <c r="K63" s="6"/>
    </row>
    <row r="64" spans="1:11" ht="16.5">
      <c r="F64" s="6"/>
      <c r="G64" s="6"/>
      <c r="H64" s="6"/>
      <c r="I64" s="6"/>
      <c r="J64" s="6"/>
      <c r="K64" s="6"/>
    </row>
    <row r="65" spans="6:11" ht="16.5">
      <c r="F65" s="6"/>
      <c r="G65" s="6"/>
      <c r="H65" s="6"/>
      <c r="I65" s="6"/>
      <c r="J65" s="6"/>
      <c r="K65" s="6"/>
    </row>
    <row r="66" spans="6:11" ht="16.5">
      <c r="F66" s="6"/>
      <c r="G66" s="6"/>
      <c r="H66" s="6"/>
      <c r="I66" s="6"/>
      <c r="J66" s="6"/>
      <c r="K66" s="6"/>
    </row>
    <row r="67" spans="6:11" ht="16.5">
      <c r="F67" s="6"/>
      <c r="G67" s="6"/>
      <c r="H67" s="6"/>
      <c r="I67" s="6"/>
      <c r="J67" s="6"/>
      <c r="K67" s="6"/>
    </row>
    <row r="68" spans="6:11" ht="16.5">
      <c r="F68" s="6"/>
      <c r="G68" s="6"/>
      <c r="H68" s="6"/>
      <c r="I68" s="6"/>
      <c r="J68" s="6"/>
      <c r="K68" s="6"/>
    </row>
    <row r="69" spans="6:11" ht="16.5">
      <c r="F69" s="6"/>
      <c r="G69" s="6"/>
      <c r="H69" s="6"/>
      <c r="I69" s="6"/>
      <c r="J69" s="6"/>
      <c r="K69" s="6"/>
    </row>
    <row r="70" spans="6:11" ht="16.5">
      <c r="F70" s="6"/>
      <c r="G70" s="6"/>
      <c r="H70" s="6"/>
      <c r="I70" s="6"/>
      <c r="J70" s="6"/>
      <c r="K70" s="6"/>
    </row>
    <row r="71" spans="6:11" ht="16.5">
      <c r="F71" s="6"/>
      <c r="G71" s="6"/>
      <c r="H71" s="6"/>
      <c r="I71" s="6"/>
      <c r="J71" s="6"/>
      <c r="K71" s="6"/>
    </row>
    <row r="72" spans="6:11" ht="16.5">
      <c r="F72" s="6"/>
      <c r="G72" s="6"/>
      <c r="H72" s="6"/>
      <c r="I72" s="6"/>
      <c r="J72" s="6"/>
      <c r="K72" s="6"/>
    </row>
    <row r="73" spans="6:11" ht="16.5">
      <c r="F73" s="6"/>
      <c r="G73" s="6"/>
      <c r="H73" s="6"/>
      <c r="I73" s="6"/>
      <c r="J73" s="6"/>
      <c r="K73" s="6"/>
    </row>
    <row r="74" spans="6:11" ht="16.5">
      <c r="F74" s="6"/>
      <c r="G74" s="6"/>
      <c r="H74" s="6"/>
      <c r="I74" s="6"/>
      <c r="J74" s="6"/>
      <c r="K74" s="6"/>
    </row>
    <row r="75" spans="6:11" ht="16.5">
      <c r="F75" s="6"/>
      <c r="G75" s="6"/>
      <c r="H75" s="6"/>
      <c r="I75" s="6"/>
      <c r="J75" s="6"/>
      <c r="K75" s="6"/>
    </row>
    <row r="76" spans="6:11" ht="16.5">
      <c r="F76" s="6"/>
      <c r="G76" s="6"/>
      <c r="H76" s="6"/>
      <c r="I76" s="6"/>
      <c r="J76" s="6"/>
      <c r="K76" s="6"/>
    </row>
    <row r="77" spans="6:11" ht="16.5">
      <c r="F77" s="6"/>
      <c r="G77" s="6"/>
      <c r="H77" s="6"/>
      <c r="I77" s="6"/>
      <c r="J77" s="6"/>
      <c r="K77" s="6"/>
    </row>
    <row r="78" spans="6:11" ht="16.5">
      <c r="F78" s="6"/>
      <c r="G78" s="6"/>
      <c r="H78" s="6"/>
      <c r="I78" s="6"/>
      <c r="J78" s="6"/>
      <c r="K78" s="6"/>
    </row>
    <row r="79" spans="6:11" ht="16.5">
      <c r="F79" s="6"/>
      <c r="G79" s="6"/>
      <c r="H79" s="6"/>
      <c r="I79" s="6"/>
      <c r="J79" s="6"/>
      <c r="K79" s="6"/>
    </row>
    <row r="80" spans="6:11" ht="16.5">
      <c r="F80" s="6"/>
      <c r="G80" s="6"/>
      <c r="H80" s="6"/>
      <c r="I80" s="6"/>
      <c r="J80" s="6"/>
      <c r="K80" s="6"/>
    </row>
    <row r="81" spans="6:11" ht="16.5">
      <c r="F81" s="6"/>
      <c r="G81" s="6"/>
      <c r="H81" s="6"/>
      <c r="I81" s="6"/>
      <c r="J81" s="6"/>
      <c r="K81" s="6"/>
    </row>
    <row r="82" spans="6:11" ht="16.5">
      <c r="F82" s="6"/>
      <c r="G82" s="6"/>
      <c r="H82" s="6"/>
      <c r="I82" s="6"/>
      <c r="J82" s="6"/>
      <c r="K82" s="6"/>
    </row>
    <row r="83" spans="6:11" ht="16.5">
      <c r="F83" s="6"/>
      <c r="G83" s="6"/>
      <c r="H83" s="6"/>
      <c r="I83" s="6"/>
      <c r="J83" s="6"/>
      <c r="K83" s="6"/>
    </row>
    <row r="84" spans="6:11" ht="16.5">
      <c r="F84" s="6"/>
      <c r="G84" s="6"/>
      <c r="H84" s="6"/>
      <c r="I84" s="6"/>
      <c r="J84" s="6"/>
      <c r="K84" s="6"/>
    </row>
    <row r="85" spans="6:11" ht="16.5">
      <c r="F85" s="6"/>
      <c r="G85" s="6"/>
      <c r="H85" s="6"/>
      <c r="I85" s="6"/>
      <c r="J85" s="6"/>
      <c r="K85" s="6"/>
    </row>
    <row r="86" spans="6:11" ht="16.5">
      <c r="F86" s="6"/>
      <c r="G86" s="6"/>
      <c r="H86" s="6"/>
      <c r="I86" s="6"/>
      <c r="J86" s="6"/>
      <c r="K86" s="6"/>
    </row>
    <row r="87" spans="6:11" ht="16.5">
      <c r="F87" s="6"/>
      <c r="G87" s="6"/>
      <c r="H87" s="6"/>
      <c r="I87" s="6"/>
      <c r="J87" s="6"/>
      <c r="K87" s="6"/>
    </row>
    <row r="88" spans="6:11" ht="16.5">
      <c r="F88" s="6"/>
      <c r="G88" s="6"/>
      <c r="H88" s="6"/>
      <c r="I88" s="6"/>
      <c r="J88" s="6"/>
      <c r="K88" s="6"/>
    </row>
    <row r="89" spans="6:11" ht="16.5">
      <c r="F89" s="6"/>
      <c r="G89" s="6"/>
      <c r="H89" s="6"/>
      <c r="I89" s="6"/>
      <c r="J89" s="6"/>
      <c r="K89" s="6"/>
    </row>
    <row r="90" spans="6:11" ht="16.5">
      <c r="F90" s="6"/>
      <c r="G90" s="6"/>
      <c r="H90" s="6"/>
      <c r="I90" s="6"/>
      <c r="J90" s="6"/>
      <c r="K90" s="6"/>
    </row>
    <row r="91" spans="6:11" ht="16.5">
      <c r="F91" s="6"/>
      <c r="G91" s="6"/>
      <c r="H91" s="6"/>
      <c r="I91" s="6"/>
      <c r="J91" s="6"/>
      <c r="K91" s="6"/>
    </row>
    <row r="92" spans="6:11" ht="16.5">
      <c r="F92" s="6"/>
      <c r="G92" s="6"/>
      <c r="H92" s="6"/>
      <c r="I92" s="6"/>
      <c r="J92" s="6"/>
      <c r="K92" s="6"/>
    </row>
    <row r="93" spans="6:11" ht="16.5">
      <c r="F93" s="6"/>
      <c r="G93" s="6"/>
      <c r="H93" s="6"/>
      <c r="I93" s="6"/>
      <c r="J93" s="6"/>
      <c r="K93" s="6"/>
    </row>
    <row r="94" spans="6:11" ht="16.5">
      <c r="F94" s="6"/>
      <c r="G94" s="6"/>
      <c r="H94" s="6"/>
      <c r="I94" s="6"/>
      <c r="J94" s="6"/>
      <c r="K94" s="6"/>
    </row>
    <row r="95" spans="6:11" ht="16.5">
      <c r="F95" s="6"/>
      <c r="G95" s="6"/>
      <c r="H95" s="6"/>
      <c r="I95" s="6"/>
      <c r="J95" s="6"/>
      <c r="K95" s="6"/>
    </row>
    <row r="96" spans="6:11" ht="16.5">
      <c r="F96" s="6"/>
      <c r="G96" s="6"/>
      <c r="H96" s="6"/>
      <c r="I96" s="6"/>
      <c r="J96" s="6"/>
      <c r="K96" s="6"/>
    </row>
    <row r="97" spans="2:11" ht="16.5">
      <c r="F97" s="6"/>
      <c r="G97" s="6"/>
      <c r="H97" s="6"/>
      <c r="I97" s="6"/>
      <c r="J97" s="6"/>
      <c r="K97" s="6"/>
    </row>
    <row r="98" spans="2:11" ht="16.5">
      <c r="F98" s="6"/>
      <c r="G98" s="6"/>
      <c r="H98" s="6"/>
      <c r="I98" s="6"/>
      <c r="J98" s="6"/>
      <c r="K98" s="6"/>
    </row>
    <row r="99" spans="2:11" ht="16.5">
      <c r="F99" s="6"/>
      <c r="G99" s="6"/>
      <c r="H99" s="6"/>
      <c r="I99" s="6"/>
      <c r="J99" s="6"/>
      <c r="K99" s="6"/>
    </row>
    <row r="100" spans="2:11" ht="16.5">
      <c r="F100" s="6"/>
      <c r="G100" s="6"/>
      <c r="H100" s="6"/>
      <c r="I100" s="6"/>
      <c r="J100" s="6"/>
      <c r="K100" s="6"/>
    </row>
    <row r="101" spans="2:11" ht="16.5">
      <c r="F101" s="6"/>
      <c r="G101" s="6"/>
      <c r="H101" s="6"/>
      <c r="I101" s="6"/>
      <c r="J101" s="6"/>
      <c r="K101" s="6"/>
    </row>
    <row r="102" spans="2:11" ht="16.5">
      <c r="F102" s="6"/>
      <c r="G102" s="6"/>
      <c r="H102" s="6"/>
      <c r="I102" s="6"/>
      <c r="J102" s="6"/>
      <c r="K102" s="6"/>
    </row>
    <row r="103" spans="2:11" ht="16.5">
      <c r="F103" s="6"/>
      <c r="G103" s="6"/>
      <c r="H103" s="6"/>
      <c r="I103" s="6"/>
      <c r="J103" s="6"/>
      <c r="K103" s="6"/>
    </row>
    <row r="104" spans="2:11" ht="16.5">
      <c r="F104" s="6"/>
      <c r="G104" s="6"/>
      <c r="H104" s="6"/>
      <c r="I104" s="6"/>
      <c r="J104" s="6"/>
      <c r="K104" s="6"/>
    </row>
    <row r="105" spans="2:11" ht="16.5">
      <c r="F105" s="6"/>
      <c r="G105" s="6"/>
      <c r="H105" s="6"/>
      <c r="I105" s="6"/>
      <c r="J105" s="6"/>
      <c r="K105" s="6"/>
    </row>
    <row r="106" spans="2:11" ht="16.5">
      <c r="F106" s="6"/>
      <c r="G106" s="6"/>
      <c r="H106" s="6"/>
      <c r="I106" s="6"/>
      <c r="J106" s="6"/>
      <c r="K106" s="6"/>
    </row>
    <row r="107" spans="2:11" ht="16.5">
      <c r="F107" s="6"/>
      <c r="G107" s="6"/>
      <c r="H107" s="6"/>
      <c r="I107" s="6"/>
      <c r="J107" s="6"/>
      <c r="K107" s="6"/>
    </row>
    <row r="108" spans="2:11" ht="16.5">
      <c r="F108" s="6"/>
      <c r="G108" s="6"/>
      <c r="H108" s="6"/>
      <c r="I108" s="6"/>
      <c r="J108" s="6"/>
      <c r="K108" s="6"/>
    </row>
    <row r="109" spans="2:11" ht="16.5">
      <c r="B109" s="41"/>
      <c r="E109" s="41"/>
      <c r="F109" s="6"/>
      <c r="G109" s="6"/>
      <c r="H109" s="6"/>
      <c r="I109" s="6"/>
      <c r="J109" s="6"/>
      <c r="K109" s="6"/>
    </row>
    <row r="110" spans="2:11" ht="16.5">
      <c r="B110" s="41"/>
      <c r="E110" s="41"/>
      <c r="F110" s="6"/>
      <c r="G110" s="6"/>
      <c r="H110" s="6"/>
      <c r="I110" s="6"/>
      <c r="J110" s="6"/>
      <c r="K110" s="6"/>
    </row>
    <row r="111" spans="2:11" ht="16.5">
      <c r="B111" s="41"/>
      <c r="E111" s="41"/>
      <c r="F111" s="6"/>
      <c r="G111" s="6"/>
      <c r="H111" s="6"/>
      <c r="I111" s="6"/>
      <c r="J111" s="6"/>
      <c r="K111" s="6"/>
    </row>
    <row r="112" spans="2:11" ht="16.5">
      <c r="B112" s="41"/>
      <c r="E112" s="41"/>
      <c r="F112" s="6"/>
      <c r="G112" s="6"/>
      <c r="H112" s="6"/>
      <c r="I112" s="6"/>
      <c r="J112" s="6"/>
      <c r="K112" s="6"/>
    </row>
    <row r="113" spans="2:11" ht="16.5">
      <c r="B113" s="41"/>
      <c r="E113" s="41"/>
      <c r="F113" s="6"/>
      <c r="G113" s="6"/>
      <c r="H113" s="6"/>
      <c r="I113" s="6"/>
      <c r="J113" s="6"/>
      <c r="K113" s="6"/>
    </row>
    <row r="114" spans="2:11" ht="16.5">
      <c r="B114" s="41"/>
      <c r="E114" s="41"/>
      <c r="F114" s="6"/>
      <c r="G114" s="6"/>
      <c r="H114" s="6"/>
      <c r="I114" s="6"/>
      <c r="J114" s="6"/>
      <c r="K114" s="6"/>
    </row>
    <row r="115" spans="2:11" ht="16.5">
      <c r="B115" s="41"/>
      <c r="E115" s="41"/>
      <c r="F115" s="6"/>
      <c r="G115" s="6"/>
      <c r="H115" s="6"/>
      <c r="I115" s="6"/>
      <c r="J115" s="6"/>
      <c r="K115" s="6"/>
    </row>
    <row r="116" spans="2:11" ht="16.5">
      <c r="B116" s="41"/>
      <c r="E116" s="41"/>
      <c r="F116" s="6"/>
      <c r="G116" s="6"/>
      <c r="H116" s="6"/>
      <c r="I116" s="6"/>
      <c r="J116" s="6"/>
      <c r="K116" s="6"/>
    </row>
    <row r="117" spans="2:11" ht="16.5">
      <c r="B117" s="41"/>
      <c r="E117" s="41"/>
      <c r="F117" s="6"/>
      <c r="G117" s="6"/>
      <c r="H117" s="6"/>
      <c r="I117" s="6"/>
      <c r="J117" s="6"/>
      <c r="K117" s="6"/>
    </row>
    <row r="118" spans="2:11" ht="16.5">
      <c r="B118" s="41"/>
      <c r="E118" s="41"/>
      <c r="F118" s="6"/>
      <c r="G118" s="6"/>
      <c r="H118" s="6"/>
      <c r="I118" s="6"/>
      <c r="J118" s="6"/>
      <c r="K118" s="6"/>
    </row>
    <row r="119" spans="2:11" ht="16.5">
      <c r="B119" s="41"/>
      <c r="E119" s="41"/>
      <c r="F119" s="6"/>
      <c r="G119" s="6"/>
      <c r="H119" s="6"/>
      <c r="I119" s="6"/>
      <c r="J119" s="6"/>
      <c r="K119" s="6"/>
    </row>
    <row r="120" spans="2:11" ht="16.5">
      <c r="B120" s="41"/>
      <c r="E120" s="41"/>
      <c r="F120" s="6"/>
      <c r="G120" s="6"/>
      <c r="H120" s="6"/>
      <c r="I120" s="6"/>
      <c r="J120" s="6"/>
      <c r="K120" s="6"/>
    </row>
    <row r="121" spans="2:11" ht="16.5">
      <c r="B121" s="41"/>
      <c r="E121" s="41"/>
      <c r="F121" s="6"/>
      <c r="G121" s="6"/>
      <c r="H121" s="6"/>
      <c r="I121" s="6"/>
      <c r="J121" s="6"/>
      <c r="K121" s="6"/>
    </row>
    <row r="122" spans="2:11" ht="16.5">
      <c r="B122" s="41"/>
      <c r="E122" s="41"/>
      <c r="F122" s="6"/>
      <c r="G122" s="6"/>
      <c r="H122" s="6"/>
      <c r="I122" s="6"/>
      <c r="J122" s="6"/>
      <c r="K122" s="6"/>
    </row>
    <row r="123" spans="2:11" ht="16.5">
      <c r="B123" s="41"/>
      <c r="E123" s="41"/>
      <c r="F123" s="6"/>
      <c r="G123" s="6"/>
      <c r="H123" s="6"/>
      <c r="I123" s="6"/>
      <c r="J123" s="6"/>
      <c r="K123" s="6"/>
    </row>
    <row r="124" spans="2:11" ht="16.5">
      <c r="B124" s="41"/>
      <c r="E124" s="41"/>
      <c r="F124" s="6"/>
      <c r="G124" s="6"/>
      <c r="H124" s="6"/>
      <c r="I124" s="6"/>
      <c r="J124" s="6"/>
      <c r="K124" s="6"/>
    </row>
    <row r="125" spans="2:11" ht="16.5">
      <c r="B125" s="41"/>
      <c r="E125" s="41"/>
      <c r="F125" s="6"/>
      <c r="G125" s="6"/>
      <c r="H125" s="6"/>
      <c r="I125" s="6"/>
      <c r="J125" s="6"/>
      <c r="K125" s="6"/>
    </row>
    <row r="126" spans="2:11" ht="16.5">
      <c r="B126" s="41"/>
      <c r="E126" s="41"/>
      <c r="F126" s="6"/>
      <c r="G126" s="6"/>
      <c r="H126" s="6"/>
      <c r="I126" s="6"/>
      <c r="J126" s="6"/>
      <c r="K126" s="6"/>
    </row>
    <row r="127" spans="2:11" ht="16.5">
      <c r="B127" s="41"/>
      <c r="E127" s="41"/>
      <c r="F127" s="6"/>
      <c r="G127" s="6"/>
      <c r="H127" s="6"/>
      <c r="I127" s="6"/>
      <c r="J127" s="6"/>
      <c r="K127" s="6"/>
    </row>
    <row r="128" spans="2:11" ht="16.5">
      <c r="B128" s="41"/>
      <c r="E128" s="41"/>
      <c r="F128" s="6"/>
      <c r="G128" s="6"/>
      <c r="H128" s="6"/>
      <c r="I128" s="6"/>
      <c r="J128" s="6"/>
      <c r="K128" s="6"/>
    </row>
    <row r="129" spans="2:11" ht="16.5">
      <c r="B129" s="41"/>
      <c r="E129" s="41"/>
      <c r="F129" s="6"/>
      <c r="G129" s="6"/>
      <c r="H129" s="6"/>
      <c r="I129" s="6"/>
      <c r="J129" s="6"/>
      <c r="K129" s="6"/>
    </row>
    <row r="130" spans="2:11" ht="16.5">
      <c r="B130" s="41"/>
      <c r="E130" s="41"/>
      <c r="F130" s="6"/>
      <c r="G130" s="6"/>
      <c r="H130" s="6"/>
      <c r="I130" s="6"/>
      <c r="J130" s="6"/>
      <c r="K130" s="6"/>
    </row>
    <row r="131" spans="2:11" ht="16.5">
      <c r="B131" s="41"/>
      <c r="E131" s="41"/>
      <c r="F131" s="6"/>
      <c r="G131" s="6"/>
      <c r="H131" s="6"/>
      <c r="I131" s="6"/>
      <c r="J131" s="6"/>
      <c r="K131" s="6"/>
    </row>
    <row r="132" spans="2:11" ht="16.5">
      <c r="B132" s="41"/>
      <c r="E132" s="41"/>
      <c r="F132" s="6"/>
      <c r="G132" s="6"/>
      <c r="H132" s="6"/>
      <c r="I132" s="6"/>
      <c r="J132" s="6"/>
      <c r="K132" s="6"/>
    </row>
    <row r="133" spans="2:11" ht="16.5">
      <c r="B133" s="41"/>
      <c r="E133" s="41"/>
      <c r="F133" s="6"/>
      <c r="G133" s="6"/>
      <c r="H133" s="6"/>
      <c r="I133" s="6"/>
      <c r="J133" s="6"/>
      <c r="K133" s="6"/>
    </row>
    <row r="134" spans="2:11" ht="16.5">
      <c r="B134" s="41"/>
      <c r="E134" s="41"/>
      <c r="F134" s="6"/>
      <c r="G134" s="6"/>
      <c r="H134" s="6"/>
      <c r="I134" s="6"/>
      <c r="J134" s="6"/>
      <c r="K134" s="6"/>
    </row>
    <row r="135" spans="2:11" ht="16.5">
      <c r="B135" s="41"/>
      <c r="E135" s="41"/>
      <c r="F135" s="6"/>
      <c r="G135" s="6"/>
      <c r="H135" s="6"/>
      <c r="I135" s="6"/>
      <c r="J135" s="6"/>
      <c r="K135" s="6"/>
    </row>
    <row r="136" spans="2:11" ht="16.5">
      <c r="B136" s="41"/>
      <c r="E136" s="41"/>
      <c r="F136" s="6"/>
      <c r="G136" s="6"/>
      <c r="H136" s="6"/>
      <c r="I136" s="6"/>
      <c r="J136" s="6"/>
      <c r="K136" s="6"/>
    </row>
    <row r="137" spans="2:11" ht="16.5">
      <c r="B137" s="41"/>
      <c r="E137" s="41"/>
      <c r="F137" s="6"/>
      <c r="G137" s="6"/>
      <c r="H137" s="6"/>
      <c r="I137" s="6"/>
      <c r="J137" s="6"/>
      <c r="K137" s="6"/>
    </row>
    <row r="138" spans="2:11" ht="16.5">
      <c r="B138" s="41"/>
      <c r="E138" s="41"/>
      <c r="F138" s="6"/>
      <c r="G138" s="6"/>
      <c r="H138" s="6"/>
      <c r="I138" s="6"/>
      <c r="J138" s="6"/>
      <c r="K138" s="6"/>
    </row>
    <row r="139" spans="2:11" ht="16.5">
      <c r="B139" s="41"/>
      <c r="E139" s="41"/>
      <c r="F139" s="6"/>
      <c r="G139" s="6"/>
      <c r="H139" s="6"/>
      <c r="I139" s="6"/>
      <c r="J139" s="6"/>
      <c r="K139" s="6"/>
    </row>
    <row r="140" spans="2:11" ht="16.5">
      <c r="B140" s="41"/>
      <c r="E140" s="41"/>
      <c r="F140" s="6"/>
      <c r="G140" s="6"/>
      <c r="H140" s="6"/>
      <c r="I140" s="6"/>
      <c r="J140" s="6"/>
      <c r="K140" s="6"/>
    </row>
    <row r="141" spans="2:11" ht="16.5">
      <c r="B141" s="42"/>
      <c r="F141" s="6"/>
      <c r="G141" s="6"/>
      <c r="H141" s="6"/>
      <c r="I141" s="6"/>
      <c r="J141" s="6"/>
      <c r="K141" s="6"/>
    </row>
    <row r="142" spans="2:11" ht="16.5">
      <c r="F142" s="6"/>
      <c r="G142" s="6"/>
      <c r="H142" s="6"/>
      <c r="I142" s="6"/>
      <c r="J142" s="6"/>
      <c r="K142" s="6"/>
    </row>
    <row r="143" spans="2:11" ht="16.5">
      <c r="F143" s="6"/>
      <c r="G143" s="6"/>
      <c r="H143" s="6"/>
      <c r="I143" s="6"/>
      <c r="J143" s="6"/>
      <c r="K143" s="6"/>
    </row>
    <row r="144" spans="2:11" ht="16.5">
      <c r="F144" s="6"/>
      <c r="G144" s="6"/>
      <c r="H144" s="6"/>
      <c r="I144" s="6"/>
      <c r="J144" s="6"/>
      <c r="K144" s="6"/>
    </row>
    <row r="145" spans="5:11" ht="16.5">
      <c r="F145" s="6"/>
      <c r="G145" s="6"/>
      <c r="H145" s="6"/>
      <c r="I145" s="6"/>
      <c r="J145" s="6"/>
      <c r="K145" s="6"/>
    </row>
    <row r="146" spans="5:11" ht="16.5">
      <c r="F146" s="6"/>
      <c r="G146" s="6"/>
      <c r="H146" s="6"/>
      <c r="I146" s="6"/>
      <c r="J146" s="6"/>
      <c r="K146" s="6"/>
    </row>
    <row r="147" spans="5:11" ht="16.5">
      <c r="E147" s="41"/>
      <c r="F147" s="6"/>
      <c r="G147" s="6"/>
      <c r="H147" s="6"/>
      <c r="I147" s="6"/>
      <c r="J147" s="6"/>
      <c r="K147" s="6"/>
    </row>
    <row r="148" spans="5:11" ht="16.5">
      <c r="E148" s="41"/>
      <c r="F148" s="6"/>
      <c r="G148" s="6"/>
      <c r="H148" s="6"/>
      <c r="I148" s="6"/>
      <c r="J148" s="6"/>
      <c r="K148" s="6"/>
    </row>
    <row r="149" spans="5:11" ht="16.5">
      <c r="E149" s="41"/>
      <c r="F149" s="6"/>
      <c r="G149" s="6"/>
      <c r="H149" s="6"/>
      <c r="I149" s="6"/>
      <c r="J149" s="6"/>
      <c r="K149" s="6"/>
    </row>
    <row r="150" spans="5:11" ht="16.5">
      <c r="E150" s="41"/>
      <c r="F150" s="6"/>
      <c r="G150" s="6"/>
      <c r="H150" s="6"/>
      <c r="I150" s="6"/>
      <c r="J150" s="6"/>
      <c r="K150" s="6"/>
    </row>
    <row r="151" spans="5:11" ht="16.5">
      <c r="E151" s="41"/>
      <c r="F151" s="6"/>
      <c r="G151" s="6"/>
      <c r="H151" s="6"/>
      <c r="I151" s="6"/>
      <c r="J151" s="6"/>
      <c r="K151" s="6"/>
    </row>
    <row r="152" spans="5:11" ht="16.5">
      <c r="E152" s="41"/>
      <c r="F152" s="6"/>
      <c r="G152" s="6"/>
      <c r="H152" s="6"/>
      <c r="I152" s="6"/>
      <c r="J152" s="6"/>
      <c r="K152" s="6"/>
    </row>
    <row r="153" spans="5:11" ht="16.5">
      <c r="E153" s="41"/>
      <c r="F153" s="6"/>
      <c r="G153" s="6"/>
      <c r="H153" s="6"/>
      <c r="I153" s="6"/>
      <c r="J153" s="6"/>
      <c r="K153" s="6"/>
    </row>
    <row r="154" spans="5:11" ht="16.5">
      <c r="E154" s="41"/>
      <c r="F154" s="6"/>
      <c r="G154" s="6"/>
      <c r="H154" s="6"/>
      <c r="I154" s="6"/>
      <c r="J154" s="6"/>
      <c r="K154" s="6"/>
    </row>
    <row r="155" spans="5:11" ht="16.5">
      <c r="E155" s="41"/>
      <c r="F155" s="6"/>
      <c r="G155" s="6"/>
      <c r="H155" s="6"/>
      <c r="I155" s="6"/>
      <c r="J155" s="6"/>
      <c r="K155" s="6"/>
    </row>
    <row r="156" spans="5:11" ht="16.5">
      <c r="E156" s="41"/>
      <c r="F156" s="6"/>
      <c r="G156" s="6"/>
      <c r="H156" s="6"/>
      <c r="I156" s="6"/>
      <c r="J156" s="6"/>
      <c r="K156" s="6"/>
    </row>
    <row r="157" spans="5:11" ht="16.5">
      <c r="E157" s="41"/>
      <c r="F157" s="6"/>
      <c r="G157" s="6"/>
      <c r="H157" s="6"/>
      <c r="I157" s="6"/>
      <c r="J157" s="6"/>
      <c r="K157" s="6"/>
    </row>
    <row r="158" spans="5:11" ht="16.5">
      <c r="E158" s="41"/>
      <c r="F158" s="6"/>
      <c r="G158" s="6"/>
      <c r="H158" s="6"/>
      <c r="I158" s="6"/>
      <c r="J158" s="6"/>
      <c r="K158" s="6"/>
    </row>
    <row r="159" spans="5:11" ht="16.5">
      <c r="E159" s="41"/>
      <c r="F159" s="6"/>
      <c r="G159" s="6"/>
      <c r="H159" s="6"/>
      <c r="I159" s="6"/>
      <c r="J159" s="6"/>
      <c r="K159" s="6"/>
    </row>
    <row r="160" spans="5:11" ht="16.5">
      <c r="E160" s="41"/>
      <c r="F160" s="6"/>
      <c r="G160" s="6"/>
      <c r="H160" s="6"/>
      <c r="I160" s="6"/>
      <c r="J160" s="6"/>
      <c r="K160" s="6"/>
    </row>
    <row r="161" spans="5:11" ht="16.5">
      <c r="E161" s="41"/>
      <c r="F161" s="6"/>
      <c r="G161" s="6"/>
      <c r="H161" s="6"/>
      <c r="I161" s="6"/>
      <c r="J161" s="6"/>
      <c r="K161" s="6"/>
    </row>
    <row r="162" spans="5:11" ht="16.5">
      <c r="E162" s="41"/>
      <c r="F162" s="6"/>
      <c r="G162" s="6"/>
      <c r="H162" s="6"/>
      <c r="I162" s="6"/>
      <c r="J162" s="6"/>
      <c r="K162" s="6"/>
    </row>
    <row r="163" spans="5:11" ht="16.5">
      <c r="E163" s="41"/>
      <c r="F163" s="6"/>
      <c r="G163" s="6"/>
      <c r="H163" s="6"/>
      <c r="I163" s="6"/>
      <c r="J163" s="6"/>
      <c r="K163" s="6"/>
    </row>
    <row r="164" spans="5:11" ht="16.5">
      <c r="E164" s="41"/>
      <c r="F164" s="6"/>
      <c r="G164" s="6"/>
      <c r="H164" s="6"/>
      <c r="I164" s="6"/>
      <c r="J164" s="6"/>
      <c r="K164" s="6"/>
    </row>
    <row r="165" spans="5:11" ht="16.5">
      <c r="E165" s="41"/>
      <c r="F165" s="6"/>
      <c r="G165" s="6"/>
      <c r="H165" s="6"/>
      <c r="I165" s="6"/>
      <c r="J165" s="6"/>
      <c r="K165" s="6"/>
    </row>
    <row r="166" spans="5:11" ht="16.5">
      <c r="E166" s="41"/>
      <c r="F166" s="6"/>
      <c r="G166" s="6"/>
      <c r="H166" s="6"/>
      <c r="I166" s="6"/>
      <c r="J166" s="6"/>
      <c r="K166" s="6"/>
    </row>
    <row r="167" spans="5:11" ht="16.5">
      <c r="E167" s="41"/>
      <c r="F167" s="6"/>
      <c r="G167" s="6"/>
      <c r="H167" s="6"/>
      <c r="I167" s="6"/>
      <c r="J167" s="6"/>
      <c r="K167" s="6"/>
    </row>
    <row r="168" spans="5:11" ht="16.5">
      <c r="E168" s="41"/>
      <c r="F168" s="6"/>
      <c r="G168" s="6"/>
      <c r="H168" s="6"/>
      <c r="I168" s="6"/>
      <c r="J168" s="6"/>
      <c r="K168" s="6"/>
    </row>
    <row r="169" spans="5:11" ht="16.5">
      <c r="E169" s="41"/>
      <c r="F169" s="6"/>
      <c r="G169" s="6"/>
      <c r="H169" s="6"/>
      <c r="I169" s="6"/>
      <c r="J169" s="6"/>
      <c r="K169" s="6"/>
    </row>
    <row r="170" spans="5:11" ht="16.5">
      <c r="E170" s="41"/>
      <c r="F170" s="6"/>
      <c r="G170" s="6"/>
      <c r="H170" s="6"/>
      <c r="I170" s="6"/>
      <c r="J170" s="6"/>
      <c r="K170" s="6"/>
    </row>
    <row r="171" spans="5:11" ht="16.5">
      <c r="E171" s="41"/>
      <c r="F171" s="6"/>
      <c r="G171" s="6"/>
      <c r="H171" s="6"/>
      <c r="I171" s="6"/>
      <c r="J171" s="6"/>
      <c r="K171" s="6"/>
    </row>
    <row r="172" spans="5:11" ht="16.5">
      <c r="E172" s="41"/>
      <c r="F172" s="6"/>
      <c r="G172" s="6"/>
      <c r="H172" s="6"/>
      <c r="I172" s="6"/>
      <c r="J172" s="6"/>
      <c r="K172" s="6"/>
    </row>
    <row r="173" spans="5:11" ht="16.5">
      <c r="E173" s="41"/>
      <c r="F173" s="6"/>
      <c r="G173" s="6"/>
      <c r="H173" s="6"/>
      <c r="I173" s="6"/>
      <c r="J173" s="6"/>
      <c r="K173" s="6"/>
    </row>
    <row r="174" spans="5:11" ht="16.5">
      <c r="E174" s="41"/>
      <c r="F174" s="6"/>
      <c r="G174" s="6"/>
      <c r="H174" s="6"/>
      <c r="I174" s="6"/>
      <c r="J174" s="6"/>
      <c r="K174" s="6"/>
    </row>
    <row r="175" spans="5:11" ht="16.5">
      <c r="E175" s="41"/>
      <c r="F175" s="6"/>
      <c r="G175" s="6"/>
      <c r="H175" s="6"/>
      <c r="I175" s="6"/>
      <c r="J175" s="6"/>
      <c r="K175" s="6"/>
    </row>
    <row r="176" spans="5:11" ht="16.5">
      <c r="E176" s="41"/>
      <c r="F176" s="6"/>
      <c r="G176" s="6"/>
      <c r="H176" s="6"/>
      <c r="I176" s="6"/>
      <c r="J176" s="6"/>
      <c r="K176" s="6"/>
    </row>
    <row r="177" spans="2:11" ht="16.5">
      <c r="E177" s="41"/>
      <c r="F177" s="6"/>
      <c r="G177" s="6"/>
      <c r="H177" s="6"/>
      <c r="I177" s="6"/>
      <c r="J177" s="6"/>
      <c r="K177" s="6"/>
    </row>
    <row r="178" spans="2:11" ht="16.5">
      <c r="E178" s="41"/>
      <c r="F178" s="6"/>
      <c r="G178" s="6"/>
      <c r="H178" s="6"/>
      <c r="I178" s="6"/>
      <c r="J178" s="6"/>
      <c r="K178" s="6"/>
    </row>
    <row r="179" spans="2:11" ht="16.5">
      <c r="B179" s="41"/>
      <c r="E179" s="41"/>
      <c r="F179" s="6"/>
      <c r="G179" s="6"/>
      <c r="H179" s="6"/>
      <c r="I179" s="6"/>
      <c r="J179" s="6"/>
      <c r="K179" s="6"/>
    </row>
    <row r="180" spans="2:11" ht="16.5">
      <c r="B180" s="41"/>
      <c r="E180" s="41"/>
      <c r="F180" s="6"/>
      <c r="G180" s="6"/>
      <c r="H180" s="6"/>
      <c r="I180" s="6"/>
      <c r="J180" s="6"/>
      <c r="K180" s="6"/>
    </row>
    <row r="181" spans="2:11" ht="16.5">
      <c r="B181" s="41"/>
      <c r="E181" s="41"/>
      <c r="F181" s="6"/>
      <c r="G181" s="6"/>
      <c r="H181" s="6"/>
      <c r="I181" s="6"/>
      <c r="J181" s="6"/>
      <c r="K181" s="6"/>
    </row>
    <row r="182" spans="2:11" ht="16.5">
      <c r="B182" s="41"/>
      <c r="E182" s="41"/>
      <c r="F182" s="6"/>
      <c r="G182" s="6"/>
      <c r="H182" s="6"/>
      <c r="I182" s="6"/>
      <c r="J182" s="6"/>
      <c r="K182" s="6"/>
    </row>
    <row r="183" spans="2:11" ht="16.5">
      <c r="B183" s="41"/>
      <c r="E183" s="41"/>
      <c r="F183" s="6"/>
      <c r="G183" s="6"/>
      <c r="H183" s="6"/>
      <c r="I183" s="6"/>
      <c r="J183" s="6"/>
      <c r="K183" s="6"/>
    </row>
    <row r="184" spans="2:11" ht="16.5">
      <c r="B184" s="41"/>
      <c r="E184" s="41"/>
      <c r="F184" s="6"/>
      <c r="G184" s="6"/>
      <c r="H184" s="6"/>
      <c r="I184" s="6"/>
      <c r="J184" s="6"/>
      <c r="K184" s="6"/>
    </row>
    <row r="185" spans="2:11" ht="16.5">
      <c r="B185" s="41"/>
      <c r="E185" s="41"/>
      <c r="F185" s="6"/>
      <c r="G185" s="6"/>
      <c r="H185" s="6"/>
      <c r="I185" s="6"/>
      <c r="J185" s="6"/>
      <c r="K185" s="6"/>
    </row>
    <row r="186" spans="2:11" ht="16.5">
      <c r="B186" s="41"/>
      <c r="E186" s="41"/>
      <c r="F186" s="6"/>
      <c r="G186" s="6"/>
      <c r="H186" s="6"/>
      <c r="I186" s="6"/>
      <c r="J186" s="6"/>
      <c r="K186" s="6"/>
    </row>
    <row r="187" spans="2:11" ht="16.5">
      <c r="B187" s="41"/>
      <c r="E187" s="41"/>
      <c r="F187" s="6"/>
      <c r="G187" s="6"/>
      <c r="H187" s="6"/>
      <c r="I187" s="6"/>
      <c r="J187" s="6"/>
      <c r="K187" s="6"/>
    </row>
    <row r="188" spans="2:11" ht="16.5">
      <c r="B188" s="41"/>
      <c r="E188" s="41"/>
      <c r="F188" s="6"/>
      <c r="G188" s="6"/>
      <c r="H188" s="6"/>
      <c r="I188" s="6"/>
      <c r="J188" s="6"/>
      <c r="K188" s="6"/>
    </row>
    <row r="189" spans="2:11" ht="16.5">
      <c r="B189" s="41"/>
      <c r="E189" s="41"/>
      <c r="F189" s="6"/>
      <c r="G189" s="6"/>
      <c r="H189" s="6"/>
      <c r="I189" s="6"/>
      <c r="J189" s="6"/>
      <c r="K189" s="6"/>
    </row>
    <row r="190" spans="2:11" ht="16.5">
      <c r="B190" s="41"/>
      <c r="E190" s="41"/>
      <c r="F190" s="6"/>
      <c r="G190" s="6"/>
      <c r="H190" s="6"/>
      <c r="I190" s="6"/>
      <c r="J190" s="6"/>
      <c r="K190" s="6"/>
    </row>
    <row r="191" spans="2:11" ht="16.5">
      <c r="B191" s="41"/>
      <c r="E191" s="41"/>
      <c r="F191" s="6"/>
      <c r="G191" s="6"/>
      <c r="H191" s="6"/>
      <c r="I191" s="6"/>
      <c r="J191" s="6"/>
      <c r="K191" s="6"/>
    </row>
    <row r="192" spans="2:11" ht="16.5">
      <c r="B192" s="41"/>
      <c r="E192" s="41"/>
      <c r="F192" s="6"/>
      <c r="G192" s="6"/>
      <c r="H192" s="6"/>
      <c r="I192" s="6"/>
      <c r="J192" s="6"/>
      <c r="K192" s="6"/>
    </row>
    <row r="193" spans="2:11" ht="16.5">
      <c r="B193" s="41"/>
      <c r="E193" s="41"/>
      <c r="F193" s="6"/>
      <c r="G193" s="6"/>
      <c r="H193" s="6"/>
      <c r="I193" s="6"/>
      <c r="J193" s="6"/>
      <c r="K193" s="6"/>
    </row>
    <row r="194" spans="2:11" ht="16.5">
      <c r="B194" s="41"/>
      <c r="E194" s="41"/>
      <c r="F194" s="6"/>
      <c r="G194" s="6"/>
      <c r="H194" s="6"/>
      <c r="I194" s="6"/>
      <c r="J194" s="6"/>
      <c r="K194" s="6"/>
    </row>
    <row r="195" spans="2:11" ht="16.5">
      <c r="B195" s="41"/>
      <c r="E195" s="41"/>
      <c r="F195" s="6"/>
      <c r="G195" s="6"/>
      <c r="H195" s="6"/>
      <c r="I195" s="6"/>
      <c r="J195" s="6"/>
      <c r="K195" s="6"/>
    </row>
    <row r="196" spans="2:11" ht="16.5">
      <c r="B196" s="41"/>
      <c r="E196" s="41"/>
      <c r="F196" s="6"/>
      <c r="G196" s="6"/>
      <c r="H196" s="6"/>
      <c r="I196" s="6"/>
      <c r="J196" s="6"/>
      <c r="K196" s="6"/>
    </row>
    <row r="197" spans="2:11" ht="16.5">
      <c r="B197" s="41"/>
      <c r="E197" s="41"/>
      <c r="F197" s="6"/>
      <c r="G197" s="6"/>
      <c r="H197" s="6"/>
      <c r="I197" s="6"/>
      <c r="J197" s="6"/>
      <c r="K197" s="6"/>
    </row>
    <row r="198" spans="2:11" ht="16.5">
      <c r="B198" s="41"/>
      <c r="E198" s="41"/>
      <c r="F198" s="6"/>
      <c r="G198" s="6"/>
      <c r="H198" s="6"/>
      <c r="I198" s="6"/>
      <c r="J198" s="6"/>
      <c r="K198" s="6"/>
    </row>
    <row r="199" spans="2:11" ht="16.5">
      <c r="B199" s="41"/>
      <c r="E199" s="41"/>
      <c r="F199" s="6"/>
      <c r="G199" s="6"/>
      <c r="H199" s="6"/>
      <c r="I199" s="6"/>
      <c r="J199" s="6"/>
      <c r="K199" s="6"/>
    </row>
    <row r="200" spans="2:11" ht="16.5">
      <c r="B200" s="41"/>
      <c r="E200" s="41"/>
      <c r="F200" s="6"/>
      <c r="G200" s="6"/>
      <c r="H200" s="6"/>
      <c r="I200" s="6"/>
      <c r="J200" s="6"/>
      <c r="K200" s="6"/>
    </row>
    <row r="201" spans="2:11" ht="16.5">
      <c r="B201" s="41"/>
      <c r="E201" s="41"/>
      <c r="F201" s="6"/>
      <c r="G201" s="6"/>
      <c r="H201" s="6"/>
      <c r="I201" s="6"/>
      <c r="J201" s="6"/>
      <c r="K201" s="6"/>
    </row>
    <row r="202" spans="2:11" ht="16.5">
      <c r="B202" s="41"/>
      <c r="E202" s="41"/>
      <c r="F202" s="6"/>
      <c r="G202" s="6"/>
      <c r="H202" s="6"/>
      <c r="I202" s="6"/>
      <c r="J202" s="6"/>
      <c r="K202" s="6"/>
    </row>
    <row r="203" spans="2:11" ht="16.5">
      <c r="B203" s="41"/>
      <c r="E203" s="41"/>
      <c r="F203" s="6"/>
      <c r="G203" s="6"/>
      <c r="H203" s="6"/>
      <c r="I203" s="6"/>
      <c r="J203" s="6"/>
      <c r="K203" s="6"/>
    </row>
    <row r="204" spans="2:11" ht="16.5">
      <c r="B204" s="41"/>
      <c r="E204" s="41"/>
      <c r="F204" s="6"/>
      <c r="G204" s="6"/>
      <c r="H204" s="6"/>
      <c r="I204" s="6"/>
      <c r="J204" s="6"/>
      <c r="K204" s="6"/>
    </row>
    <row r="205" spans="2:11" ht="16.5">
      <c r="B205" s="41"/>
      <c r="E205" s="41"/>
      <c r="F205" s="6"/>
      <c r="G205" s="6"/>
      <c r="H205" s="6"/>
      <c r="I205" s="6"/>
      <c r="J205" s="6"/>
      <c r="K205" s="6"/>
    </row>
    <row r="206" spans="2:11" ht="16.5">
      <c r="B206" s="41"/>
      <c r="E206" s="41"/>
      <c r="F206" s="6"/>
      <c r="G206" s="6"/>
      <c r="H206" s="6"/>
      <c r="I206" s="6"/>
      <c r="J206" s="6"/>
      <c r="K206" s="6"/>
    </row>
    <row r="207" spans="2:11" ht="16.5">
      <c r="B207" s="41"/>
      <c r="E207" s="41"/>
      <c r="F207" s="6"/>
      <c r="G207" s="6"/>
      <c r="H207" s="6"/>
      <c r="I207" s="6"/>
      <c r="J207" s="6"/>
      <c r="K207" s="6"/>
    </row>
    <row r="208" spans="2:11" ht="16.5">
      <c r="B208" s="41"/>
      <c r="E208" s="41"/>
      <c r="F208" s="6"/>
      <c r="G208" s="6"/>
      <c r="H208" s="6"/>
      <c r="I208" s="6"/>
      <c r="J208" s="6"/>
      <c r="K208" s="6"/>
    </row>
    <row r="209" spans="2:11" ht="16.5">
      <c r="B209" s="41"/>
      <c r="E209" s="41"/>
      <c r="F209" s="6"/>
      <c r="G209" s="6"/>
      <c r="H209" s="6"/>
      <c r="I209" s="6"/>
      <c r="J209" s="6"/>
      <c r="K209" s="6"/>
    </row>
    <row r="210" spans="2:11" ht="16.5">
      <c r="B210" s="41"/>
      <c r="E210" s="41"/>
      <c r="F210" s="6"/>
      <c r="G210" s="6"/>
      <c r="H210" s="6"/>
      <c r="I210" s="6"/>
      <c r="J210" s="6"/>
      <c r="K210" s="6"/>
    </row>
    <row r="211" spans="2:11" ht="16.5">
      <c r="B211" s="41"/>
      <c r="E211" s="41"/>
      <c r="F211" s="6"/>
      <c r="G211" s="6"/>
      <c r="H211" s="6"/>
      <c r="I211" s="6"/>
      <c r="J211" s="6"/>
      <c r="K211" s="6"/>
    </row>
    <row r="212" spans="2:11" ht="16.5">
      <c r="B212" s="41"/>
      <c r="E212" s="41"/>
      <c r="F212" s="6"/>
      <c r="G212" s="6"/>
      <c r="H212" s="6"/>
      <c r="I212" s="6"/>
      <c r="J212" s="6"/>
      <c r="K212" s="6"/>
    </row>
    <row r="213" spans="2:11" ht="16.5">
      <c r="B213" s="41"/>
      <c r="E213" s="41"/>
      <c r="F213" s="6"/>
      <c r="G213" s="6"/>
      <c r="H213" s="6"/>
      <c r="I213" s="6"/>
      <c r="J213" s="6"/>
      <c r="K213" s="6"/>
    </row>
    <row r="214" spans="2:11" ht="16.5">
      <c r="B214" s="41"/>
      <c r="E214" s="41"/>
      <c r="F214" s="6"/>
      <c r="G214" s="6"/>
      <c r="H214" s="6"/>
      <c r="I214" s="6"/>
      <c r="J214" s="6"/>
      <c r="K214" s="6"/>
    </row>
    <row r="215" spans="2:11" ht="16.5">
      <c r="B215" s="41"/>
      <c r="E215" s="41"/>
      <c r="F215" s="6"/>
      <c r="G215" s="6"/>
      <c r="H215" s="6"/>
      <c r="I215" s="6"/>
      <c r="J215" s="6"/>
      <c r="K215" s="6"/>
    </row>
    <row r="216" spans="2:11" ht="16.5">
      <c r="B216" s="41"/>
      <c r="E216" s="41"/>
      <c r="F216" s="6"/>
      <c r="G216" s="6"/>
      <c r="H216" s="6"/>
      <c r="I216" s="6"/>
      <c r="J216" s="6"/>
      <c r="K216" s="6"/>
    </row>
    <row r="217" spans="2:11" ht="16.5">
      <c r="B217" s="41"/>
      <c r="E217" s="41"/>
      <c r="F217" s="6"/>
      <c r="G217" s="6"/>
      <c r="H217" s="6"/>
      <c r="I217" s="6"/>
      <c r="J217" s="6"/>
      <c r="K217" s="6"/>
    </row>
    <row r="218" spans="2:11" ht="16.5">
      <c r="B218" s="41"/>
      <c r="E218" s="41"/>
      <c r="F218" s="6"/>
      <c r="G218" s="6"/>
      <c r="H218" s="6"/>
      <c r="I218" s="6"/>
      <c r="J218" s="6"/>
      <c r="K218" s="6"/>
    </row>
    <row r="219" spans="2:11" ht="16.5">
      <c r="B219" s="41"/>
      <c r="E219" s="41"/>
      <c r="F219" s="6"/>
      <c r="G219" s="6"/>
      <c r="H219" s="6"/>
      <c r="I219" s="6"/>
      <c r="J219" s="6"/>
      <c r="K219" s="6"/>
    </row>
    <row r="220" spans="2:11" ht="16.5">
      <c r="B220" s="41"/>
      <c r="E220" s="41"/>
      <c r="F220" s="6"/>
      <c r="G220" s="6"/>
      <c r="H220" s="6"/>
      <c r="I220" s="6"/>
      <c r="J220" s="6"/>
      <c r="K220" s="6"/>
    </row>
    <row r="221" spans="2:11" ht="16.5">
      <c r="B221" s="41"/>
      <c r="E221" s="41"/>
      <c r="F221" s="6"/>
      <c r="G221" s="6"/>
      <c r="H221" s="6"/>
      <c r="I221" s="6"/>
      <c r="J221" s="6"/>
      <c r="K221" s="6"/>
    </row>
    <row r="222" spans="2:11" ht="16.5">
      <c r="B222" s="41"/>
      <c r="E222" s="41"/>
      <c r="F222" s="6"/>
      <c r="G222" s="6"/>
      <c r="H222" s="6"/>
      <c r="I222" s="6"/>
      <c r="J222" s="6"/>
      <c r="K222" s="6"/>
    </row>
    <row r="223" spans="2:11" ht="16.5">
      <c r="B223" s="41"/>
      <c r="E223" s="41"/>
      <c r="F223" s="6"/>
      <c r="G223" s="6"/>
      <c r="H223" s="6"/>
      <c r="I223" s="6"/>
      <c r="J223" s="6"/>
      <c r="K223" s="6"/>
    </row>
    <row r="224" spans="2:11" ht="16.5">
      <c r="B224" s="41"/>
      <c r="E224" s="41"/>
      <c r="F224" s="6"/>
      <c r="G224" s="6"/>
      <c r="H224" s="6"/>
      <c r="I224" s="6"/>
      <c r="J224" s="6"/>
      <c r="K224" s="6"/>
    </row>
    <row r="225" spans="2:11" ht="16.5">
      <c r="B225" s="41"/>
      <c r="E225" s="41"/>
      <c r="F225" s="6"/>
      <c r="G225" s="6"/>
      <c r="H225" s="6"/>
      <c r="I225" s="6"/>
      <c r="J225" s="6"/>
      <c r="K225" s="6"/>
    </row>
    <row r="226" spans="2:11" ht="16.5">
      <c r="B226" s="41"/>
      <c r="E226" s="41"/>
      <c r="F226" s="6"/>
      <c r="G226" s="6"/>
      <c r="H226" s="6"/>
      <c r="I226" s="6"/>
      <c r="J226" s="6"/>
      <c r="K226" s="6"/>
    </row>
    <row r="227" spans="2:11" ht="16.5">
      <c r="B227" s="41"/>
      <c r="E227" s="41"/>
      <c r="F227" s="6"/>
      <c r="G227" s="6"/>
      <c r="H227" s="6"/>
      <c r="I227" s="6"/>
      <c r="J227" s="6"/>
      <c r="K227" s="6"/>
    </row>
    <row r="228" spans="2:11" ht="16.5">
      <c r="B228" s="41"/>
      <c r="E228" s="41"/>
      <c r="F228" s="6"/>
      <c r="G228" s="6"/>
      <c r="H228" s="6"/>
      <c r="I228" s="6"/>
      <c r="J228" s="6"/>
      <c r="K228" s="6"/>
    </row>
    <row r="229" spans="2:11" ht="16.5">
      <c r="B229" s="41"/>
      <c r="E229" s="41"/>
      <c r="F229" s="6"/>
      <c r="G229" s="6"/>
      <c r="H229" s="6"/>
      <c r="I229" s="6"/>
      <c r="J229" s="6"/>
      <c r="K229" s="6"/>
    </row>
    <row r="230" spans="2:11" ht="16.5">
      <c r="B230" s="41"/>
      <c r="E230" s="41"/>
      <c r="F230" s="6"/>
      <c r="G230" s="6"/>
      <c r="H230" s="6"/>
      <c r="I230" s="6"/>
      <c r="J230" s="6"/>
      <c r="K230" s="6"/>
    </row>
    <row r="231" spans="2:11" ht="16.5">
      <c r="B231" s="41"/>
      <c r="E231" s="41"/>
      <c r="F231" s="6"/>
      <c r="G231" s="6"/>
      <c r="H231" s="6"/>
      <c r="I231" s="6"/>
      <c r="J231" s="6"/>
      <c r="K231" s="6"/>
    </row>
    <row r="232" spans="2:11" ht="16.5">
      <c r="B232" s="41"/>
      <c r="E232" s="41"/>
      <c r="F232" s="6"/>
      <c r="G232" s="6"/>
      <c r="H232" s="6"/>
      <c r="I232" s="6"/>
      <c r="J232" s="6"/>
      <c r="K232" s="6"/>
    </row>
    <row r="233" spans="2:11" ht="16.5">
      <c r="B233" s="41"/>
      <c r="E233" s="41"/>
      <c r="F233" s="6"/>
      <c r="G233" s="6"/>
      <c r="H233" s="6"/>
      <c r="I233" s="6"/>
      <c r="J233" s="6"/>
      <c r="K233" s="6"/>
    </row>
    <row r="234" spans="2:11" ht="16.5">
      <c r="B234" s="41"/>
      <c r="E234" s="41"/>
      <c r="F234" s="6"/>
      <c r="G234" s="6"/>
      <c r="H234" s="6"/>
      <c r="I234" s="6"/>
      <c r="J234" s="6"/>
      <c r="K234" s="6"/>
    </row>
    <row r="235" spans="2:11" ht="16.5">
      <c r="B235" s="41"/>
      <c r="E235" s="41"/>
      <c r="F235" s="6"/>
      <c r="G235" s="6"/>
      <c r="H235" s="6"/>
      <c r="I235" s="6"/>
      <c r="J235" s="6"/>
      <c r="K235" s="6"/>
    </row>
    <row r="236" spans="2:11" ht="16.5">
      <c r="B236" s="41"/>
      <c r="E236" s="41"/>
      <c r="F236" s="6"/>
      <c r="G236" s="6"/>
      <c r="H236" s="6"/>
      <c r="I236" s="6"/>
      <c r="J236" s="6"/>
      <c r="K236" s="6"/>
    </row>
    <row r="237" spans="2:11" ht="16.5">
      <c r="B237" s="41"/>
      <c r="E237" s="41"/>
      <c r="F237" s="6"/>
      <c r="G237" s="6"/>
      <c r="H237" s="6"/>
      <c r="I237" s="6"/>
      <c r="J237" s="6"/>
      <c r="K237" s="6"/>
    </row>
    <row r="238" spans="2:11" ht="16.5">
      <c r="B238" s="41"/>
      <c r="E238" s="41"/>
      <c r="F238" s="6"/>
      <c r="G238" s="6"/>
      <c r="H238" s="6"/>
      <c r="I238" s="6"/>
      <c r="J238" s="6"/>
      <c r="K238" s="6"/>
    </row>
    <row r="239" spans="2:11" ht="16.5">
      <c r="B239" s="41"/>
      <c r="E239" s="41"/>
      <c r="F239" s="6"/>
      <c r="G239" s="6"/>
      <c r="H239" s="6"/>
      <c r="I239" s="6"/>
      <c r="J239" s="6"/>
      <c r="K239" s="6"/>
    </row>
    <row r="240" spans="2:11" ht="16.5">
      <c r="B240" s="41"/>
      <c r="E240" s="41"/>
      <c r="F240" s="6"/>
      <c r="G240" s="6"/>
      <c r="H240" s="6"/>
      <c r="I240" s="6"/>
      <c r="J240" s="6"/>
      <c r="K240" s="6"/>
    </row>
    <row r="241" spans="2:11" ht="16.5">
      <c r="B241" s="41"/>
      <c r="E241" s="41"/>
      <c r="F241" s="6"/>
      <c r="G241" s="6"/>
      <c r="H241" s="6"/>
      <c r="I241" s="6"/>
      <c r="J241" s="6"/>
      <c r="K241" s="6"/>
    </row>
    <row r="242" spans="2:11" ht="16.5">
      <c r="B242" s="41"/>
      <c r="E242" s="41"/>
      <c r="F242" s="6"/>
      <c r="G242" s="6"/>
      <c r="H242" s="6"/>
      <c r="I242" s="6"/>
      <c r="J242" s="6"/>
      <c r="K242" s="6"/>
    </row>
    <row r="243" spans="2:11" ht="16.5">
      <c r="B243" s="41"/>
      <c r="E243" s="41"/>
      <c r="F243" s="6"/>
      <c r="G243" s="6"/>
      <c r="H243" s="6"/>
      <c r="I243" s="6"/>
      <c r="J243" s="6"/>
      <c r="K243" s="6"/>
    </row>
    <row r="244" spans="2:11" ht="16.5">
      <c r="B244" s="41"/>
      <c r="E244" s="41"/>
      <c r="F244" s="6"/>
      <c r="G244" s="6"/>
      <c r="H244" s="6"/>
      <c r="I244" s="6"/>
      <c r="J244" s="6"/>
      <c r="K244" s="6"/>
    </row>
    <row r="245" spans="2:11" ht="16.5">
      <c r="B245" s="41"/>
      <c r="E245" s="41"/>
      <c r="F245" s="6"/>
      <c r="G245" s="6"/>
      <c r="H245" s="6"/>
      <c r="I245" s="6"/>
      <c r="J245" s="6"/>
      <c r="K245" s="6"/>
    </row>
    <row r="246" spans="2:11" ht="16.5">
      <c r="B246" s="41"/>
      <c r="E246" s="41"/>
      <c r="F246" s="6"/>
      <c r="G246" s="6"/>
      <c r="H246" s="6"/>
      <c r="I246" s="6"/>
      <c r="J246" s="6"/>
      <c r="K246" s="6"/>
    </row>
    <row r="247" spans="2:11" ht="16.5">
      <c r="B247" s="41"/>
      <c r="E247" s="41"/>
      <c r="F247" s="6"/>
      <c r="G247" s="6"/>
      <c r="H247" s="6"/>
      <c r="I247" s="6"/>
      <c r="J247" s="6"/>
      <c r="K247" s="6"/>
    </row>
    <row r="248" spans="2:11" ht="16.5">
      <c r="B248" s="41"/>
      <c r="E248" s="41"/>
      <c r="F248" s="6"/>
      <c r="G248" s="6"/>
      <c r="H248" s="6"/>
      <c r="I248" s="6"/>
      <c r="J248" s="6"/>
      <c r="K248" s="6"/>
    </row>
    <row r="249" spans="2:11" ht="16.5">
      <c r="B249" s="41"/>
      <c r="E249" s="41"/>
      <c r="F249" s="6"/>
      <c r="G249" s="6"/>
      <c r="H249" s="6"/>
      <c r="I249" s="6"/>
      <c r="J249" s="6"/>
      <c r="K249" s="6"/>
    </row>
    <row r="250" spans="2:11" ht="16.5">
      <c r="B250" s="41"/>
      <c r="E250" s="41"/>
      <c r="F250" s="6"/>
      <c r="G250" s="6"/>
      <c r="H250" s="6"/>
      <c r="I250" s="6"/>
      <c r="J250" s="6"/>
      <c r="K250" s="6"/>
    </row>
    <row r="251" spans="2:11" ht="16.5">
      <c r="B251" s="41"/>
      <c r="E251" s="41"/>
      <c r="F251" s="6"/>
      <c r="G251" s="6"/>
      <c r="H251" s="6"/>
      <c r="I251" s="6"/>
      <c r="J251" s="6"/>
      <c r="K251" s="6"/>
    </row>
    <row r="252" spans="2:11" ht="16.5">
      <c r="B252" s="41"/>
      <c r="E252" s="41"/>
      <c r="F252" s="6"/>
      <c r="G252" s="6"/>
      <c r="H252" s="6"/>
      <c r="I252" s="6"/>
      <c r="J252" s="6"/>
      <c r="K252" s="6"/>
    </row>
    <row r="253" spans="2:11" ht="16.5">
      <c r="B253" s="41"/>
      <c r="E253" s="41"/>
      <c r="F253" s="6"/>
      <c r="G253" s="6"/>
      <c r="H253" s="6"/>
      <c r="I253" s="6"/>
      <c r="J253" s="6"/>
      <c r="K253" s="6"/>
    </row>
    <row r="254" spans="2:11" ht="16.5">
      <c r="B254" s="41"/>
      <c r="E254" s="41"/>
      <c r="F254" s="6"/>
      <c r="G254" s="6"/>
      <c r="H254" s="6"/>
      <c r="I254" s="6"/>
      <c r="J254" s="6"/>
      <c r="K254" s="6"/>
    </row>
    <row r="255" spans="2:11" ht="16.5">
      <c r="B255" s="41"/>
      <c r="E255" s="41"/>
      <c r="F255" s="6"/>
      <c r="G255" s="6"/>
      <c r="H255" s="6"/>
      <c r="I255" s="6"/>
      <c r="J255" s="6"/>
      <c r="K255" s="6"/>
    </row>
    <row r="256" spans="2:11" ht="16.5">
      <c r="B256" s="41"/>
      <c r="E256" s="41"/>
      <c r="F256" s="6"/>
      <c r="G256" s="6"/>
      <c r="H256" s="6"/>
      <c r="I256" s="6"/>
      <c r="J256" s="6"/>
      <c r="K256" s="6"/>
    </row>
    <row r="257" spans="2:11" ht="16.5">
      <c r="B257" s="41"/>
      <c r="E257" s="41"/>
      <c r="F257" s="6"/>
      <c r="G257" s="6"/>
      <c r="H257" s="6"/>
      <c r="I257" s="6"/>
      <c r="J257" s="6"/>
      <c r="K257" s="6"/>
    </row>
    <row r="258" spans="2:11" ht="16.5">
      <c r="B258" s="41"/>
      <c r="E258" s="41"/>
      <c r="F258" s="6"/>
      <c r="G258" s="6"/>
      <c r="H258" s="6"/>
      <c r="I258" s="6"/>
      <c r="J258" s="6"/>
      <c r="K258" s="6"/>
    </row>
    <row r="259" spans="2:11" ht="16.5">
      <c r="B259" s="41"/>
      <c r="E259" s="41"/>
      <c r="F259" s="6"/>
      <c r="G259" s="6"/>
      <c r="H259" s="6"/>
      <c r="I259" s="6"/>
      <c r="J259" s="6"/>
      <c r="K259" s="6"/>
    </row>
    <row r="260" spans="2:11" ht="16.5">
      <c r="B260" s="41"/>
      <c r="E260" s="41"/>
      <c r="F260" s="6"/>
      <c r="G260" s="6"/>
      <c r="H260" s="6"/>
      <c r="I260" s="6"/>
      <c r="J260" s="6"/>
      <c r="K260" s="6"/>
    </row>
    <row r="261" spans="2:11" ht="16.5">
      <c r="B261" s="41"/>
      <c r="E261" s="41"/>
      <c r="F261" s="6"/>
      <c r="G261" s="6"/>
      <c r="H261" s="6"/>
      <c r="I261" s="6"/>
      <c r="J261" s="6"/>
      <c r="K261" s="6"/>
    </row>
    <row r="262" spans="2:11" ht="16.5">
      <c r="B262" s="41"/>
      <c r="E262" s="41"/>
      <c r="F262" s="6"/>
      <c r="G262" s="6"/>
      <c r="H262" s="6"/>
      <c r="I262" s="6"/>
      <c r="J262" s="6"/>
      <c r="K262" s="6"/>
    </row>
    <row r="263" spans="2:11" ht="16.5">
      <c r="B263" s="41"/>
      <c r="E263" s="41"/>
      <c r="F263" s="6"/>
      <c r="G263" s="6"/>
      <c r="H263" s="6"/>
      <c r="I263" s="6"/>
      <c r="J263" s="6"/>
      <c r="K263" s="6"/>
    </row>
    <row r="264" spans="2:11" ht="16.5">
      <c r="B264" s="41"/>
      <c r="E264" s="41"/>
      <c r="F264" s="6"/>
      <c r="G264" s="6"/>
      <c r="H264" s="6"/>
      <c r="I264" s="6"/>
      <c r="J264" s="6"/>
      <c r="K264" s="6"/>
    </row>
    <row r="265" spans="2:11" ht="16.5">
      <c r="B265" s="41"/>
      <c r="E265" s="41"/>
      <c r="F265" s="6"/>
      <c r="G265" s="6"/>
      <c r="H265" s="6"/>
      <c r="I265" s="6"/>
      <c r="J265" s="6"/>
      <c r="K265" s="6"/>
    </row>
    <row r="266" spans="2:11" ht="16.5">
      <c r="B266" s="41"/>
      <c r="E266" s="41"/>
      <c r="F266" s="6"/>
      <c r="G266" s="6"/>
      <c r="H266" s="6"/>
      <c r="I266" s="6"/>
      <c r="J266" s="6"/>
      <c r="K266" s="6"/>
    </row>
    <row r="267" spans="2:11" ht="16.5">
      <c r="B267" s="41"/>
      <c r="E267" s="41"/>
      <c r="F267" s="6"/>
      <c r="G267" s="6"/>
      <c r="H267" s="6"/>
      <c r="I267" s="6"/>
      <c r="J267" s="6"/>
      <c r="K267" s="6"/>
    </row>
    <row r="268" spans="2:11" ht="16.5">
      <c r="B268" s="41"/>
      <c r="E268" s="41"/>
      <c r="F268" s="6"/>
      <c r="G268" s="6"/>
      <c r="H268" s="6"/>
      <c r="I268" s="6"/>
      <c r="J268" s="6"/>
      <c r="K268" s="6"/>
    </row>
    <row r="269" spans="2:11" ht="16.5">
      <c r="B269" s="41"/>
      <c r="E269" s="41"/>
      <c r="F269" s="6"/>
      <c r="G269" s="6"/>
      <c r="H269" s="6"/>
      <c r="I269" s="6"/>
      <c r="J269" s="6"/>
      <c r="K269" s="6"/>
    </row>
    <row r="270" spans="2:11" ht="16.5">
      <c r="B270" s="41"/>
      <c r="E270" s="41"/>
      <c r="F270" s="6"/>
      <c r="G270" s="6"/>
      <c r="H270" s="6"/>
      <c r="I270" s="6"/>
      <c r="J270" s="6"/>
      <c r="K270" s="6"/>
    </row>
    <row r="271" spans="2:11" ht="16.5">
      <c r="B271" s="41"/>
      <c r="E271" s="41"/>
      <c r="F271" s="6"/>
      <c r="G271" s="6"/>
      <c r="H271" s="6"/>
      <c r="I271" s="6"/>
      <c r="J271" s="6"/>
      <c r="K271" s="6"/>
    </row>
    <row r="272" spans="2:11" ht="16.5">
      <c r="B272" s="41"/>
      <c r="E272" s="41"/>
      <c r="F272" s="6"/>
      <c r="G272" s="6"/>
      <c r="H272" s="6"/>
      <c r="I272" s="6"/>
      <c r="J272" s="6"/>
      <c r="K272" s="6"/>
    </row>
    <row r="273" spans="2:11" ht="16.5">
      <c r="B273" s="41"/>
      <c r="E273" s="41"/>
      <c r="F273" s="6"/>
      <c r="G273" s="6"/>
      <c r="H273" s="6"/>
      <c r="I273" s="6"/>
      <c r="J273" s="6"/>
      <c r="K273" s="6"/>
    </row>
    <row r="274" spans="2:11" ht="16.5">
      <c r="B274" s="41"/>
      <c r="E274" s="41"/>
      <c r="F274" s="6"/>
      <c r="G274" s="6"/>
      <c r="H274" s="6"/>
      <c r="I274" s="6"/>
      <c r="J274" s="6"/>
      <c r="K274" s="6"/>
    </row>
    <row r="275" spans="2:11" ht="16.5">
      <c r="B275" s="41"/>
      <c r="E275" s="41"/>
      <c r="F275" s="6"/>
      <c r="G275" s="6"/>
      <c r="H275" s="6"/>
      <c r="I275" s="6"/>
      <c r="J275" s="6"/>
      <c r="K275" s="6"/>
    </row>
    <row r="276" spans="2:11" ht="16.5">
      <c r="B276" s="41"/>
      <c r="E276" s="41"/>
      <c r="F276" s="6"/>
      <c r="G276" s="6"/>
      <c r="H276" s="6"/>
      <c r="I276" s="6"/>
      <c r="J276" s="6"/>
      <c r="K276" s="6"/>
    </row>
    <row r="277" spans="2:11" ht="16.5">
      <c r="B277" s="41"/>
      <c r="E277" s="41"/>
      <c r="F277" s="6"/>
      <c r="G277" s="6"/>
      <c r="H277" s="6"/>
      <c r="I277" s="6"/>
      <c r="J277" s="6"/>
      <c r="K277" s="6"/>
    </row>
    <row r="278" spans="2:11" ht="16.5">
      <c r="B278" s="41"/>
      <c r="E278" s="41"/>
      <c r="F278" s="6"/>
      <c r="G278" s="6"/>
      <c r="H278" s="6"/>
      <c r="I278" s="6"/>
      <c r="J278" s="6"/>
      <c r="K278" s="6"/>
    </row>
    <row r="279" spans="2:11" ht="16.5">
      <c r="B279" s="41"/>
      <c r="E279" s="41"/>
      <c r="F279" s="6"/>
      <c r="G279" s="6"/>
      <c r="H279" s="6"/>
      <c r="I279" s="6"/>
      <c r="J279" s="6"/>
      <c r="K279" s="6"/>
    </row>
    <row r="280" spans="2:11" ht="16.5">
      <c r="B280" s="41"/>
      <c r="E280" s="41"/>
      <c r="F280" s="6"/>
      <c r="G280" s="6"/>
      <c r="H280" s="6"/>
      <c r="I280" s="6"/>
      <c r="J280" s="6"/>
      <c r="K280" s="6"/>
    </row>
    <row r="281" spans="2:11" ht="16.5">
      <c r="B281" s="41"/>
      <c r="E281" s="41"/>
      <c r="F281" s="6"/>
      <c r="G281" s="6"/>
      <c r="H281" s="6"/>
      <c r="I281" s="6"/>
      <c r="J281" s="6"/>
      <c r="K281" s="6"/>
    </row>
    <row r="282" spans="2:11" ht="16.5">
      <c r="B282" s="41"/>
      <c r="E282" s="41"/>
      <c r="F282" s="6"/>
      <c r="G282" s="6"/>
      <c r="H282" s="6"/>
      <c r="I282" s="6"/>
      <c r="J282" s="6"/>
      <c r="K282" s="6"/>
    </row>
    <row r="283" spans="2:11" ht="16.5">
      <c r="B283" s="41"/>
      <c r="E283" s="41"/>
      <c r="F283" s="6"/>
      <c r="G283" s="6"/>
      <c r="H283" s="6"/>
      <c r="I283" s="6"/>
      <c r="J283" s="6"/>
      <c r="K283" s="6"/>
    </row>
    <row r="284" spans="2:11" ht="16.5">
      <c r="B284" s="41"/>
      <c r="E284" s="41"/>
      <c r="F284" s="6"/>
      <c r="G284" s="6"/>
      <c r="H284" s="6"/>
      <c r="I284" s="6"/>
      <c r="J284" s="6"/>
      <c r="K284" s="6"/>
    </row>
    <row r="285" spans="2:11" ht="16.5">
      <c r="B285" s="41"/>
      <c r="E285" s="41"/>
      <c r="F285" s="6"/>
      <c r="G285" s="6"/>
      <c r="H285" s="6"/>
      <c r="I285" s="6"/>
      <c r="J285" s="6"/>
      <c r="K285" s="6"/>
    </row>
    <row r="286" spans="2:11" ht="16.5">
      <c r="B286" s="41"/>
      <c r="E286" s="41"/>
      <c r="F286" s="6"/>
      <c r="G286" s="6"/>
      <c r="H286" s="6"/>
      <c r="I286" s="6"/>
      <c r="J286" s="6"/>
      <c r="K286" s="6"/>
    </row>
    <row r="287" spans="2:11" ht="16.5">
      <c r="B287" s="41"/>
      <c r="E287" s="41"/>
      <c r="F287" s="6"/>
      <c r="G287" s="6"/>
      <c r="H287" s="6"/>
      <c r="I287" s="6"/>
      <c r="J287" s="6"/>
      <c r="K287" s="6"/>
    </row>
    <row r="288" spans="2:11" ht="16.5">
      <c r="B288" s="41"/>
      <c r="E288" s="41"/>
      <c r="F288" s="6"/>
      <c r="G288" s="6"/>
      <c r="H288" s="6"/>
      <c r="I288" s="6"/>
      <c r="J288" s="6"/>
      <c r="K288" s="6"/>
    </row>
    <row r="289" spans="2:11" ht="16.5">
      <c r="B289" s="41"/>
      <c r="E289" s="41"/>
      <c r="F289" s="6"/>
      <c r="G289" s="6"/>
      <c r="H289" s="6"/>
      <c r="I289" s="6"/>
      <c r="J289" s="6"/>
      <c r="K289" s="6"/>
    </row>
    <row r="290" spans="2:11" ht="16.5">
      <c r="B290" s="41"/>
      <c r="E290" s="41"/>
      <c r="F290" s="6"/>
      <c r="G290" s="6"/>
      <c r="H290" s="6"/>
      <c r="I290" s="6"/>
      <c r="J290" s="6"/>
      <c r="K290" s="6"/>
    </row>
    <row r="291" spans="2:11" ht="16.5">
      <c r="B291" s="41"/>
      <c r="E291" s="41"/>
      <c r="F291" s="6"/>
      <c r="G291" s="6"/>
      <c r="H291" s="6"/>
      <c r="I291" s="6"/>
      <c r="J291" s="6"/>
      <c r="K291" s="6"/>
    </row>
    <row r="292" spans="2:11" ht="16.5">
      <c r="B292" s="41"/>
      <c r="E292" s="41"/>
      <c r="F292" s="6"/>
      <c r="G292" s="6"/>
      <c r="H292" s="6"/>
      <c r="I292" s="6"/>
      <c r="J292" s="6"/>
      <c r="K292" s="6"/>
    </row>
    <row r="293" spans="2:11" ht="16.5">
      <c r="B293" s="41"/>
      <c r="E293" s="41"/>
      <c r="F293" s="6"/>
      <c r="G293" s="6"/>
      <c r="H293" s="6"/>
      <c r="I293" s="6"/>
      <c r="J293" s="6"/>
      <c r="K293" s="6"/>
    </row>
    <row r="294" spans="2:11" ht="16.5">
      <c r="B294" s="41"/>
      <c r="E294" s="41"/>
      <c r="F294" s="6"/>
      <c r="G294" s="6"/>
      <c r="H294" s="6"/>
      <c r="I294" s="6"/>
      <c r="J294" s="6"/>
      <c r="K294" s="6"/>
    </row>
    <row r="295" spans="2:11" ht="16.5">
      <c r="B295" s="41"/>
      <c r="E295" s="41"/>
      <c r="F295" s="6"/>
      <c r="G295" s="6"/>
      <c r="H295" s="6"/>
      <c r="I295" s="6"/>
      <c r="J295" s="6"/>
      <c r="K295" s="6"/>
    </row>
    <row r="296" spans="2:11" ht="16.5">
      <c r="B296" s="41"/>
      <c r="E296" s="41"/>
      <c r="F296" s="6"/>
      <c r="G296" s="6"/>
      <c r="H296" s="6"/>
      <c r="I296" s="6"/>
      <c r="J296" s="6"/>
      <c r="K296" s="6"/>
    </row>
    <row r="297" spans="2:11" ht="16.5">
      <c r="B297" s="41"/>
      <c r="E297" s="41"/>
      <c r="F297" s="6"/>
      <c r="G297" s="6"/>
      <c r="H297" s="6"/>
      <c r="I297" s="6"/>
      <c r="J297" s="6"/>
      <c r="K297" s="6"/>
    </row>
    <row r="298" spans="2:11" ht="16.5">
      <c r="B298" s="41"/>
      <c r="E298" s="41"/>
      <c r="F298" s="6"/>
      <c r="G298" s="6"/>
      <c r="H298" s="6"/>
      <c r="I298" s="6"/>
      <c r="J298" s="6"/>
      <c r="K298" s="6"/>
    </row>
    <row r="299" spans="2:11" ht="16.5">
      <c r="B299" s="41"/>
      <c r="E299" s="41"/>
      <c r="F299" s="6"/>
      <c r="G299" s="6"/>
      <c r="H299" s="6"/>
      <c r="I299" s="6"/>
      <c r="J299" s="6"/>
      <c r="K299" s="6"/>
    </row>
    <row r="300" spans="2:11" ht="16.5">
      <c r="B300" s="41"/>
      <c r="E300" s="41"/>
      <c r="F300" s="6"/>
      <c r="G300" s="6"/>
      <c r="H300" s="6"/>
      <c r="I300" s="6"/>
      <c r="J300" s="6"/>
      <c r="K300" s="6"/>
    </row>
    <row r="301" spans="2:11" ht="16.5">
      <c r="B301" s="41"/>
      <c r="E301" s="41"/>
      <c r="F301" s="6"/>
      <c r="G301" s="6"/>
      <c r="H301" s="6"/>
      <c r="I301" s="6"/>
      <c r="J301" s="6"/>
      <c r="K301" s="6"/>
    </row>
    <row r="302" spans="2:11" ht="16.5">
      <c r="B302" s="41"/>
      <c r="E302" s="41"/>
      <c r="F302" s="6"/>
      <c r="G302" s="6"/>
      <c r="H302" s="6"/>
      <c r="I302" s="6"/>
      <c r="J302" s="6"/>
      <c r="K302" s="6"/>
    </row>
    <row r="303" spans="2:11" ht="16.5">
      <c r="B303" s="41"/>
      <c r="E303" s="41"/>
      <c r="F303" s="6"/>
      <c r="G303" s="6"/>
      <c r="H303" s="6"/>
      <c r="I303" s="6"/>
      <c r="J303" s="6"/>
      <c r="K303" s="6"/>
    </row>
    <row r="304" spans="2:11" ht="16.5">
      <c r="B304" s="41"/>
      <c r="E304" s="41"/>
      <c r="F304" s="6"/>
      <c r="G304" s="6"/>
      <c r="H304" s="6"/>
      <c r="I304" s="6"/>
      <c r="J304" s="6"/>
      <c r="K304" s="6"/>
    </row>
    <row r="305" spans="2:11" ht="16.5">
      <c r="B305" s="41"/>
      <c r="E305" s="41"/>
      <c r="F305" s="6"/>
      <c r="G305" s="6"/>
      <c r="H305" s="6"/>
      <c r="I305" s="6"/>
      <c r="J305" s="6"/>
      <c r="K305" s="6"/>
    </row>
    <row r="306" spans="2:11" ht="16.5">
      <c r="B306" s="41"/>
      <c r="E306" s="41"/>
      <c r="F306" s="6"/>
      <c r="G306" s="6"/>
      <c r="H306" s="6"/>
      <c r="I306" s="6"/>
      <c r="J306" s="6"/>
      <c r="K306" s="6"/>
    </row>
    <row r="307" spans="2:11" ht="16.5">
      <c r="B307" s="41"/>
      <c r="E307" s="41"/>
      <c r="F307" s="6"/>
      <c r="G307" s="6"/>
      <c r="H307" s="6"/>
      <c r="I307" s="6"/>
      <c r="J307" s="6"/>
      <c r="K307" s="6"/>
    </row>
    <row r="308" spans="2:11" ht="16.5">
      <c r="B308" s="41"/>
      <c r="E308" s="41"/>
      <c r="F308" s="6"/>
      <c r="G308" s="6"/>
      <c r="H308" s="6"/>
      <c r="I308" s="6"/>
      <c r="J308" s="6"/>
      <c r="K308" s="6"/>
    </row>
    <row r="309" spans="2:11" ht="16.5">
      <c r="B309" s="41"/>
      <c r="E309" s="41"/>
      <c r="F309" s="6"/>
      <c r="G309" s="6"/>
      <c r="H309" s="6"/>
      <c r="I309" s="6"/>
      <c r="J309" s="6"/>
      <c r="K309" s="6"/>
    </row>
    <row r="310" spans="2:11" ht="16.5">
      <c r="B310" s="41"/>
      <c r="E310" s="41"/>
      <c r="F310" s="6"/>
      <c r="G310" s="6"/>
      <c r="H310" s="6"/>
      <c r="I310" s="6"/>
      <c r="J310" s="6"/>
      <c r="K310" s="6"/>
    </row>
    <row r="311" spans="2:11" ht="16.5">
      <c r="B311" s="41"/>
      <c r="E311" s="41"/>
      <c r="F311" s="6"/>
      <c r="G311" s="6"/>
      <c r="H311" s="6"/>
      <c r="I311" s="6"/>
      <c r="J311" s="6"/>
      <c r="K311" s="6"/>
    </row>
    <row r="312" spans="2:11" ht="16.5">
      <c r="B312" s="41"/>
      <c r="E312" s="41"/>
      <c r="F312" s="6"/>
      <c r="G312" s="6"/>
      <c r="H312" s="6"/>
      <c r="I312" s="6"/>
      <c r="J312" s="6"/>
      <c r="K312" s="6"/>
    </row>
    <row r="313" spans="2:11" ht="16.5">
      <c r="B313" s="41"/>
      <c r="E313" s="41"/>
      <c r="F313" s="6"/>
      <c r="G313" s="6"/>
      <c r="H313" s="6"/>
      <c r="I313" s="6"/>
      <c r="J313" s="6"/>
      <c r="K313" s="6"/>
    </row>
    <row r="314" spans="2:11" ht="16.5">
      <c r="B314" s="41"/>
      <c r="E314" s="41"/>
      <c r="F314" s="6"/>
      <c r="G314" s="6"/>
      <c r="H314" s="6"/>
      <c r="I314" s="6"/>
      <c r="J314" s="6"/>
      <c r="K314" s="6"/>
    </row>
    <row r="315" spans="2:11" ht="16.5">
      <c r="B315" s="41"/>
      <c r="E315" s="41"/>
      <c r="F315" s="6"/>
      <c r="G315" s="6"/>
      <c r="H315" s="6"/>
      <c r="I315" s="6"/>
      <c r="J315" s="6"/>
      <c r="K315" s="6"/>
    </row>
    <row r="316" spans="2:11" ht="16.5">
      <c r="B316" s="41"/>
      <c r="E316" s="41"/>
      <c r="F316" s="6"/>
      <c r="G316" s="6"/>
      <c r="H316" s="6"/>
      <c r="I316" s="6"/>
      <c r="J316" s="6"/>
      <c r="K316" s="6"/>
    </row>
    <row r="317" spans="2:11" ht="16.5">
      <c r="B317" s="41"/>
      <c r="E317" s="41"/>
      <c r="F317" s="6"/>
      <c r="G317" s="6"/>
      <c r="H317" s="6"/>
      <c r="I317" s="6"/>
      <c r="J317" s="6"/>
      <c r="K317" s="6"/>
    </row>
    <row r="318" spans="2:11" ht="16.5">
      <c r="B318" s="41"/>
      <c r="E318" s="41"/>
      <c r="F318" s="6"/>
      <c r="G318" s="6"/>
      <c r="H318" s="6"/>
      <c r="I318" s="6"/>
      <c r="J318" s="6"/>
      <c r="K318" s="6"/>
    </row>
    <row r="319" spans="2:11" ht="16.5">
      <c r="B319" s="41"/>
      <c r="E319" s="41"/>
      <c r="F319" s="6"/>
      <c r="G319" s="6"/>
      <c r="H319" s="6"/>
      <c r="I319" s="6"/>
      <c r="J319" s="6"/>
      <c r="K319" s="6"/>
    </row>
    <row r="320" spans="2:11" ht="16.5">
      <c r="B320" s="41"/>
      <c r="E320" s="41"/>
      <c r="F320" s="6"/>
      <c r="G320" s="6"/>
      <c r="H320" s="6"/>
      <c r="I320" s="6"/>
      <c r="J320" s="6"/>
      <c r="K320" s="6"/>
    </row>
    <row r="321" spans="2:11" ht="16.5">
      <c r="B321" s="41"/>
      <c r="E321" s="41"/>
      <c r="F321" s="6"/>
      <c r="G321" s="6"/>
      <c r="H321" s="6"/>
      <c r="I321" s="6"/>
      <c r="J321" s="6"/>
      <c r="K321" s="6"/>
    </row>
    <row r="322" spans="2:11" ht="16.5">
      <c r="B322" s="41"/>
      <c r="E322" s="41"/>
      <c r="F322" s="6"/>
      <c r="G322" s="6"/>
      <c r="H322" s="6"/>
      <c r="I322" s="6"/>
      <c r="J322" s="6"/>
      <c r="K322" s="6"/>
    </row>
    <row r="323" spans="2:11" ht="16.5">
      <c r="B323" s="41"/>
      <c r="E323" s="41"/>
      <c r="F323" s="6"/>
      <c r="G323" s="6"/>
      <c r="H323" s="6"/>
      <c r="I323" s="6"/>
      <c r="J323" s="6"/>
      <c r="K323" s="6"/>
    </row>
    <row r="324" spans="2:11" ht="16.5">
      <c r="B324" s="41"/>
      <c r="E324" s="41"/>
      <c r="F324" s="6"/>
      <c r="G324" s="6"/>
      <c r="H324" s="6"/>
      <c r="I324" s="6"/>
      <c r="J324" s="6"/>
      <c r="K324" s="6"/>
    </row>
    <row r="325" spans="2:11" ht="16.5">
      <c r="B325" s="41"/>
      <c r="E325" s="41"/>
      <c r="F325" s="6"/>
      <c r="G325" s="6"/>
      <c r="H325" s="6"/>
      <c r="I325" s="6"/>
      <c r="J325" s="6"/>
      <c r="K325" s="6"/>
    </row>
    <row r="326" spans="2:11" ht="16.5">
      <c r="B326" s="41"/>
      <c r="E326" s="41"/>
      <c r="F326" s="6"/>
      <c r="G326" s="6"/>
      <c r="H326" s="6"/>
      <c r="I326" s="6"/>
      <c r="J326" s="6"/>
      <c r="K326" s="6"/>
    </row>
    <row r="327" spans="2:11" ht="16.5">
      <c r="B327" s="41"/>
      <c r="E327" s="41"/>
      <c r="F327" s="6"/>
      <c r="G327" s="6"/>
      <c r="H327" s="6"/>
      <c r="I327" s="6"/>
      <c r="J327" s="6"/>
      <c r="K327" s="6"/>
    </row>
    <row r="328" spans="2:11" ht="16.5">
      <c r="B328" s="41"/>
      <c r="E328" s="41"/>
      <c r="F328" s="6"/>
      <c r="G328" s="6"/>
      <c r="H328" s="6"/>
      <c r="I328" s="6"/>
      <c r="J328" s="6"/>
      <c r="K328" s="6"/>
    </row>
    <row r="329" spans="2:11" ht="16.5">
      <c r="B329" s="41"/>
      <c r="E329" s="41"/>
      <c r="F329" s="6"/>
      <c r="G329" s="6"/>
      <c r="H329" s="6"/>
      <c r="I329" s="6"/>
      <c r="J329" s="6"/>
      <c r="K329" s="6"/>
    </row>
    <row r="330" spans="2:11" ht="16.5">
      <c r="B330" s="41"/>
      <c r="E330" s="41"/>
      <c r="F330" s="6"/>
      <c r="G330" s="6"/>
      <c r="H330" s="6"/>
      <c r="I330" s="6"/>
      <c r="J330" s="6"/>
      <c r="K330" s="6"/>
    </row>
    <row r="331" spans="2:11" ht="16.5">
      <c r="B331" s="41"/>
      <c r="E331" s="41"/>
      <c r="F331" s="6"/>
      <c r="G331" s="6"/>
      <c r="H331" s="6"/>
      <c r="I331" s="6"/>
      <c r="J331" s="6"/>
      <c r="K331" s="6"/>
    </row>
    <row r="332" spans="2:11" ht="16.5">
      <c r="B332" s="41"/>
      <c r="E332" s="41"/>
      <c r="F332" s="6"/>
      <c r="G332" s="6"/>
      <c r="H332" s="6"/>
      <c r="I332" s="6"/>
      <c r="J332" s="6"/>
      <c r="K332" s="6"/>
    </row>
    <row r="333" spans="2:11" ht="16.5">
      <c r="B333" s="41"/>
      <c r="E333" s="41"/>
      <c r="F333" s="6"/>
      <c r="G333" s="6"/>
      <c r="H333" s="6"/>
      <c r="I333" s="6"/>
      <c r="J333" s="6"/>
      <c r="K333" s="6"/>
    </row>
    <row r="334" spans="2:11" ht="16.5">
      <c r="B334" s="41"/>
      <c r="E334" s="41"/>
      <c r="F334" s="6"/>
      <c r="G334" s="6"/>
      <c r="H334" s="6"/>
      <c r="I334" s="6"/>
      <c r="J334" s="6"/>
      <c r="K334" s="6"/>
    </row>
    <row r="335" spans="2:11" ht="16.5">
      <c r="B335" s="41"/>
      <c r="E335" s="41"/>
      <c r="F335" s="6"/>
      <c r="G335" s="6"/>
      <c r="H335" s="6"/>
      <c r="I335" s="6"/>
      <c r="J335" s="6"/>
      <c r="K335" s="6"/>
    </row>
    <row r="336" spans="2:11" ht="16.5">
      <c r="B336" s="41"/>
      <c r="E336" s="41"/>
      <c r="F336" s="6"/>
      <c r="G336" s="6"/>
      <c r="H336" s="6"/>
      <c r="I336" s="6"/>
      <c r="J336" s="6"/>
      <c r="K336" s="6"/>
    </row>
    <row r="337" spans="2:11" ht="16.5">
      <c r="B337" s="41"/>
      <c r="E337" s="41"/>
      <c r="F337" s="6"/>
      <c r="G337" s="6"/>
      <c r="H337" s="6"/>
      <c r="I337" s="6"/>
      <c r="J337" s="6"/>
      <c r="K337" s="6"/>
    </row>
    <row r="338" spans="2:11" ht="16.5">
      <c r="B338" s="41"/>
      <c r="E338" s="41"/>
      <c r="F338" s="6"/>
      <c r="G338" s="6"/>
      <c r="H338" s="6"/>
      <c r="I338" s="6"/>
      <c r="J338" s="6"/>
      <c r="K338" s="6"/>
    </row>
    <row r="339" spans="2:11" ht="16.5">
      <c r="B339" s="41"/>
      <c r="E339" s="41"/>
      <c r="F339" s="6"/>
      <c r="G339" s="6"/>
      <c r="H339" s="6"/>
      <c r="I339" s="6"/>
      <c r="J339" s="6"/>
      <c r="K339" s="6"/>
    </row>
    <row r="340" spans="2:11" ht="16.5">
      <c r="B340" s="41"/>
      <c r="E340" s="41"/>
      <c r="F340" s="6"/>
      <c r="G340" s="6"/>
      <c r="H340" s="6"/>
      <c r="I340" s="6"/>
      <c r="J340" s="6"/>
      <c r="K340" s="6"/>
    </row>
    <row r="341" spans="2:11" ht="16.5">
      <c r="B341" s="41"/>
      <c r="E341" s="41"/>
      <c r="F341" s="6"/>
      <c r="G341" s="6"/>
      <c r="H341" s="6"/>
      <c r="I341" s="6"/>
      <c r="J341" s="6"/>
      <c r="K341" s="6"/>
    </row>
    <row r="342" spans="2:11" ht="16.5">
      <c r="B342" s="41"/>
      <c r="E342" s="41"/>
      <c r="F342" s="6"/>
      <c r="G342" s="6"/>
      <c r="H342" s="6"/>
      <c r="I342" s="6"/>
      <c r="J342" s="6"/>
      <c r="K342" s="6"/>
    </row>
    <row r="343" spans="2:11" ht="16.5">
      <c r="B343" s="41"/>
      <c r="E343" s="41"/>
      <c r="F343" s="6"/>
      <c r="G343" s="6"/>
      <c r="H343" s="6"/>
      <c r="I343" s="6"/>
      <c r="J343" s="6"/>
      <c r="K343" s="6"/>
    </row>
    <row r="344" spans="2:11" ht="16.5">
      <c r="B344" s="41"/>
      <c r="E344" s="41"/>
      <c r="F344" s="6"/>
      <c r="G344" s="6"/>
      <c r="H344" s="6"/>
      <c r="I344" s="6"/>
      <c r="J344" s="6"/>
      <c r="K344" s="6"/>
    </row>
    <row r="345" spans="2:11" ht="16.5">
      <c r="B345" s="41"/>
      <c r="E345" s="41"/>
      <c r="F345" s="6"/>
      <c r="G345" s="6"/>
      <c r="H345" s="6"/>
      <c r="I345" s="6"/>
      <c r="J345" s="6"/>
      <c r="K345" s="6"/>
    </row>
    <row r="346" spans="2:11" ht="16.5">
      <c r="B346" s="41"/>
      <c r="E346" s="41"/>
      <c r="F346" s="6"/>
      <c r="G346" s="6"/>
      <c r="H346" s="6"/>
      <c r="I346" s="6"/>
      <c r="J346" s="6"/>
      <c r="K346" s="6"/>
    </row>
    <row r="347" spans="2:11" ht="16.5">
      <c r="B347" s="41"/>
      <c r="E347" s="41"/>
      <c r="F347" s="6"/>
      <c r="G347" s="6"/>
      <c r="H347" s="6"/>
      <c r="I347" s="6"/>
      <c r="J347" s="6"/>
      <c r="K347" s="6"/>
    </row>
    <row r="348" spans="2:11" ht="16.5">
      <c r="B348" s="41"/>
      <c r="E348" s="41"/>
      <c r="F348" s="6"/>
      <c r="G348" s="6"/>
      <c r="H348" s="6"/>
      <c r="I348" s="6"/>
      <c r="J348" s="6"/>
      <c r="K348" s="6"/>
    </row>
    <row r="349" spans="2:11" ht="16.5">
      <c r="B349" s="41"/>
      <c r="E349" s="41"/>
      <c r="F349" s="6"/>
      <c r="G349" s="6"/>
      <c r="H349" s="6"/>
      <c r="I349" s="6"/>
      <c r="J349" s="6"/>
      <c r="K349" s="6"/>
    </row>
    <row r="350" spans="2:11" ht="16.5">
      <c r="B350" s="41"/>
      <c r="E350" s="41"/>
      <c r="F350" s="6"/>
      <c r="G350" s="6"/>
      <c r="H350" s="6"/>
      <c r="I350" s="6"/>
      <c r="J350" s="6"/>
      <c r="K350" s="6"/>
    </row>
    <row r="351" spans="2:11" ht="16.5">
      <c r="B351" s="41"/>
      <c r="E351" s="41"/>
      <c r="F351" s="6"/>
      <c r="G351" s="6"/>
      <c r="H351" s="6"/>
      <c r="I351" s="6"/>
      <c r="J351" s="6"/>
      <c r="K351" s="6"/>
    </row>
    <row r="352" spans="2:11" ht="16.5">
      <c r="B352" s="41"/>
      <c r="E352" s="41"/>
      <c r="F352" s="6"/>
      <c r="G352" s="6"/>
      <c r="H352" s="6"/>
      <c r="I352" s="6"/>
      <c r="J352" s="6"/>
      <c r="K352" s="6"/>
    </row>
    <row r="353" spans="2:11" ht="16.5">
      <c r="B353" s="41"/>
      <c r="E353" s="41"/>
      <c r="F353" s="6"/>
      <c r="G353" s="6"/>
      <c r="H353" s="6"/>
      <c r="I353" s="6"/>
      <c r="J353" s="6"/>
      <c r="K353" s="6"/>
    </row>
    <row r="354" spans="2:11" ht="16.5">
      <c r="B354" s="41"/>
      <c r="E354" s="41"/>
      <c r="F354" s="6"/>
      <c r="G354" s="6"/>
      <c r="H354" s="6"/>
      <c r="I354" s="6"/>
      <c r="J354" s="6"/>
      <c r="K354" s="6"/>
    </row>
    <row r="355" spans="2:11" ht="16.5">
      <c r="B355" s="41"/>
      <c r="E355" s="41"/>
      <c r="F355" s="6"/>
      <c r="G355" s="6"/>
      <c r="H355" s="6"/>
      <c r="I355" s="6"/>
      <c r="J355" s="6"/>
      <c r="K355" s="6"/>
    </row>
    <row r="356" spans="2:11" ht="16.5">
      <c r="B356" s="41"/>
      <c r="E356" s="41"/>
      <c r="F356" s="6"/>
      <c r="G356" s="6"/>
      <c r="H356" s="6"/>
      <c r="I356" s="6"/>
      <c r="J356" s="6"/>
      <c r="K356" s="6"/>
    </row>
    <row r="357" spans="2:11" ht="16.5">
      <c r="B357" s="41"/>
      <c r="E357" s="41"/>
      <c r="F357" s="6"/>
      <c r="G357" s="6"/>
      <c r="H357" s="6"/>
      <c r="I357" s="6"/>
      <c r="J357" s="6"/>
      <c r="K357" s="6"/>
    </row>
    <row r="358" spans="2:11" ht="16.5">
      <c r="B358" s="41"/>
      <c r="E358" s="41"/>
      <c r="F358" s="6"/>
      <c r="G358" s="6"/>
      <c r="H358" s="6"/>
      <c r="I358" s="6"/>
      <c r="J358" s="6"/>
      <c r="K358" s="6"/>
    </row>
    <row r="359" spans="2:11" ht="16.5">
      <c r="B359" s="41"/>
      <c r="E359" s="41"/>
      <c r="F359" s="6"/>
      <c r="G359" s="6"/>
      <c r="H359" s="6"/>
      <c r="I359" s="6"/>
      <c r="J359" s="6"/>
      <c r="K359" s="6"/>
    </row>
    <row r="360" spans="2:11" ht="16.5">
      <c r="B360" s="41"/>
      <c r="E360" s="41"/>
      <c r="F360" s="6"/>
      <c r="G360" s="6"/>
      <c r="H360" s="6"/>
      <c r="I360" s="6"/>
      <c r="J360" s="6"/>
      <c r="K360" s="6"/>
    </row>
    <row r="361" spans="2:11" ht="16.5">
      <c r="B361" s="41"/>
      <c r="E361" s="41"/>
      <c r="F361" s="6"/>
      <c r="G361" s="6"/>
      <c r="H361" s="6"/>
      <c r="I361" s="6"/>
      <c r="J361" s="6"/>
      <c r="K361" s="6"/>
    </row>
    <row r="362" spans="2:11" ht="16.5">
      <c r="B362" s="41"/>
      <c r="E362" s="41"/>
      <c r="F362" s="6"/>
      <c r="G362" s="6"/>
      <c r="H362" s="6"/>
      <c r="I362" s="6"/>
      <c r="J362" s="6"/>
      <c r="K362" s="6"/>
    </row>
    <row r="363" spans="2:11" ht="16.5">
      <c r="B363" s="41"/>
      <c r="E363" s="41"/>
      <c r="F363" s="6"/>
      <c r="G363" s="6"/>
      <c r="H363" s="6"/>
      <c r="I363" s="6"/>
      <c r="J363" s="6"/>
      <c r="K363" s="6"/>
    </row>
    <row r="364" spans="2:11" ht="16.5">
      <c r="B364" s="41"/>
      <c r="E364" s="41"/>
      <c r="F364" s="6"/>
      <c r="G364" s="6"/>
      <c r="H364" s="6"/>
      <c r="I364" s="6"/>
      <c r="J364" s="6"/>
      <c r="K364" s="6"/>
    </row>
    <row r="365" spans="2:11" ht="16.5">
      <c r="B365" s="41"/>
      <c r="E365" s="41"/>
      <c r="F365" s="6"/>
      <c r="G365" s="6"/>
      <c r="H365" s="6"/>
      <c r="I365" s="6"/>
      <c r="J365" s="6"/>
      <c r="K365" s="6"/>
    </row>
    <row r="366" spans="2:11" ht="16.5">
      <c r="B366" s="41"/>
      <c r="E366" s="41"/>
      <c r="F366" s="6"/>
      <c r="G366" s="6"/>
      <c r="H366" s="6"/>
      <c r="I366" s="6"/>
      <c r="J366" s="6"/>
      <c r="K366" s="6"/>
    </row>
    <row r="367" spans="2:11" ht="16.5">
      <c r="B367" s="41"/>
      <c r="E367" s="41"/>
      <c r="F367" s="6"/>
      <c r="G367" s="6"/>
      <c r="H367" s="6"/>
      <c r="I367" s="6"/>
      <c r="J367" s="6"/>
      <c r="K367" s="6"/>
    </row>
    <row r="368" spans="2:11" ht="16.5">
      <c r="B368" s="41"/>
      <c r="E368" s="41"/>
      <c r="F368" s="6"/>
      <c r="G368" s="6"/>
      <c r="H368" s="6"/>
      <c r="I368" s="6"/>
      <c r="J368" s="6"/>
      <c r="K368" s="6"/>
    </row>
    <row r="369" spans="2:11" ht="16.5">
      <c r="B369" s="41"/>
      <c r="E369" s="41"/>
      <c r="F369" s="6"/>
      <c r="G369" s="6"/>
      <c r="H369" s="6"/>
      <c r="I369" s="6"/>
      <c r="J369" s="6"/>
      <c r="K369" s="6"/>
    </row>
    <row r="370" spans="2:11" ht="16.5">
      <c r="B370" s="41"/>
      <c r="E370" s="41"/>
      <c r="F370" s="6"/>
      <c r="G370" s="6"/>
      <c r="H370" s="6"/>
      <c r="I370" s="6"/>
      <c r="J370" s="6"/>
      <c r="K370" s="6"/>
    </row>
    <row r="371" spans="2:11" ht="16.5">
      <c r="B371" s="41"/>
      <c r="E371" s="41"/>
      <c r="F371" s="6"/>
      <c r="G371" s="6"/>
      <c r="H371" s="6"/>
      <c r="I371" s="6"/>
      <c r="J371" s="6"/>
      <c r="K371" s="6"/>
    </row>
    <row r="372" spans="2:11" ht="16.5">
      <c r="B372" s="41"/>
      <c r="E372" s="41"/>
      <c r="F372" s="6"/>
      <c r="G372" s="6"/>
      <c r="H372" s="6"/>
      <c r="I372" s="6"/>
      <c r="J372" s="6"/>
      <c r="K372" s="6"/>
    </row>
    <row r="373" spans="2:11" ht="16.5">
      <c r="B373" s="41"/>
      <c r="E373" s="41"/>
      <c r="F373" s="6"/>
      <c r="G373" s="6"/>
      <c r="H373" s="6"/>
      <c r="I373" s="6"/>
      <c r="J373" s="6"/>
      <c r="K373" s="6"/>
    </row>
    <row r="374" spans="2:11" ht="16.5">
      <c r="B374" s="41"/>
      <c r="E374" s="41"/>
      <c r="F374" s="6"/>
      <c r="G374" s="6"/>
      <c r="H374" s="6"/>
      <c r="I374" s="6"/>
      <c r="J374" s="6"/>
      <c r="K374" s="6"/>
    </row>
    <row r="375" spans="2:11" ht="16.5">
      <c r="B375" s="41"/>
      <c r="E375" s="41"/>
      <c r="F375" s="6"/>
      <c r="G375" s="6"/>
      <c r="H375" s="6"/>
      <c r="I375" s="6"/>
      <c r="J375" s="6"/>
      <c r="K375" s="6"/>
    </row>
    <row r="376" spans="2:11" ht="16.5">
      <c r="B376" s="41"/>
      <c r="E376" s="41"/>
      <c r="F376" s="6"/>
      <c r="G376" s="6"/>
      <c r="H376" s="6"/>
      <c r="I376" s="6"/>
      <c r="J376" s="6"/>
      <c r="K376" s="6"/>
    </row>
    <row r="377" spans="2:11" ht="16.5">
      <c r="B377" s="41"/>
      <c r="E377" s="41"/>
      <c r="F377" s="6"/>
      <c r="G377" s="6"/>
      <c r="H377" s="6"/>
      <c r="I377" s="6"/>
      <c r="J377" s="6"/>
      <c r="K377" s="6"/>
    </row>
    <row r="378" spans="2:11" ht="16.5">
      <c r="B378" s="41"/>
      <c r="E378" s="41"/>
      <c r="F378" s="6"/>
      <c r="G378" s="6"/>
      <c r="H378" s="6"/>
      <c r="I378" s="6"/>
      <c r="J378" s="6"/>
      <c r="K378" s="6"/>
    </row>
    <row r="379" spans="2:11" ht="16.5">
      <c r="B379" s="41"/>
      <c r="E379" s="41"/>
      <c r="F379" s="6"/>
      <c r="G379" s="6"/>
      <c r="H379" s="6"/>
      <c r="I379" s="6"/>
      <c r="J379" s="6"/>
      <c r="K379" s="6"/>
    </row>
    <row r="380" spans="2:11" ht="16.5">
      <c r="B380" s="41"/>
      <c r="E380" s="41"/>
      <c r="F380" s="6"/>
      <c r="G380" s="6"/>
      <c r="H380" s="6"/>
      <c r="I380" s="6"/>
      <c r="J380" s="6"/>
      <c r="K380" s="6"/>
    </row>
    <row r="381" spans="2:11" ht="16.5">
      <c r="B381" s="41"/>
      <c r="E381" s="41"/>
      <c r="F381" s="6"/>
      <c r="G381" s="6"/>
      <c r="H381" s="6"/>
      <c r="I381" s="6"/>
      <c r="J381" s="6"/>
      <c r="K381" s="6"/>
    </row>
    <row r="382" spans="2:11" ht="16.5">
      <c r="B382" s="41"/>
      <c r="E382" s="41"/>
      <c r="F382" s="6"/>
      <c r="G382" s="6"/>
      <c r="H382" s="6"/>
      <c r="I382" s="6"/>
      <c r="J382" s="6"/>
      <c r="K382" s="6"/>
    </row>
    <row r="383" spans="2:11" ht="16.5">
      <c r="B383" s="41"/>
      <c r="E383" s="41"/>
      <c r="F383" s="6"/>
      <c r="G383" s="6"/>
      <c r="H383" s="6"/>
      <c r="I383" s="6"/>
      <c r="J383" s="6"/>
      <c r="K383" s="6"/>
    </row>
    <row r="384" spans="2:11" ht="16.5">
      <c r="B384" s="41"/>
      <c r="E384" s="41"/>
      <c r="F384" s="6"/>
      <c r="G384" s="6"/>
      <c r="H384" s="6"/>
      <c r="I384" s="6"/>
      <c r="J384" s="6"/>
      <c r="K384" s="6"/>
    </row>
    <row r="385" spans="2:11" ht="16.5">
      <c r="B385" s="41"/>
      <c r="E385" s="41"/>
      <c r="F385" s="6"/>
      <c r="G385" s="6"/>
      <c r="H385" s="6"/>
      <c r="I385" s="6"/>
      <c r="J385" s="6"/>
      <c r="K385" s="6"/>
    </row>
    <row r="386" spans="2:11" ht="16.5">
      <c r="B386" s="41"/>
      <c r="E386" s="41"/>
      <c r="F386" s="6"/>
      <c r="G386" s="6"/>
      <c r="H386" s="6"/>
      <c r="I386" s="6"/>
      <c r="J386" s="6"/>
      <c r="K386" s="6"/>
    </row>
    <row r="387" spans="2:11" ht="16.5">
      <c r="B387" s="41"/>
      <c r="E387" s="41"/>
      <c r="F387" s="6"/>
      <c r="G387" s="6"/>
      <c r="H387" s="6"/>
      <c r="I387" s="6"/>
      <c r="J387" s="6"/>
      <c r="K387" s="6"/>
    </row>
    <row r="388" spans="2:11" ht="16.5">
      <c r="B388" s="41"/>
      <c r="E388" s="41"/>
      <c r="F388" s="6"/>
      <c r="G388" s="6"/>
      <c r="H388" s="6"/>
      <c r="I388" s="6"/>
      <c r="J388" s="6"/>
      <c r="K388" s="6"/>
    </row>
    <row r="389" spans="2:11" ht="16.5">
      <c r="B389" s="41"/>
      <c r="E389" s="41"/>
      <c r="F389" s="6"/>
      <c r="G389" s="6"/>
      <c r="H389" s="6"/>
      <c r="I389" s="6"/>
      <c r="J389" s="6"/>
      <c r="K389" s="6"/>
    </row>
    <row r="390" spans="2:11" ht="16.5">
      <c r="B390" s="41"/>
      <c r="E390" s="41"/>
      <c r="F390" s="6"/>
      <c r="G390" s="6"/>
      <c r="H390" s="6"/>
      <c r="I390" s="6"/>
      <c r="J390" s="6"/>
      <c r="K390" s="6"/>
    </row>
    <row r="391" spans="2:11" ht="16.5">
      <c r="B391" s="41"/>
      <c r="E391" s="41"/>
      <c r="F391" s="6"/>
      <c r="G391" s="6"/>
      <c r="H391" s="6"/>
      <c r="I391" s="6"/>
      <c r="J391" s="6"/>
      <c r="K391" s="6"/>
    </row>
    <row r="392" spans="2:11" ht="16.5">
      <c r="B392" s="41"/>
      <c r="E392" s="41"/>
      <c r="F392" s="6"/>
      <c r="G392" s="6"/>
      <c r="H392" s="6"/>
      <c r="I392" s="6"/>
      <c r="J392" s="6"/>
      <c r="K392" s="6"/>
    </row>
    <row r="393" spans="2:11" ht="16.5">
      <c r="B393" s="41"/>
      <c r="E393" s="41"/>
      <c r="F393" s="6"/>
      <c r="G393" s="6"/>
      <c r="H393" s="6"/>
      <c r="I393" s="6"/>
      <c r="J393" s="6"/>
      <c r="K393" s="6"/>
    </row>
    <row r="394" spans="2:11" ht="16.5">
      <c r="B394" s="41"/>
      <c r="E394" s="41"/>
      <c r="F394" s="6"/>
      <c r="G394" s="6"/>
      <c r="H394" s="6"/>
      <c r="I394" s="6"/>
      <c r="J394" s="6"/>
      <c r="K394" s="6"/>
    </row>
    <row r="395" spans="2:11" ht="16.5">
      <c r="B395" s="41"/>
      <c r="E395" s="41"/>
      <c r="F395" s="6"/>
      <c r="G395" s="6"/>
      <c r="H395" s="6"/>
      <c r="I395" s="6"/>
      <c r="J395" s="6"/>
      <c r="K395" s="6"/>
    </row>
    <row r="396" spans="2:11" ht="16.5">
      <c r="B396" s="41"/>
      <c r="E396" s="41"/>
      <c r="F396" s="6"/>
      <c r="G396" s="6"/>
      <c r="H396" s="6"/>
      <c r="I396" s="6"/>
      <c r="J396" s="6"/>
      <c r="K396" s="6"/>
    </row>
    <row r="397" spans="2:11" ht="16.5">
      <c r="B397" s="41"/>
      <c r="E397" s="41"/>
      <c r="F397" s="6"/>
      <c r="G397" s="6"/>
      <c r="H397" s="6"/>
      <c r="I397" s="6"/>
      <c r="J397" s="6"/>
      <c r="K397" s="6"/>
    </row>
    <row r="398" spans="2:11" ht="16.5">
      <c r="B398" s="41"/>
      <c r="E398" s="41"/>
      <c r="F398" s="6"/>
      <c r="G398" s="6"/>
      <c r="H398" s="6"/>
      <c r="I398" s="6"/>
      <c r="J398" s="6"/>
      <c r="K398" s="6"/>
    </row>
    <row r="399" spans="2:11" ht="16.5">
      <c r="B399" s="41"/>
      <c r="E399" s="41"/>
      <c r="F399" s="6"/>
      <c r="G399" s="6"/>
      <c r="H399" s="6"/>
      <c r="I399" s="6"/>
      <c r="J399" s="6"/>
      <c r="K399" s="6"/>
    </row>
    <row r="400" spans="2:11" ht="16.5">
      <c r="B400" s="41"/>
      <c r="E400" s="41"/>
      <c r="F400" s="6"/>
      <c r="G400" s="6"/>
      <c r="H400" s="6"/>
      <c r="I400" s="6"/>
      <c r="J400" s="6"/>
      <c r="K400" s="6"/>
    </row>
    <row r="401" spans="2:11" ht="16.5">
      <c r="B401" s="41"/>
      <c r="E401" s="41"/>
      <c r="F401" s="6"/>
      <c r="G401" s="6"/>
      <c r="H401" s="6"/>
      <c r="I401" s="6"/>
      <c r="J401" s="6"/>
      <c r="K401" s="6"/>
    </row>
    <row r="402" spans="2:11" ht="16.5">
      <c r="B402" s="41"/>
      <c r="E402" s="41"/>
      <c r="F402" s="6"/>
      <c r="G402" s="6"/>
      <c r="H402" s="6"/>
      <c r="I402" s="6"/>
      <c r="J402" s="6"/>
      <c r="K402" s="6"/>
    </row>
    <row r="403" spans="2:11" ht="16.5">
      <c r="B403" s="41"/>
      <c r="E403" s="41"/>
      <c r="F403" s="6"/>
      <c r="G403" s="6"/>
      <c r="H403" s="6"/>
      <c r="I403" s="6"/>
      <c r="J403" s="6"/>
      <c r="K403" s="6"/>
    </row>
    <row r="404" spans="2:11" ht="16.5">
      <c r="B404" s="41"/>
      <c r="E404" s="41"/>
      <c r="F404" s="6"/>
      <c r="G404" s="6"/>
      <c r="H404" s="6"/>
      <c r="I404" s="6"/>
      <c r="J404" s="6"/>
      <c r="K404" s="6"/>
    </row>
    <row r="405" spans="2:11" ht="16.5">
      <c r="B405" s="41"/>
      <c r="E405" s="41"/>
      <c r="F405" s="6"/>
      <c r="G405" s="6"/>
      <c r="H405" s="6"/>
      <c r="I405" s="6"/>
      <c r="J405" s="6"/>
      <c r="K405" s="6"/>
    </row>
    <row r="406" spans="2:11" ht="16.5">
      <c r="B406" s="41"/>
      <c r="E406" s="41"/>
      <c r="F406" s="6"/>
      <c r="G406" s="6"/>
      <c r="H406" s="6"/>
      <c r="I406" s="6"/>
      <c r="J406" s="6"/>
      <c r="K406" s="6"/>
    </row>
    <row r="407" spans="2:11" ht="16.5">
      <c r="B407" s="41"/>
      <c r="E407" s="41"/>
      <c r="F407" s="6"/>
      <c r="G407" s="6"/>
      <c r="H407" s="6"/>
      <c r="I407" s="6"/>
      <c r="J407" s="6"/>
      <c r="K407" s="6"/>
    </row>
    <row r="408" spans="2:11" ht="16.5">
      <c r="B408" s="41"/>
      <c r="E408" s="41"/>
      <c r="F408" s="6"/>
      <c r="G408" s="6"/>
      <c r="H408" s="6"/>
      <c r="I408" s="6"/>
      <c r="J408" s="6"/>
      <c r="K408" s="6"/>
    </row>
    <row r="409" spans="2:11" ht="16.5">
      <c r="B409" s="41"/>
      <c r="E409" s="41"/>
      <c r="F409" s="6"/>
      <c r="G409" s="6"/>
      <c r="H409" s="6"/>
      <c r="I409" s="6"/>
      <c r="J409" s="6"/>
      <c r="K409" s="6"/>
    </row>
    <row r="410" spans="2:11" ht="16.5">
      <c r="B410" s="41"/>
      <c r="E410" s="41"/>
      <c r="F410" s="6"/>
      <c r="G410" s="6"/>
      <c r="H410" s="6"/>
      <c r="I410" s="6"/>
      <c r="J410" s="6"/>
      <c r="K410" s="6"/>
    </row>
    <row r="411" spans="2:11" ht="16.5">
      <c r="B411" s="41"/>
      <c r="E411" s="41"/>
      <c r="F411" s="6"/>
      <c r="G411" s="6"/>
      <c r="H411" s="6"/>
      <c r="I411" s="6"/>
      <c r="J411" s="6"/>
      <c r="K411" s="6"/>
    </row>
    <row r="412" spans="2:11" ht="16.5">
      <c r="B412" s="41"/>
      <c r="E412" s="41"/>
      <c r="F412" s="6"/>
      <c r="G412" s="6"/>
      <c r="H412" s="6"/>
      <c r="I412" s="6"/>
      <c r="J412" s="6"/>
      <c r="K412" s="6"/>
    </row>
    <row r="413" spans="2:11" ht="16.5">
      <c r="B413" s="41"/>
      <c r="E413" s="41"/>
      <c r="F413" s="6"/>
      <c r="G413" s="6"/>
      <c r="H413" s="6"/>
      <c r="I413" s="6"/>
      <c r="J413" s="6"/>
      <c r="K413" s="6"/>
    </row>
    <row r="414" spans="2:11" ht="16.5">
      <c r="B414" s="41"/>
      <c r="E414" s="41"/>
      <c r="F414" s="6"/>
      <c r="G414" s="6"/>
      <c r="H414" s="6"/>
      <c r="I414" s="6"/>
      <c r="J414" s="6"/>
      <c r="K414" s="6"/>
    </row>
    <row r="415" spans="2:11" ht="16.5">
      <c r="B415" s="41"/>
      <c r="E415" s="41"/>
      <c r="F415" s="6"/>
      <c r="G415" s="6"/>
      <c r="H415" s="6"/>
      <c r="I415" s="6"/>
      <c r="J415" s="6"/>
      <c r="K415" s="6"/>
    </row>
    <row r="416" spans="2:11" ht="16.5">
      <c r="B416" s="41"/>
      <c r="E416" s="41"/>
      <c r="F416" s="6"/>
      <c r="G416" s="6"/>
      <c r="H416" s="6"/>
      <c r="I416" s="6"/>
      <c r="J416" s="6"/>
      <c r="K416" s="6"/>
    </row>
    <row r="417" spans="2:11" ht="16.5">
      <c r="B417" s="41"/>
      <c r="E417" s="41"/>
      <c r="F417" s="6"/>
      <c r="G417" s="6"/>
      <c r="H417" s="6"/>
      <c r="I417" s="6"/>
      <c r="J417" s="6"/>
      <c r="K417" s="6"/>
    </row>
    <row r="418" spans="2:11" ht="16.5">
      <c r="B418" s="41"/>
      <c r="E418" s="41"/>
      <c r="F418" s="6"/>
      <c r="G418" s="6"/>
      <c r="H418" s="6"/>
      <c r="I418" s="6"/>
      <c r="J418" s="6"/>
      <c r="K418" s="6"/>
    </row>
    <row r="419" spans="2:11" ht="16.5">
      <c r="B419" s="41"/>
      <c r="E419" s="41"/>
      <c r="F419" s="6"/>
      <c r="G419" s="6"/>
      <c r="H419" s="6"/>
      <c r="I419" s="6"/>
      <c r="J419" s="6"/>
      <c r="K419" s="6"/>
    </row>
    <row r="420" spans="2:11" ht="16.5">
      <c r="B420" s="41"/>
      <c r="E420" s="41"/>
      <c r="F420" s="6"/>
      <c r="G420" s="6"/>
      <c r="H420" s="6"/>
      <c r="I420" s="6"/>
      <c r="J420" s="6"/>
      <c r="K420" s="6"/>
    </row>
    <row r="421" spans="2:11" ht="16.5">
      <c r="B421" s="41"/>
      <c r="E421" s="41"/>
      <c r="F421" s="6"/>
      <c r="G421" s="6"/>
      <c r="H421" s="6"/>
      <c r="I421" s="6"/>
      <c r="J421" s="6"/>
      <c r="K421" s="6"/>
    </row>
    <row r="422" spans="2:11" ht="16.5">
      <c r="B422" s="41"/>
      <c r="E422" s="41"/>
      <c r="F422" s="6"/>
      <c r="G422" s="6"/>
      <c r="H422" s="6"/>
      <c r="I422" s="6"/>
      <c r="J422" s="6"/>
      <c r="K422" s="6"/>
    </row>
    <row r="423" spans="2:11" ht="16.5">
      <c r="B423" s="41"/>
      <c r="E423" s="41"/>
      <c r="F423" s="6"/>
      <c r="G423" s="6"/>
      <c r="H423" s="6"/>
      <c r="I423" s="6"/>
      <c r="J423" s="6"/>
      <c r="K423" s="6"/>
    </row>
    <row r="424" spans="2:11" ht="16.5">
      <c r="B424" s="41"/>
      <c r="E424" s="41"/>
      <c r="F424" s="6"/>
      <c r="G424" s="6"/>
      <c r="H424" s="6"/>
      <c r="I424" s="6"/>
      <c r="J424" s="6"/>
      <c r="K424" s="6"/>
    </row>
    <row r="425" spans="2:11" ht="16.5">
      <c r="B425" s="41"/>
      <c r="E425" s="41"/>
      <c r="F425" s="6"/>
      <c r="G425" s="6"/>
      <c r="H425" s="6"/>
      <c r="I425" s="6"/>
      <c r="J425" s="6"/>
      <c r="K425" s="6"/>
    </row>
    <row r="426" spans="2:11" ht="16.5">
      <c r="B426" s="41"/>
      <c r="E426" s="41"/>
      <c r="F426" s="6"/>
      <c r="G426" s="6"/>
      <c r="H426" s="6"/>
      <c r="I426" s="6"/>
      <c r="J426" s="6"/>
      <c r="K426" s="6"/>
    </row>
    <row r="427" spans="2:11" ht="16.5">
      <c r="B427" s="41"/>
      <c r="E427" s="41"/>
      <c r="F427" s="6"/>
      <c r="G427" s="6"/>
      <c r="H427" s="6"/>
      <c r="I427" s="6"/>
      <c r="J427" s="6"/>
      <c r="K427" s="6"/>
    </row>
    <row r="428" spans="2:11" ht="16.5">
      <c r="B428" s="41"/>
      <c r="E428" s="41"/>
      <c r="F428" s="6"/>
      <c r="G428" s="6"/>
      <c r="H428" s="6"/>
      <c r="I428" s="6"/>
      <c r="J428" s="6"/>
      <c r="K428" s="6"/>
    </row>
    <row r="429" spans="2:11" ht="16.5">
      <c r="B429" s="41"/>
      <c r="E429" s="41"/>
      <c r="F429" s="6"/>
      <c r="G429" s="6"/>
      <c r="H429" s="6"/>
      <c r="I429" s="6"/>
      <c r="J429" s="6"/>
      <c r="K429" s="6"/>
    </row>
    <row r="430" spans="2:11" ht="16.5">
      <c r="B430" s="41"/>
      <c r="E430" s="41"/>
      <c r="F430" s="6"/>
      <c r="G430" s="6"/>
      <c r="H430" s="6"/>
      <c r="I430" s="6"/>
      <c r="J430" s="6"/>
      <c r="K430" s="6"/>
    </row>
    <row r="431" spans="2:11" ht="16.5">
      <c r="B431" s="41"/>
      <c r="E431" s="41"/>
      <c r="F431" s="6"/>
      <c r="G431" s="6"/>
      <c r="H431" s="6"/>
      <c r="I431" s="6"/>
      <c r="J431" s="6"/>
      <c r="K431" s="6"/>
    </row>
    <row r="432" spans="2:11" ht="16.5">
      <c r="B432" s="41"/>
      <c r="E432" s="41"/>
      <c r="F432" s="6"/>
      <c r="G432" s="6"/>
      <c r="H432" s="6"/>
      <c r="I432" s="6"/>
      <c r="J432" s="6"/>
      <c r="K432" s="6"/>
    </row>
    <row r="433" spans="2:11" ht="16.5">
      <c r="B433" s="41"/>
      <c r="E433" s="41"/>
      <c r="F433" s="6"/>
      <c r="G433" s="6"/>
      <c r="H433" s="6"/>
      <c r="I433" s="6"/>
      <c r="J433" s="6"/>
      <c r="K433" s="6"/>
    </row>
    <row r="434" spans="2:11" ht="16.5">
      <c r="B434" s="41"/>
      <c r="E434" s="41"/>
      <c r="F434" s="6"/>
      <c r="G434" s="6"/>
      <c r="H434" s="6"/>
      <c r="I434" s="6"/>
      <c r="J434" s="6"/>
      <c r="K434" s="6"/>
    </row>
    <row r="435" spans="2:11" ht="16.5">
      <c r="B435" s="41"/>
      <c r="E435" s="41"/>
      <c r="F435" s="6"/>
      <c r="G435" s="6"/>
      <c r="H435" s="6"/>
      <c r="I435" s="6"/>
      <c r="J435" s="6"/>
      <c r="K435" s="6"/>
    </row>
    <row r="436" spans="2:11" ht="16.5">
      <c r="B436" s="41"/>
      <c r="E436" s="41"/>
      <c r="F436" s="6"/>
      <c r="G436" s="6"/>
      <c r="H436" s="6"/>
      <c r="I436" s="6"/>
      <c r="J436" s="6"/>
      <c r="K436" s="6"/>
    </row>
    <row r="437" spans="2:11" ht="16.5">
      <c r="B437" s="41"/>
      <c r="E437" s="41"/>
      <c r="F437" s="6"/>
      <c r="G437" s="6"/>
      <c r="H437" s="6"/>
      <c r="I437" s="6"/>
      <c r="J437" s="6"/>
      <c r="K437" s="6"/>
    </row>
    <row r="438" spans="2:11" ht="16.5">
      <c r="B438" s="41"/>
      <c r="E438" s="41"/>
      <c r="F438" s="6"/>
      <c r="G438" s="6"/>
      <c r="H438" s="6"/>
      <c r="I438" s="6"/>
      <c r="J438" s="6"/>
      <c r="K438" s="6"/>
    </row>
    <row r="439" spans="2:11" ht="16.5">
      <c r="B439" s="41"/>
      <c r="E439" s="41"/>
      <c r="F439" s="6"/>
      <c r="G439" s="6"/>
      <c r="H439" s="6"/>
      <c r="I439" s="6"/>
      <c r="J439" s="6"/>
      <c r="K439" s="6"/>
    </row>
    <row r="440" spans="2:11" ht="16.5">
      <c r="B440" s="41"/>
      <c r="E440" s="41"/>
      <c r="F440" s="6"/>
      <c r="G440" s="6"/>
      <c r="H440" s="6"/>
      <c r="I440" s="6"/>
      <c r="J440" s="6"/>
      <c r="K440" s="6"/>
    </row>
    <row r="441" spans="2:11" ht="16.5">
      <c r="B441" s="41"/>
      <c r="E441" s="41"/>
      <c r="F441" s="6"/>
      <c r="G441" s="6"/>
      <c r="H441" s="6"/>
      <c r="I441" s="6"/>
      <c r="J441" s="6"/>
      <c r="K441" s="6"/>
    </row>
    <row r="442" spans="2:11" ht="16.5">
      <c r="B442" s="41"/>
      <c r="E442" s="41"/>
      <c r="F442" s="6"/>
      <c r="G442" s="6"/>
      <c r="H442" s="6"/>
      <c r="I442" s="6"/>
      <c r="J442" s="6"/>
      <c r="K442" s="6"/>
    </row>
    <row r="443" spans="2:11" ht="16.5">
      <c r="B443" s="41"/>
      <c r="E443" s="41"/>
      <c r="F443" s="6"/>
      <c r="G443" s="6"/>
      <c r="H443" s="6"/>
      <c r="I443" s="6"/>
      <c r="J443" s="6"/>
      <c r="K443" s="6"/>
    </row>
    <row r="444" spans="2:11" ht="16.5">
      <c r="B444" s="41"/>
      <c r="E444" s="41"/>
      <c r="F444" s="6"/>
      <c r="G444" s="6"/>
      <c r="H444" s="6"/>
      <c r="I444" s="6"/>
      <c r="J444" s="6"/>
      <c r="K444" s="6"/>
    </row>
    <row r="445" spans="2:11" ht="16.5">
      <c r="B445" s="41"/>
      <c r="E445" s="41"/>
      <c r="F445" s="6"/>
      <c r="G445" s="6"/>
      <c r="H445" s="6"/>
      <c r="I445" s="6"/>
      <c r="J445" s="6"/>
      <c r="K445" s="6"/>
    </row>
    <row r="446" spans="2:11" ht="16.5">
      <c r="B446" s="41"/>
      <c r="E446" s="41"/>
      <c r="F446" s="6"/>
      <c r="G446" s="6"/>
      <c r="H446" s="6"/>
      <c r="I446" s="6"/>
      <c r="J446" s="6"/>
      <c r="K446" s="6"/>
    </row>
    <row r="447" spans="2:11" ht="16.5">
      <c r="B447" s="41"/>
      <c r="E447" s="41"/>
      <c r="F447" s="6"/>
      <c r="G447" s="6"/>
      <c r="H447" s="6"/>
      <c r="I447" s="6"/>
      <c r="J447" s="6"/>
      <c r="K447" s="6"/>
    </row>
    <row r="448" spans="2:11" ht="16.5">
      <c r="B448" s="41"/>
      <c r="E448" s="41"/>
      <c r="F448" s="6"/>
      <c r="G448" s="6"/>
      <c r="H448" s="6"/>
      <c r="I448" s="6"/>
      <c r="J448" s="6"/>
      <c r="K448" s="6"/>
    </row>
    <row r="449" spans="2:11" ht="16.5">
      <c r="B449" s="41"/>
      <c r="E449" s="41"/>
      <c r="F449" s="6"/>
      <c r="G449" s="6"/>
      <c r="H449" s="6"/>
      <c r="I449" s="6"/>
      <c r="J449" s="6"/>
      <c r="K449" s="6"/>
    </row>
    <row r="450" spans="2:11" ht="16.5">
      <c r="B450" s="41"/>
      <c r="E450" s="41"/>
      <c r="F450" s="6"/>
      <c r="G450" s="6"/>
      <c r="H450" s="6"/>
      <c r="I450" s="6"/>
      <c r="J450" s="6"/>
      <c r="K450" s="6"/>
    </row>
    <row r="451" spans="2:11" ht="16.5">
      <c r="B451" s="41"/>
      <c r="E451" s="41"/>
      <c r="F451" s="6"/>
      <c r="G451" s="6"/>
      <c r="H451" s="6"/>
      <c r="I451" s="6"/>
      <c r="J451" s="6"/>
      <c r="K451" s="6"/>
    </row>
    <row r="452" spans="2:11" ht="16.5">
      <c r="B452" s="41"/>
      <c r="E452" s="41"/>
      <c r="F452" s="6"/>
      <c r="G452" s="6"/>
      <c r="H452" s="6"/>
      <c r="I452" s="6"/>
      <c r="J452" s="6"/>
      <c r="K452" s="6"/>
    </row>
    <row r="453" spans="2:11" ht="16.5">
      <c r="B453" s="41"/>
      <c r="E453" s="41"/>
      <c r="F453" s="6"/>
      <c r="G453" s="6"/>
      <c r="H453" s="6"/>
      <c r="I453" s="6"/>
      <c r="J453" s="6"/>
      <c r="K453" s="6"/>
    </row>
    <row r="454" spans="2:11" ht="16.5">
      <c r="B454" s="41"/>
      <c r="E454" s="41"/>
      <c r="F454" s="6"/>
      <c r="G454" s="6"/>
      <c r="H454" s="6"/>
      <c r="I454" s="6"/>
      <c r="J454" s="6"/>
      <c r="K454" s="6"/>
    </row>
    <row r="455" spans="2:11" ht="16.5">
      <c r="B455" s="41"/>
      <c r="E455" s="41"/>
      <c r="F455" s="6"/>
      <c r="G455" s="6"/>
      <c r="H455" s="6"/>
      <c r="I455" s="6"/>
      <c r="J455" s="6"/>
      <c r="K455" s="6"/>
    </row>
    <row r="456" spans="2:11" ht="16.5">
      <c r="B456" s="41"/>
      <c r="E456" s="41"/>
      <c r="F456" s="6"/>
      <c r="G456" s="6"/>
      <c r="H456" s="6"/>
      <c r="I456" s="6"/>
      <c r="J456" s="6"/>
      <c r="K456" s="6"/>
    </row>
    <row r="457" spans="2:11" ht="16.5">
      <c r="B457" s="41"/>
      <c r="E457" s="41"/>
      <c r="F457" s="6"/>
      <c r="G457" s="6"/>
      <c r="H457" s="6"/>
      <c r="I457" s="6"/>
      <c r="J457" s="6"/>
      <c r="K457" s="6"/>
    </row>
    <row r="458" spans="2:11" ht="16.5">
      <c r="B458" s="41"/>
      <c r="E458" s="41"/>
      <c r="F458" s="6"/>
      <c r="G458" s="6"/>
      <c r="H458" s="6"/>
      <c r="I458" s="6"/>
      <c r="J458" s="6"/>
      <c r="K458" s="6"/>
    </row>
    <row r="459" spans="2:11" ht="16.5">
      <c r="B459" s="41"/>
      <c r="E459" s="41"/>
      <c r="F459" s="6"/>
      <c r="G459" s="6"/>
      <c r="H459" s="6"/>
      <c r="I459" s="6"/>
      <c r="J459" s="6"/>
      <c r="K459" s="6"/>
    </row>
    <row r="460" spans="2:11" ht="16.5">
      <c r="B460" s="41"/>
      <c r="E460" s="41"/>
      <c r="F460" s="6"/>
      <c r="G460" s="6"/>
      <c r="H460" s="6"/>
      <c r="I460" s="6"/>
      <c r="J460" s="6"/>
      <c r="K460" s="6"/>
    </row>
    <row r="461" spans="2:11" ht="16.5">
      <c r="B461" s="41"/>
      <c r="E461" s="41"/>
      <c r="F461" s="6"/>
      <c r="G461" s="6"/>
      <c r="H461" s="6"/>
      <c r="I461" s="6"/>
      <c r="J461" s="6"/>
      <c r="K461" s="6"/>
    </row>
    <row r="462" spans="2:11" ht="16.5">
      <c r="B462" s="41"/>
      <c r="E462" s="41"/>
      <c r="F462" s="6"/>
      <c r="G462" s="6"/>
      <c r="H462" s="6"/>
      <c r="I462" s="6"/>
      <c r="J462" s="6"/>
      <c r="K462" s="6"/>
    </row>
    <row r="463" spans="2:11" ht="16.5">
      <c r="B463" s="41"/>
      <c r="E463" s="41"/>
      <c r="F463" s="6"/>
      <c r="G463" s="6"/>
      <c r="H463" s="6"/>
      <c r="I463" s="6"/>
      <c r="J463" s="6"/>
      <c r="K463" s="6"/>
    </row>
    <row r="464" spans="2:11" ht="16.5">
      <c r="B464" s="41"/>
      <c r="E464" s="41"/>
      <c r="F464" s="6"/>
      <c r="G464" s="6"/>
      <c r="H464" s="6"/>
      <c r="I464" s="6"/>
      <c r="J464" s="6"/>
      <c r="K464" s="6"/>
    </row>
    <row r="465" spans="2:11" ht="16.5">
      <c r="B465" s="41"/>
      <c r="E465" s="41"/>
      <c r="F465" s="6"/>
      <c r="G465" s="6"/>
      <c r="H465" s="6"/>
      <c r="I465" s="6"/>
      <c r="J465" s="6"/>
      <c r="K465" s="6"/>
    </row>
    <row r="466" spans="2:11" ht="16.5">
      <c r="B466" s="41"/>
      <c r="E466" s="41"/>
      <c r="F466" s="6"/>
      <c r="G466" s="6"/>
      <c r="H466" s="6"/>
      <c r="I466" s="6"/>
      <c r="J466" s="6"/>
      <c r="K466" s="6"/>
    </row>
    <row r="467" spans="2:11" ht="16.5">
      <c r="B467" s="41"/>
      <c r="E467" s="41"/>
      <c r="F467" s="6"/>
      <c r="G467" s="6"/>
      <c r="H467" s="6"/>
      <c r="I467" s="6"/>
      <c r="J467" s="6"/>
      <c r="K467" s="6"/>
    </row>
    <row r="468" spans="2:11" ht="16.5">
      <c r="B468" s="41"/>
      <c r="E468" s="41"/>
      <c r="F468" s="6"/>
      <c r="G468" s="6"/>
      <c r="H468" s="6"/>
      <c r="I468" s="6"/>
      <c r="J468" s="6"/>
      <c r="K468" s="6"/>
    </row>
    <row r="469" spans="2:11" ht="16.5">
      <c r="B469" s="41"/>
      <c r="E469" s="41"/>
      <c r="F469" s="6"/>
      <c r="G469" s="6"/>
      <c r="H469" s="6"/>
      <c r="I469" s="6"/>
      <c r="J469" s="6"/>
      <c r="K469" s="6"/>
    </row>
    <row r="470" spans="2:11" ht="16.5">
      <c r="B470" s="41"/>
      <c r="E470" s="41"/>
      <c r="F470" s="6"/>
      <c r="G470" s="6"/>
      <c r="H470" s="6"/>
      <c r="I470" s="6"/>
      <c r="J470" s="6"/>
      <c r="K470" s="6"/>
    </row>
    <row r="471" spans="2:11" ht="16.5">
      <c r="B471" s="41"/>
      <c r="E471" s="41"/>
      <c r="F471" s="6"/>
      <c r="G471" s="6"/>
      <c r="H471" s="6"/>
      <c r="I471" s="6"/>
      <c r="J471" s="6"/>
      <c r="K471" s="6"/>
    </row>
    <row r="472" spans="2:11" ht="16.5">
      <c r="B472" s="41"/>
      <c r="E472" s="41"/>
      <c r="F472" s="6"/>
      <c r="G472" s="6"/>
      <c r="H472" s="6"/>
      <c r="I472" s="6"/>
      <c r="J472" s="6"/>
      <c r="K472" s="6"/>
    </row>
    <row r="473" spans="2:11" ht="16.5">
      <c r="B473" s="41"/>
      <c r="E473" s="41"/>
      <c r="F473" s="6"/>
      <c r="G473" s="6"/>
      <c r="H473" s="6"/>
      <c r="I473" s="6"/>
      <c r="J473" s="6"/>
      <c r="K473" s="6"/>
    </row>
    <row r="474" spans="2:11" ht="16.5">
      <c r="B474" s="41"/>
      <c r="E474" s="41"/>
      <c r="F474" s="6"/>
      <c r="G474" s="6"/>
      <c r="H474" s="6"/>
      <c r="I474" s="6"/>
      <c r="J474" s="6"/>
      <c r="K474" s="6"/>
    </row>
    <row r="475" spans="2:11" ht="16.5">
      <c r="B475" s="41"/>
      <c r="E475" s="41"/>
      <c r="F475" s="6"/>
      <c r="G475" s="6"/>
      <c r="H475" s="6"/>
      <c r="I475" s="6"/>
      <c r="J475" s="6"/>
      <c r="K475" s="6"/>
    </row>
    <row r="476" spans="2:11" ht="16.5">
      <c r="B476" s="41"/>
      <c r="E476" s="41"/>
      <c r="F476" s="6"/>
      <c r="G476" s="6"/>
      <c r="H476" s="6"/>
      <c r="I476" s="6"/>
      <c r="J476" s="6"/>
      <c r="K476" s="6"/>
    </row>
    <row r="477" spans="2:11" ht="16.5">
      <c r="B477" s="41"/>
      <c r="E477" s="41"/>
      <c r="F477" s="6"/>
      <c r="G477" s="6"/>
      <c r="H477" s="6"/>
      <c r="I477" s="6"/>
      <c r="J477" s="6"/>
      <c r="K477" s="6"/>
    </row>
    <row r="478" spans="2:11" ht="16.5">
      <c r="B478" s="41"/>
      <c r="E478" s="41"/>
      <c r="F478" s="6"/>
      <c r="G478" s="6"/>
      <c r="H478" s="6"/>
      <c r="I478" s="6"/>
      <c r="J478" s="6"/>
      <c r="K478" s="6"/>
    </row>
    <row r="479" spans="2:11" ht="16.5">
      <c r="B479" s="41"/>
      <c r="E479" s="41"/>
      <c r="F479" s="6"/>
      <c r="G479" s="6"/>
      <c r="H479" s="6"/>
      <c r="I479" s="6"/>
      <c r="J479" s="6"/>
      <c r="K479" s="6"/>
    </row>
    <row r="480" spans="2:11" ht="16.5">
      <c r="B480" s="41"/>
      <c r="E480" s="41"/>
      <c r="F480" s="6"/>
      <c r="G480" s="6"/>
      <c r="H480" s="6"/>
      <c r="I480" s="6"/>
      <c r="J480" s="6"/>
      <c r="K480" s="6"/>
    </row>
    <row r="481" spans="2:11" ht="16.5">
      <c r="B481" s="41"/>
      <c r="E481" s="41"/>
      <c r="F481" s="6"/>
      <c r="G481" s="6"/>
      <c r="H481" s="6"/>
      <c r="I481" s="6"/>
      <c r="J481" s="6"/>
      <c r="K481" s="6"/>
    </row>
    <row r="482" spans="2:11" ht="16.5">
      <c r="B482" s="41"/>
      <c r="E482" s="41"/>
      <c r="F482" s="6"/>
      <c r="G482" s="6"/>
      <c r="H482" s="6"/>
      <c r="I482" s="6"/>
      <c r="J482" s="6"/>
      <c r="K482" s="6"/>
    </row>
    <row r="483" spans="2:11" ht="16.5">
      <c r="B483" s="41"/>
      <c r="E483" s="41"/>
      <c r="F483" s="6"/>
      <c r="G483" s="6"/>
      <c r="H483" s="6"/>
      <c r="I483" s="6"/>
      <c r="J483" s="6"/>
      <c r="K483" s="6"/>
    </row>
    <row r="484" spans="2:11" ht="16.5">
      <c r="B484" s="41"/>
      <c r="E484" s="41"/>
      <c r="F484" s="6"/>
      <c r="G484" s="6"/>
      <c r="H484" s="6"/>
      <c r="I484" s="6"/>
      <c r="J484" s="6"/>
      <c r="K484" s="6"/>
    </row>
    <row r="485" spans="2:11" ht="16.5">
      <c r="B485" s="41"/>
      <c r="E485" s="41"/>
      <c r="F485" s="6"/>
      <c r="G485" s="6"/>
      <c r="H485" s="6"/>
      <c r="I485" s="6"/>
      <c r="J485" s="6"/>
      <c r="K485" s="6"/>
    </row>
    <row r="486" spans="2:11" ht="16.5">
      <c r="B486" s="41"/>
      <c r="E486" s="41"/>
      <c r="F486" s="6"/>
      <c r="G486" s="6"/>
      <c r="H486" s="6"/>
      <c r="I486" s="6"/>
      <c r="J486" s="6"/>
      <c r="K486" s="6"/>
    </row>
    <row r="487" spans="2:11" ht="16.5">
      <c r="B487" s="41"/>
      <c r="E487" s="41"/>
      <c r="F487" s="6"/>
      <c r="G487" s="6"/>
      <c r="H487" s="6"/>
      <c r="I487" s="6"/>
      <c r="J487" s="6"/>
      <c r="K487" s="6"/>
    </row>
    <row r="488" spans="2:11" ht="16.5">
      <c r="B488" s="41"/>
      <c r="E488" s="41"/>
      <c r="F488" s="6"/>
      <c r="G488" s="6"/>
      <c r="H488" s="6"/>
      <c r="I488" s="6"/>
      <c r="J488" s="6"/>
      <c r="K488" s="6"/>
    </row>
    <row r="489" spans="2:11" ht="16.5">
      <c r="B489" s="41"/>
      <c r="E489" s="41"/>
      <c r="F489" s="6"/>
      <c r="G489" s="6"/>
      <c r="H489" s="6"/>
      <c r="I489" s="6"/>
      <c r="J489" s="6"/>
      <c r="K489" s="6"/>
    </row>
    <row r="490" spans="2:11" ht="16.5">
      <c r="B490" s="41"/>
      <c r="E490" s="41"/>
      <c r="F490" s="6"/>
      <c r="G490" s="6"/>
      <c r="H490" s="6"/>
      <c r="I490" s="6"/>
      <c r="J490" s="6"/>
      <c r="K490" s="6"/>
    </row>
    <row r="491" spans="2:11" ht="16.5">
      <c r="B491" s="41"/>
      <c r="E491" s="41"/>
      <c r="F491" s="6"/>
      <c r="G491" s="6"/>
      <c r="H491" s="6"/>
      <c r="I491" s="6"/>
      <c r="J491" s="6"/>
      <c r="K491" s="6"/>
    </row>
    <row r="492" spans="2:11" ht="16.5">
      <c r="B492" s="41"/>
      <c r="E492" s="41"/>
      <c r="F492" s="6"/>
      <c r="G492" s="6"/>
      <c r="H492" s="6"/>
      <c r="I492" s="6"/>
      <c r="J492" s="6"/>
      <c r="K492" s="6"/>
    </row>
    <row r="493" spans="2:11" ht="16.5">
      <c r="B493" s="41"/>
      <c r="E493" s="41"/>
      <c r="F493" s="6"/>
      <c r="G493" s="6"/>
      <c r="H493" s="6"/>
      <c r="I493" s="6"/>
      <c r="J493" s="6"/>
      <c r="K493" s="6"/>
    </row>
    <row r="494" spans="2:11" ht="16.5">
      <c r="B494" s="41"/>
      <c r="E494" s="41"/>
      <c r="F494" s="6"/>
      <c r="G494" s="6"/>
      <c r="H494" s="6"/>
      <c r="I494" s="6"/>
      <c r="J494" s="6"/>
      <c r="K494" s="6"/>
    </row>
    <row r="495" spans="2:11" ht="16.5">
      <c r="B495" s="41"/>
      <c r="E495" s="41"/>
      <c r="F495" s="6"/>
      <c r="G495" s="6"/>
      <c r="H495" s="6"/>
      <c r="I495" s="6"/>
      <c r="J495" s="6"/>
      <c r="K495" s="6"/>
    </row>
    <row r="496" spans="2:11" ht="16.5">
      <c r="B496" s="41"/>
      <c r="E496" s="41"/>
      <c r="F496" s="6"/>
      <c r="G496" s="6"/>
      <c r="H496" s="6"/>
      <c r="I496" s="6"/>
      <c r="J496" s="6"/>
      <c r="K496" s="6"/>
    </row>
    <row r="497" spans="2:11" ht="16.5">
      <c r="B497" s="41"/>
      <c r="E497" s="41"/>
      <c r="F497" s="6"/>
      <c r="G497" s="6"/>
      <c r="H497" s="6"/>
      <c r="I497" s="6"/>
      <c r="J497" s="6"/>
      <c r="K497" s="6"/>
    </row>
    <row r="498" spans="2:11" ht="16.5">
      <c r="B498" s="41"/>
      <c r="E498" s="41"/>
      <c r="F498" s="6"/>
      <c r="G498" s="6"/>
      <c r="H498" s="6"/>
      <c r="I498" s="6"/>
      <c r="J498" s="6"/>
      <c r="K498" s="6"/>
    </row>
    <row r="499" spans="2:11" ht="16.5">
      <c r="B499" s="41"/>
      <c r="E499" s="41"/>
      <c r="F499" s="6"/>
      <c r="G499" s="6"/>
      <c r="H499" s="6"/>
      <c r="I499" s="6"/>
      <c r="J499" s="6"/>
      <c r="K499" s="6"/>
    </row>
    <row r="500" spans="2:11" ht="16.5">
      <c r="B500" s="41"/>
      <c r="E500" s="41"/>
      <c r="F500" s="6"/>
      <c r="G500" s="6"/>
      <c r="H500" s="6"/>
      <c r="I500" s="6"/>
      <c r="J500" s="6"/>
      <c r="K500" s="6"/>
    </row>
    <row r="501" spans="2:11" ht="16.5">
      <c r="B501" s="41"/>
      <c r="E501" s="41"/>
      <c r="F501" s="6"/>
      <c r="G501" s="6"/>
      <c r="H501" s="6"/>
      <c r="I501" s="6"/>
      <c r="J501" s="6"/>
      <c r="K501" s="6"/>
    </row>
    <row r="502" spans="2:11" ht="16.5">
      <c r="B502" s="41"/>
      <c r="E502" s="41"/>
      <c r="F502" s="6"/>
      <c r="G502" s="6"/>
      <c r="H502" s="6"/>
      <c r="I502" s="6"/>
      <c r="J502" s="6"/>
      <c r="K502" s="6"/>
    </row>
    <row r="503" spans="2:11" ht="16.5">
      <c r="B503" s="41"/>
      <c r="E503" s="41"/>
      <c r="F503" s="6"/>
      <c r="G503" s="6"/>
      <c r="H503" s="6"/>
      <c r="I503" s="6"/>
      <c r="J503" s="6"/>
      <c r="K503" s="6"/>
    </row>
    <row r="504" spans="2:11" ht="16.5">
      <c r="B504" s="41"/>
      <c r="E504" s="41"/>
      <c r="F504" s="6"/>
      <c r="G504" s="6"/>
      <c r="H504" s="6"/>
      <c r="I504" s="6"/>
      <c r="J504" s="6"/>
      <c r="K504" s="6"/>
    </row>
    <row r="505" spans="2:11" ht="16.5">
      <c r="B505" s="41"/>
      <c r="E505" s="41"/>
      <c r="F505" s="6"/>
      <c r="G505" s="6"/>
      <c r="H505" s="6"/>
      <c r="I505" s="6"/>
      <c r="J505" s="6"/>
      <c r="K505" s="6"/>
    </row>
    <row r="506" spans="2:11" ht="16.5">
      <c r="B506" s="41"/>
      <c r="E506" s="41"/>
      <c r="F506" s="6"/>
      <c r="G506" s="6"/>
      <c r="H506" s="6"/>
      <c r="I506" s="6"/>
      <c r="J506" s="6"/>
      <c r="K506" s="6"/>
    </row>
    <row r="507" spans="2:11" ht="16.5">
      <c r="B507" s="41"/>
      <c r="E507" s="41"/>
      <c r="F507" s="6"/>
      <c r="G507" s="6"/>
      <c r="H507" s="6"/>
      <c r="I507" s="6"/>
      <c r="J507" s="6"/>
      <c r="K507" s="6"/>
    </row>
    <row r="508" spans="2:11" ht="16.5">
      <c r="B508" s="41"/>
      <c r="E508" s="41"/>
      <c r="F508" s="6"/>
      <c r="G508" s="6"/>
      <c r="H508" s="6"/>
      <c r="I508" s="6"/>
      <c r="J508" s="6"/>
      <c r="K508" s="6"/>
    </row>
    <row r="509" spans="2:11" ht="16.5">
      <c r="B509" s="41"/>
      <c r="E509" s="41"/>
      <c r="F509" s="6"/>
      <c r="G509" s="6"/>
      <c r="H509" s="6"/>
      <c r="I509" s="6"/>
      <c r="J509" s="6"/>
      <c r="K509" s="6"/>
    </row>
    <row r="510" spans="2:11" ht="16.5">
      <c r="B510" s="41"/>
      <c r="E510" s="41"/>
      <c r="F510" s="6"/>
      <c r="G510" s="6"/>
      <c r="H510" s="6"/>
      <c r="I510" s="6"/>
      <c r="J510" s="6"/>
      <c r="K510" s="6"/>
    </row>
    <row r="511" spans="2:11" ht="16.5">
      <c r="B511" s="41"/>
      <c r="E511" s="41"/>
      <c r="F511" s="6"/>
      <c r="G511" s="6"/>
      <c r="H511" s="6"/>
      <c r="I511" s="6"/>
      <c r="J511" s="6"/>
      <c r="K511" s="6"/>
    </row>
    <row r="512" spans="2:11" ht="16.5">
      <c r="B512" s="41"/>
      <c r="E512" s="41"/>
      <c r="F512" s="6"/>
      <c r="G512" s="6"/>
      <c r="H512" s="6"/>
      <c r="I512" s="6"/>
      <c r="J512" s="6"/>
      <c r="K512" s="6"/>
    </row>
    <row r="513" spans="2:11" ht="16.5">
      <c r="B513" s="41"/>
      <c r="E513" s="41"/>
      <c r="F513" s="6"/>
      <c r="G513" s="6"/>
      <c r="H513" s="6"/>
      <c r="I513" s="6"/>
      <c r="J513" s="6"/>
      <c r="K513" s="6"/>
    </row>
    <row r="514" spans="2:11" ht="16.5">
      <c r="B514" s="41"/>
      <c r="E514" s="41"/>
      <c r="F514" s="6"/>
      <c r="G514" s="6"/>
      <c r="H514" s="6"/>
      <c r="I514" s="6"/>
      <c r="J514" s="6"/>
      <c r="K514" s="6"/>
    </row>
    <row r="515" spans="2:11" ht="16.5">
      <c r="B515" s="41"/>
      <c r="E515" s="41"/>
      <c r="F515" s="6"/>
      <c r="G515" s="6"/>
      <c r="H515" s="6"/>
      <c r="I515" s="6"/>
      <c r="J515" s="6"/>
      <c r="K515" s="6"/>
    </row>
    <row r="516" spans="2:11" ht="16.5">
      <c r="B516" s="41"/>
      <c r="E516" s="41"/>
      <c r="F516" s="6"/>
      <c r="G516" s="6"/>
      <c r="H516" s="6"/>
      <c r="I516" s="6"/>
      <c r="J516" s="6"/>
      <c r="K516" s="6"/>
    </row>
    <row r="517" spans="2:11" ht="16.5">
      <c r="B517" s="41"/>
      <c r="E517" s="41"/>
      <c r="F517" s="6"/>
      <c r="G517" s="6"/>
      <c r="H517" s="6"/>
      <c r="I517" s="6"/>
      <c r="J517" s="6"/>
      <c r="K517" s="6"/>
    </row>
    <row r="518" spans="2:11" ht="16.5">
      <c r="B518" s="41"/>
      <c r="E518" s="41"/>
      <c r="F518" s="6"/>
      <c r="G518" s="6"/>
      <c r="H518" s="6"/>
      <c r="I518" s="6"/>
      <c r="J518" s="6"/>
      <c r="K518" s="6"/>
    </row>
    <row r="519" spans="2:11" ht="16.5">
      <c r="B519" s="41"/>
      <c r="E519" s="41"/>
      <c r="F519" s="6"/>
      <c r="G519" s="6"/>
      <c r="H519" s="6"/>
      <c r="I519" s="6"/>
      <c r="J519" s="6"/>
      <c r="K519" s="6"/>
    </row>
    <row r="520" spans="2:11" ht="16.5">
      <c r="B520" s="41"/>
      <c r="E520" s="41"/>
      <c r="F520" s="6"/>
      <c r="G520" s="6"/>
      <c r="H520" s="6"/>
      <c r="I520" s="6"/>
      <c r="J520" s="6"/>
      <c r="K520" s="6"/>
    </row>
    <row r="521" spans="2:11" ht="16.5">
      <c r="B521" s="41"/>
      <c r="E521" s="41"/>
      <c r="F521" s="6"/>
      <c r="G521" s="6"/>
      <c r="H521" s="6"/>
      <c r="I521" s="6"/>
      <c r="J521" s="6"/>
      <c r="K521" s="6"/>
    </row>
    <row r="522" spans="2:11" ht="16.5">
      <c r="B522" s="41"/>
      <c r="E522" s="41"/>
      <c r="F522" s="6"/>
      <c r="G522" s="6"/>
      <c r="H522" s="6"/>
      <c r="I522" s="6"/>
      <c r="J522" s="6"/>
      <c r="K522" s="6"/>
    </row>
    <row r="523" spans="2:11" ht="16.5">
      <c r="B523" s="41"/>
      <c r="E523" s="41"/>
      <c r="F523" s="6"/>
      <c r="G523" s="6"/>
      <c r="H523" s="6"/>
      <c r="I523" s="6"/>
      <c r="J523" s="6"/>
      <c r="K523" s="6"/>
    </row>
    <row r="524" spans="2:11" ht="16.5">
      <c r="B524" s="41"/>
      <c r="E524" s="41"/>
      <c r="F524" s="6"/>
      <c r="G524" s="6"/>
      <c r="H524" s="6"/>
      <c r="I524" s="6"/>
      <c r="J524" s="6"/>
      <c r="K524" s="6"/>
    </row>
    <row r="525" spans="2:11" ht="16.5">
      <c r="B525" s="41"/>
      <c r="E525" s="41"/>
      <c r="F525" s="6"/>
      <c r="G525" s="6"/>
      <c r="H525" s="6"/>
      <c r="I525" s="6"/>
      <c r="J525" s="6"/>
      <c r="K525" s="6"/>
    </row>
    <row r="526" spans="2:11" ht="16.5">
      <c r="B526" s="41"/>
      <c r="E526" s="41"/>
      <c r="F526" s="6"/>
      <c r="G526" s="6"/>
      <c r="H526" s="6"/>
      <c r="I526" s="6"/>
      <c r="J526" s="6"/>
      <c r="K526" s="6"/>
    </row>
    <row r="527" spans="2:11" ht="16.5">
      <c r="B527" s="41"/>
      <c r="E527" s="41"/>
      <c r="F527" s="6"/>
      <c r="G527" s="6"/>
      <c r="H527" s="6"/>
      <c r="I527" s="6"/>
      <c r="J527" s="6"/>
      <c r="K527" s="6"/>
    </row>
    <row r="528" spans="2:11" ht="16.5">
      <c r="B528" s="41"/>
      <c r="E528" s="41"/>
      <c r="F528" s="6"/>
      <c r="G528" s="6"/>
      <c r="H528" s="6"/>
      <c r="I528" s="6"/>
      <c r="J528" s="6"/>
      <c r="K528" s="6"/>
    </row>
    <row r="529" spans="2:11" ht="16.5">
      <c r="B529" s="41"/>
      <c r="E529" s="41"/>
      <c r="F529" s="6"/>
      <c r="G529" s="6"/>
      <c r="H529" s="6"/>
      <c r="I529" s="6"/>
      <c r="J529" s="6"/>
      <c r="K529" s="6"/>
    </row>
    <row r="530" spans="2:11" ht="16.5">
      <c r="B530" s="41"/>
      <c r="E530" s="41"/>
      <c r="F530" s="6"/>
      <c r="G530" s="6"/>
      <c r="H530" s="6"/>
      <c r="I530" s="6"/>
      <c r="J530" s="6"/>
      <c r="K530" s="6"/>
    </row>
    <row r="531" spans="2:11" ht="16.5">
      <c r="B531" s="41"/>
      <c r="E531" s="41"/>
      <c r="F531" s="6"/>
      <c r="G531" s="6"/>
      <c r="H531" s="6"/>
      <c r="I531" s="6"/>
      <c r="J531" s="6"/>
      <c r="K531" s="6"/>
    </row>
    <row r="532" spans="2:11" ht="16.5">
      <c r="B532" s="41"/>
      <c r="E532" s="41"/>
      <c r="F532" s="6"/>
      <c r="G532" s="6"/>
      <c r="H532" s="6"/>
      <c r="I532" s="6"/>
      <c r="J532" s="6"/>
      <c r="K532" s="6"/>
    </row>
    <row r="533" spans="2:11" ht="16.5">
      <c r="B533" s="41"/>
      <c r="E533" s="41"/>
      <c r="F533" s="6"/>
      <c r="G533" s="6"/>
      <c r="H533" s="6"/>
      <c r="I533" s="6"/>
      <c r="J533" s="6"/>
      <c r="K533" s="6"/>
    </row>
    <row r="534" spans="2:11" ht="16.5">
      <c r="B534" s="41"/>
      <c r="E534" s="41"/>
      <c r="F534" s="6"/>
      <c r="G534" s="6"/>
      <c r="H534" s="6"/>
      <c r="I534" s="6"/>
      <c r="J534" s="6"/>
      <c r="K534" s="6"/>
    </row>
    <row r="535" spans="2:11" ht="16.5">
      <c r="B535" s="41"/>
      <c r="E535" s="41"/>
      <c r="F535" s="6"/>
      <c r="G535" s="6"/>
      <c r="H535" s="6"/>
      <c r="I535" s="6"/>
      <c r="J535" s="6"/>
      <c r="K535" s="6"/>
    </row>
    <row r="536" spans="2:11" ht="16.5">
      <c r="B536" s="41"/>
      <c r="E536" s="41"/>
      <c r="F536" s="6"/>
      <c r="G536" s="6"/>
      <c r="H536" s="6"/>
      <c r="I536" s="6"/>
      <c r="J536" s="6"/>
      <c r="K536" s="6"/>
    </row>
    <row r="537" spans="2:11" ht="16.5">
      <c r="B537" s="41"/>
      <c r="E537" s="41"/>
      <c r="F537" s="6"/>
      <c r="G537" s="6"/>
      <c r="H537" s="6"/>
      <c r="I537" s="6"/>
      <c r="J537" s="6"/>
      <c r="K537" s="6"/>
    </row>
    <row r="538" spans="2:11" ht="16.5">
      <c r="B538" s="41"/>
      <c r="E538" s="41"/>
      <c r="F538" s="6"/>
      <c r="G538" s="6"/>
      <c r="H538" s="6"/>
      <c r="I538" s="6"/>
      <c r="J538" s="6"/>
      <c r="K538" s="6"/>
    </row>
    <row r="539" spans="2:11" ht="16.5">
      <c r="B539" s="41"/>
      <c r="E539" s="41"/>
      <c r="F539" s="6"/>
      <c r="G539" s="6"/>
      <c r="H539" s="6"/>
      <c r="I539" s="6"/>
      <c r="J539" s="6"/>
      <c r="K539" s="6"/>
    </row>
    <row r="540" spans="2:11" ht="16.5">
      <c r="B540" s="41"/>
      <c r="E540" s="41"/>
      <c r="F540" s="6"/>
      <c r="G540" s="6"/>
      <c r="H540" s="6"/>
      <c r="I540" s="6"/>
      <c r="J540" s="6"/>
      <c r="K540" s="6"/>
    </row>
    <row r="541" spans="2:11" ht="16.5">
      <c r="B541" s="41"/>
      <c r="E541" s="41"/>
      <c r="F541" s="6"/>
      <c r="G541" s="6"/>
      <c r="H541" s="6"/>
      <c r="I541" s="6"/>
      <c r="J541" s="6"/>
      <c r="K541" s="6"/>
    </row>
    <row r="542" spans="2:11" ht="16.5">
      <c r="B542" s="41"/>
      <c r="E542" s="41"/>
      <c r="F542" s="6"/>
      <c r="G542" s="6"/>
      <c r="H542" s="6"/>
      <c r="I542" s="6"/>
      <c r="J542" s="6"/>
      <c r="K542" s="6"/>
    </row>
    <row r="543" spans="2:11" ht="16.5">
      <c r="B543" s="41"/>
      <c r="E543" s="41"/>
      <c r="F543" s="6"/>
      <c r="G543" s="6"/>
      <c r="H543" s="6"/>
      <c r="I543" s="6"/>
      <c r="J543" s="6"/>
      <c r="K543" s="6"/>
    </row>
    <row r="544" spans="2:11" ht="16.5">
      <c r="B544" s="41"/>
      <c r="E544" s="41"/>
      <c r="F544" s="6"/>
      <c r="G544" s="6"/>
      <c r="H544" s="6"/>
      <c r="I544" s="6"/>
      <c r="J544" s="6"/>
      <c r="K544" s="6"/>
    </row>
    <row r="545" spans="2:11" ht="16.5">
      <c r="B545" s="41"/>
      <c r="E545" s="41"/>
      <c r="F545" s="6"/>
      <c r="G545" s="6"/>
      <c r="H545" s="6"/>
      <c r="I545" s="6"/>
      <c r="J545" s="6"/>
      <c r="K545" s="6"/>
    </row>
    <row r="546" spans="2:11" ht="16.5">
      <c r="B546" s="41"/>
      <c r="E546" s="41"/>
      <c r="F546" s="6"/>
      <c r="G546" s="6"/>
      <c r="H546" s="6"/>
      <c r="I546" s="6"/>
      <c r="J546" s="6"/>
      <c r="K546" s="6"/>
    </row>
    <row r="547" spans="2:11" ht="16.5">
      <c r="B547" s="41"/>
      <c r="E547" s="41"/>
      <c r="F547" s="6"/>
      <c r="G547" s="6"/>
      <c r="H547" s="6"/>
      <c r="I547" s="6"/>
      <c r="J547" s="6"/>
      <c r="K547" s="6"/>
    </row>
    <row r="548" spans="2:11" ht="16.5">
      <c r="B548" s="41"/>
      <c r="E548" s="41"/>
      <c r="F548" s="6"/>
      <c r="G548" s="6"/>
      <c r="H548" s="6"/>
      <c r="I548" s="6"/>
      <c r="J548" s="6"/>
      <c r="K548" s="6"/>
    </row>
    <row r="549" spans="2:11" ht="16.5">
      <c r="B549" s="41"/>
      <c r="E549" s="41"/>
      <c r="F549" s="6"/>
      <c r="G549" s="6"/>
      <c r="H549" s="6"/>
      <c r="I549" s="6"/>
      <c r="J549" s="6"/>
      <c r="K549" s="6"/>
    </row>
    <row r="550" spans="2:11" ht="16.5">
      <c r="B550" s="41"/>
      <c r="E550" s="41"/>
      <c r="F550" s="6"/>
      <c r="G550" s="6"/>
      <c r="H550" s="6"/>
      <c r="I550" s="6"/>
      <c r="J550" s="6"/>
      <c r="K550" s="6"/>
    </row>
    <row r="551" spans="2:11" ht="16.5">
      <c r="B551" s="41"/>
      <c r="E551" s="41"/>
      <c r="F551" s="6"/>
      <c r="G551" s="6"/>
      <c r="H551" s="6"/>
      <c r="I551" s="6"/>
      <c r="J551" s="6"/>
      <c r="K551" s="6"/>
    </row>
    <row r="552" spans="2:11" ht="16.5">
      <c r="B552" s="41"/>
      <c r="E552" s="41"/>
      <c r="F552" s="6"/>
      <c r="G552" s="6"/>
      <c r="H552" s="6"/>
      <c r="I552" s="6"/>
      <c r="J552" s="6"/>
      <c r="K552" s="6"/>
    </row>
    <row r="553" spans="2:11" ht="16.5">
      <c r="B553" s="41"/>
      <c r="E553" s="41"/>
      <c r="F553" s="6"/>
      <c r="G553" s="6"/>
      <c r="H553" s="6"/>
      <c r="I553" s="6"/>
      <c r="J553" s="6"/>
      <c r="K553" s="6"/>
    </row>
    <row r="554" spans="2:11" ht="16.5">
      <c r="B554" s="41"/>
      <c r="E554" s="41"/>
      <c r="F554" s="6"/>
      <c r="G554" s="6"/>
      <c r="H554" s="6"/>
      <c r="I554" s="6"/>
      <c r="J554" s="6"/>
      <c r="K554" s="6"/>
    </row>
    <row r="555" spans="2:11" ht="16.5">
      <c r="B555" s="41"/>
      <c r="E555" s="41"/>
      <c r="F555" s="6"/>
      <c r="G555" s="6"/>
      <c r="H555" s="6"/>
      <c r="I555" s="6"/>
      <c r="J555" s="6"/>
      <c r="K555" s="6"/>
    </row>
    <row r="556" spans="2:11" ht="16.5">
      <c r="B556" s="41"/>
      <c r="E556" s="41"/>
      <c r="F556" s="6"/>
      <c r="G556" s="6"/>
      <c r="H556" s="6"/>
      <c r="I556" s="6"/>
      <c r="J556" s="6"/>
      <c r="K556" s="6"/>
    </row>
    <row r="557" spans="2:11" ht="16.5">
      <c r="B557" s="41"/>
      <c r="E557" s="41"/>
      <c r="F557" s="6"/>
      <c r="G557" s="6"/>
      <c r="H557" s="6"/>
      <c r="I557" s="6"/>
      <c r="J557" s="6"/>
      <c r="K557" s="6"/>
    </row>
    <row r="558" spans="2:11" ht="16.5">
      <c r="B558" s="41"/>
      <c r="E558" s="41"/>
      <c r="F558" s="6"/>
      <c r="G558" s="6"/>
      <c r="H558" s="6"/>
      <c r="I558" s="6"/>
      <c r="J558" s="6"/>
      <c r="K558" s="6"/>
    </row>
    <row r="559" spans="2:11" ht="16.5">
      <c r="B559" s="41"/>
      <c r="E559" s="41"/>
      <c r="F559" s="6"/>
      <c r="G559" s="6"/>
      <c r="H559" s="6"/>
      <c r="I559" s="6"/>
      <c r="J559" s="6"/>
      <c r="K559" s="6"/>
    </row>
    <row r="560" spans="2:11" ht="16.5">
      <c r="B560" s="41"/>
      <c r="E560" s="41"/>
      <c r="F560" s="6"/>
      <c r="G560" s="6"/>
      <c r="H560" s="6"/>
      <c r="I560" s="6"/>
      <c r="J560" s="6"/>
      <c r="K560" s="6"/>
    </row>
    <row r="561" spans="2:11" ht="16.5">
      <c r="B561" s="41"/>
      <c r="E561" s="41"/>
      <c r="F561" s="6"/>
      <c r="G561" s="6"/>
      <c r="H561" s="6"/>
      <c r="I561" s="6"/>
      <c r="J561" s="6"/>
      <c r="K561" s="6"/>
    </row>
    <row r="562" spans="2:11" ht="16.5">
      <c r="B562" s="41"/>
      <c r="E562" s="41"/>
      <c r="F562" s="6"/>
      <c r="G562" s="6"/>
      <c r="H562" s="6"/>
      <c r="I562" s="6"/>
      <c r="J562" s="6"/>
      <c r="K562" s="6"/>
    </row>
    <row r="563" spans="2:11" ht="16.5">
      <c r="B563" s="41"/>
      <c r="E563" s="41"/>
      <c r="F563" s="6"/>
      <c r="G563" s="6"/>
      <c r="H563" s="6"/>
      <c r="I563" s="6"/>
      <c r="J563" s="6"/>
      <c r="K563" s="6"/>
    </row>
    <row r="564" spans="2:11" ht="16.5">
      <c r="B564" s="41"/>
      <c r="E564" s="41"/>
      <c r="F564" s="6"/>
      <c r="G564" s="6"/>
      <c r="H564" s="6"/>
      <c r="I564" s="6"/>
      <c r="J564" s="6"/>
      <c r="K564" s="6"/>
    </row>
    <row r="565" spans="2:11" ht="16.5">
      <c r="B565" s="41"/>
      <c r="E565" s="41"/>
      <c r="F565" s="6"/>
      <c r="G565" s="6"/>
      <c r="H565" s="6"/>
      <c r="I565" s="6"/>
      <c r="J565" s="6"/>
      <c r="K565" s="6"/>
    </row>
    <row r="566" spans="2:11" ht="16.5">
      <c r="B566" s="41"/>
      <c r="E566" s="41"/>
      <c r="F566" s="6"/>
      <c r="G566" s="6"/>
      <c r="H566" s="6"/>
      <c r="I566" s="6"/>
      <c r="J566" s="6"/>
      <c r="K566" s="6"/>
    </row>
    <row r="567" spans="2:11" ht="16.5">
      <c r="B567" s="41"/>
      <c r="E567" s="41"/>
      <c r="F567" s="6"/>
      <c r="G567" s="6"/>
      <c r="H567" s="6"/>
      <c r="I567" s="6"/>
      <c r="J567" s="6"/>
      <c r="K567" s="6"/>
    </row>
    <row r="568" spans="2:11" ht="16.5">
      <c r="B568" s="41"/>
      <c r="E568" s="41"/>
      <c r="F568" s="6"/>
      <c r="G568" s="6"/>
      <c r="H568" s="6"/>
      <c r="I568" s="6"/>
      <c r="J568" s="6"/>
      <c r="K568" s="6"/>
    </row>
    <row r="569" spans="2:11" ht="16.5">
      <c r="B569" s="41"/>
      <c r="E569" s="41"/>
      <c r="F569" s="6"/>
      <c r="G569" s="6"/>
      <c r="H569" s="6"/>
      <c r="I569" s="6"/>
      <c r="J569" s="6"/>
      <c r="K569" s="6"/>
    </row>
    <row r="570" spans="2:11" ht="16.5">
      <c r="B570" s="41"/>
      <c r="E570" s="41"/>
      <c r="F570" s="6"/>
      <c r="G570" s="6"/>
      <c r="H570" s="6"/>
      <c r="I570" s="6"/>
      <c r="J570" s="6"/>
      <c r="K570" s="6"/>
    </row>
    <row r="571" spans="2:11" ht="16.5">
      <c r="B571" s="41"/>
      <c r="E571" s="41"/>
      <c r="F571" s="6"/>
      <c r="G571" s="6"/>
      <c r="H571" s="6"/>
      <c r="I571" s="6"/>
      <c r="J571" s="6"/>
      <c r="K571" s="6"/>
    </row>
    <row r="572" spans="2:11" ht="16.5">
      <c r="B572" s="41"/>
      <c r="E572" s="41"/>
      <c r="F572" s="6"/>
      <c r="G572" s="6"/>
      <c r="H572" s="6"/>
      <c r="I572" s="6"/>
      <c r="J572" s="6"/>
      <c r="K572" s="6"/>
    </row>
    <row r="573" spans="2:11" ht="16.5">
      <c r="B573" s="41"/>
      <c r="E573" s="41"/>
      <c r="F573" s="6"/>
      <c r="G573" s="6"/>
      <c r="H573" s="6"/>
      <c r="I573" s="6"/>
      <c r="J573" s="6"/>
      <c r="K573" s="6"/>
    </row>
    <row r="574" spans="2:11" ht="16.5">
      <c r="B574" s="41"/>
      <c r="E574" s="41"/>
      <c r="F574" s="6"/>
      <c r="G574" s="6"/>
      <c r="H574" s="6"/>
      <c r="I574" s="6"/>
      <c r="J574" s="6"/>
      <c r="K574" s="6"/>
    </row>
    <row r="575" spans="2:11" ht="16.5">
      <c r="B575" s="41"/>
      <c r="E575" s="41"/>
      <c r="F575" s="6"/>
      <c r="G575" s="6"/>
      <c r="H575" s="6"/>
      <c r="I575" s="6"/>
      <c r="J575" s="6"/>
      <c r="K575" s="6"/>
    </row>
    <row r="576" spans="2:11" ht="16.5">
      <c r="B576" s="41"/>
      <c r="E576" s="41"/>
      <c r="F576" s="6"/>
      <c r="G576" s="6"/>
      <c r="H576" s="6"/>
      <c r="I576" s="6"/>
      <c r="J576" s="6"/>
      <c r="K576" s="6"/>
    </row>
    <row r="577" spans="2:11" ht="16.5">
      <c r="B577" s="41"/>
      <c r="E577" s="41"/>
      <c r="F577" s="6"/>
      <c r="G577" s="6"/>
      <c r="H577" s="6"/>
      <c r="I577" s="6"/>
      <c r="J577" s="6"/>
      <c r="K577" s="6"/>
    </row>
    <row r="578" spans="2:11" ht="16.5">
      <c r="B578" s="41"/>
      <c r="E578" s="41"/>
      <c r="F578" s="6"/>
      <c r="G578" s="6"/>
      <c r="H578" s="6"/>
      <c r="I578" s="6"/>
      <c r="J578" s="6"/>
      <c r="K578" s="6"/>
    </row>
    <row r="579" spans="2:11" ht="16.5">
      <c r="B579" s="41"/>
      <c r="E579" s="41"/>
      <c r="F579" s="6"/>
      <c r="G579" s="6"/>
      <c r="H579" s="6"/>
      <c r="I579" s="6"/>
      <c r="J579" s="6"/>
      <c r="K579" s="6"/>
    </row>
    <row r="580" spans="2:11" ht="16.5">
      <c r="B580" s="41"/>
      <c r="E580" s="41"/>
      <c r="F580" s="6"/>
      <c r="G580" s="6"/>
      <c r="H580" s="6"/>
      <c r="I580" s="6"/>
      <c r="J580" s="6"/>
      <c r="K580" s="6"/>
    </row>
    <row r="581" spans="2:11" ht="16.5">
      <c r="B581" s="41"/>
      <c r="E581" s="41"/>
      <c r="F581" s="6"/>
      <c r="G581" s="6"/>
      <c r="H581" s="6"/>
      <c r="I581" s="6"/>
      <c r="J581" s="6"/>
      <c r="K581" s="6"/>
    </row>
    <row r="582" spans="2:11" ht="16.5">
      <c r="B582" s="41"/>
      <c r="E582" s="41"/>
      <c r="F582" s="6"/>
      <c r="G582" s="6"/>
      <c r="H582" s="6"/>
      <c r="I582" s="6"/>
      <c r="J582" s="6"/>
      <c r="K582" s="6"/>
    </row>
    <row r="583" spans="2:11" ht="16.5">
      <c r="B583" s="41"/>
      <c r="E583" s="41"/>
      <c r="F583" s="6"/>
      <c r="G583" s="6"/>
      <c r="H583" s="6"/>
      <c r="I583" s="6"/>
      <c r="J583" s="6"/>
      <c r="K583" s="6"/>
    </row>
    <row r="584" spans="2:11" ht="16.5">
      <c r="B584" s="41"/>
      <c r="E584" s="41"/>
      <c r="F584" s="6"/>
      <c r="G584" s="6"/>
      <c r="H584" s="6"/>
      <c r="I584" s="6"/>
      <c r="J584" s="6"/>
      <c r="K584" s="6"/>
    </row>
    <row r="585" spans="2:11" ht="16.5">
      <c r="B585" s="41"/>
      <c r="E585" s="41"/>
      <c r="F585" s="6"/>
      <c r="G585" s="6"/>
      <c r="H585" s="6"/>
      <c r="I585" s="6"/>
      <c r="J585" s="6"/>
      <c r="K585" s="6"/>
    </row>
    <row r="586" spans="2:11" ht="16.5">
      <c r="B586" s="41"/>
      <c r="E586" s="41"/>
      <c r="F586" s="6"/>
      <c r="G586" s="6"/>
      <c r="H586" s="6"/>
      <c r="I586" s="6"/>
      <c r="J586" s="6"/>
      <c r="K586" s="6"/>
    </row>
    <row r="587" spans="2:11" ht="16.5">
      <c r="B587" s="41"/>
      <c r="E587" s="41"/>
      <c r="F587" s="6"/>
      <c r="G587" s="6"/>
      <c r="H587" s="6"/>
      <c r="I587" s="6"/>
      <c r="J587" s="6"/>
      <c r="K587" s="6"/>
    </row>
    <row r="588" spans="2:11" ht="16.5">
      <c r="B588" s="41"/>
      <c r="E588" s="41"/>
      <c r="F588" s="6"/>
      <c r="G588" s="6"/>
      <c r="H588" s="6"/>
      <c r="I588" s="6"/>
      <c r="J588" s="6"/>
      <c r="K588" s="6"/>
    </row>
    <row r="589" spans="2:11" ht="16.5">
      <c r="B589" s="41"/>
      <c r="E589" s="41"/>
      <c r="F589" s="6"/>
      <c r="G589" s="6"/>
      <c r="H589" s="6"/>
      <c r="I589" s="6"/>
      <c r="J589" s="6"/>
      <c r="K589" s="6"/>
    </row>
    <row r="590" spans="2:11" ht="16.5">
      <c r="B590" s="41"/>
      <c r="E590" s="41"/>
      <c r="F590" s="6"/>
      <c r="G590" s="6"/>
      <c r="H590" s="6"/>
      <c r="I590" s="6"/>
      <c r="J590" s="6"/>
      <c r="K590" s="6"/>
    </row>
    <row r="591" spans="2:11" ht="16.5">
      <c r="B591" s="41"/>
      <c r="E591" s="41"/>
      <c r="F591" s="6"/>
      <c r="G591" s="6"/>
      <c r="H591" s="6"/>
      <c r="I591" s="6"/>
      <c r="J591" s="6"/>
      <c r="K591" s="6"/>
    </row>
    <row r="592" spans="2:11" ht="16.5">
      <c r="B592" s="41"/>
      <c r="E592" s="41"/>
      <c r="F592" s="6"/>
      <c r="G592" s="6"/>
      <c r="H592" s="6"/>
      <c r="I592" s="6"/>
      <c r="J592" s="6"/>
      <c r="K592" s="6"/>
    </row>
    <row r="593" spans="2:11" ht="16.5">
      <c r="B593" s="41"/>
      <c r="E593" s="41"/>
      <c r="F593" s="6"/>
      <c r="G593" s="6"/>
      <c r="H593" s="6"/>
      <c r="I593" s="6"/>
      <c r="J593" s="6"/>
      <c r="K593" s="6"/>
    </row>
    <row r="594" spans="2:11" ht="16.5">
      <c r="B594" s="41"/>
      <c r="E594" s="41"/>
      <c r="F594" s="6"/>
      <c r="G594" s="6"/>
      <c r="H594" s="6"/>
      <c r="I594" s="6"/>
      <c r="J594" s="6"/>
      <c r="K594" s="6"/>
    </row>
    <row r="595" spans="2:11" ht="16.5">
      <c r="B595" s="41"/>
      <c r="E595" s="41"/>
      <c r="F595" s="6"/>
      <c r="G595" s="6"/>
      <c r="H595" s="6"/>
      <c r="I595" s="6"/>
      <c r="J595" s="6"/>
      <c r="K595" s="6"/>
    </row>
    <row r="596" spans="2:11" ht="16.5">
      <c r="B596" s="41"/>
      <c r="E596" s="41"/>
      <c r="F596" s="6"/>
      <c r="G596" s="6"/>
      <c r="H596" s="6"/>
      <c r="I596" s="6"/>
      <c r="J596" s="6"/>
      <c r="K596" s="6"/>
    </row>
    <row r="597" spans="2:11" ht="16.5">
      <c r="B597" s="41"/>
      <c r="E597" s="41"/>
      <c r="F597" s="6"/>
      <c r="G597" s="6"/>
      <c r="H597" s="6"/>
      <c r="I597" s="6"/>
      <c r="J597" s="6"/>
      <c r="K597" s="6"/>
    </row>
    <row r="598" spans="2:11" ht="16.5">
      <c r="B598" s="41"/>
      <c r="E598" s="41"/>
      <c r="F598" s="6"/>
      <c r="G598" s="6"/>
      <c r="H598" s="6"/>
      <c r="I598" s="6"/>
      <c r="J598" s="6"/>
      <c r="K598" s="6"/>
    </row>
    <row r="599" spans="2:11" ht="16.5">
      <c r="B599" s="41"/>
      <c r="E599" s="41"/>
      <c r="F599" s="6"/>
      <c r="G599" s="6"/>
      <c r="H599" s="6"/>
      <c r="I599" s="6"/>
      <c r="J599" s="6"/>
      <c r="K599" s="6"/>
    </row>
    <row r="600" spans="2:11" ht="16.5">
      <c r="B600" s="41"/>
      <c r="E600" s="41"/>
      <c r="F600" s="6"/>
      <c r="G600" s="6"/>
      <c r="H600" s="6"/>
      <c r="I600" s="6"/>
      <c r="J600" s="6"/>
      <c r="K600" s="6"/>
    </row>
    <row r="601" spans="2:11" ht="16.5">
      <c r="B601" s="41"/>
      <c r="E601" s="41"/>
      <c r="F601" s="6"/>
      <c r="G601" s="6"/>
      <c r="H601" s="6"/>
      <c r="I601" s="6"/>
      <c r="J601" s="6"/>
      <c r="K601" s="6"/>
    </row>
    <row r="602" spans="2:11" ht="16.5">
      <c r="B602" s="41"/>
      <c r="E602" s="41"/>
      <c r="F602" s="6"/>
      <c r="G602" s="6"/>
      <c r="H602" s="6"/>
      <c r="I602" s="6"/>
      <c r="J602" s="6"/>
      <c r="K602" s="6"/>
    </row>
    <row r="603" spans="2:11" ht="16.5">
      <c r="B603" s="41"/>
      <c r="E603" s="41"/>
      <c r="F603" s="6"/>
      <c r="G603" s="6"/>
      <c r="H603" s="6"/>
      <c r="I603" s="6"/>
      <c r="J603" s="6"/>
      <c r="K603" s="6"/>
    </row>
    <row r="604" spans="2:11" ht="16.5">
      <c r="B604" s="41"/>
      <c r="E604" s="41"/>
      <c r="F604" s="6"/>
      <c r="G604" s="6"/>
      <c r="H604" s="6"/>
      <c r="I604" s="6"/>
      <c r="J604" s="6"/>
      <c r="K604" s="6"/>
    </row>
    <row r="605" spans="2:11" ht="16.5">
      <c r="B605" s="41"/>
      <c r="E605" s="41"/>
      <c r="F605" s="6"/>
      <c r="G605" s="6"/>
      <c r="H605" s="6"/>
      <c r="I605" s="6"/>
      <c r="J605" s="6"/>
      <c r="K605" s="6"/>
    </row>
    <row r="606" spans="2:11" ht="16.5">
      <c r="B606" s="41"/>
      <c r="E606" s="41"/>
      <c r="F606" s="6"/>
      <c r="G606" s="6"/>
      <c r="H606" s="6"/>
      <c r="I606" s="6"/>
      <c r="J606" s="6"/>
      <c r="K606" s="6"/>
    </row>
    <row r="607" spans="2:11" ht="16.5">
      <c r="B607" s="41"/>
      <c r="E607" s="41"/>
      <c r="F607" s="6"/>
      <c r="G607" s="6"/>
      <c r="H607" s="6"/>
      <c r="I607" s="6"/>
      <c r="J607" s="6"/>
      <c r="K607" s="6"/>
    </row>
    <row r="608" spans="2:11" ht="16.5">
      <c r="B608" s="41"/>
      <c r="E608" s="41"/>
      <c r="F608" s="6"/>
      <c r="G608" s="6"/>
      <c r="H608" s="6"/>
      <c r="I608" s="6"/>
      <c r="J608" s="6"/>
      <c r="K608" s="6"/>
    </row>
    <row r="609" spans="2:11" ht="16.5">
      <c r="B609" s="41"/>
      <c r="E609" s="41"/>
      <c r="F609" s="6"/>
      <c r="G609" s="6"/>
      <c r="H609" s="6"/>
      <c r="I609" s="6"/>
      <c r="J609" s="6"/>
      <c r="K609" s="6"/>
    </row>
    <row r="610" spans="2:11" ht="16.5">
      <c r="B610" s="41"/>
      <c r="E610" s="41"/>
      <c r="F610" s="6"/>
      <c r="G610" s="6"/>
      <c r="H610" s="6"/>
      <c r="I610" s="6"/>
      <c r="J610" s="6"/>
      <c r="K610" s="6"/>
    </row>
    <row r="611" spans="2:11" ht="16.5">
      <c r="B611" s="41"/>
      <c r="E611" s="41"/>
      <c r="F611" s="6"/>
      <c r="G611" s="6"/>
      <c r="H611" s="6"/>
      <c r="I611" s="6"/>
      <c r="J611" s="6"/>
      <c r="K611" s="6"/>
    </row>
    <row r="612" spans="2:11" ht="16.5">
      <c r="B612" s="41"/>
      <c r="E612" s="41"/>
      <c r="F612" s="6"/>
      <c r="G612" s="6"/>
      <c r="H612" s="6"/>
      <c r="I612" s="6"/>
      <c r="J612" s="6"/>
      <c r="K612" s="6"/>
    </row>
    <row r="613" spans="2:11" ht="16.5">
      <c r="B613" s="41"/>
      <c r="E613" s="41"/>
      <c r="F613" s="6"/>
      <c r="G613" s="6"/>
      <c r="H613" s="6"/>
      <c r="I613" s="6"/>
      <c r="J613" s="6"/>
      <c r="K613" s="6"/>
    </row>
    <row r="614" spans="2:11" ht="16.5">
      <c r="B614" s="41"/>
      <c r="E614" s="41"/>
      <c r="F614" s="6"/>
      <c r="G614" s="6"/>
      <c r="H614" s="6"/>
      <c r="I614" s="6"/>
      <c r="J614" s="6"/>
      <c r="K614" s="6"/>
    </row>
    <row r="615" spans="2:11" ht="16.5">
      <c r="B615" s="41"/>
      <c r="E615" s="41"/>
      <c r="F615" s="6"/>
      <c r="G615" s="6"/>
      <c r="H615" s="6"/>
      <c r="I615" s="6"/>
      <c r="J615" s="6"/>
      <c r="K615" s="6"/>
    </row>
    <row r="616" spans="2:11" ht="16.5">
      <c r="B616" s="41"/>
      <c r="E616" s="41"/>
      <c r="F616" s="6"/>
      <c r="G616" s="6"/>
      <c r="H616" s="6"/>
      <c r="I616" s="6"/>
      <c r="J616" s="6"/>
      <c r="K616" s="6"/>
    </row>
    <row r="617" spans="2:11" ht="16.5">
      <c r="B617" s="41"/>
      <c r="E617" s="41"/>
      <c r="F617" s="6"/>
      <c r="G617" s="6"/>
      <c r="H617" s="6"/>
      <c r="I617" s="6"/>
      <c r="J617" s="6"/>
      <c r="K617" s="6"/>
    </row>
    <row r="618" spans="2:11" ht="16.5">
      <c r="B618" s="41"/>
      <c r="E618" s="41"/>
      <c r="F618" s="6"/>
      <c r="G618" s="6"/>
      <c r="H618" s="6"/>
      <c r="I618" s="6"/>
      <c r="J618" s="6"/>
      <c r="K618" s="6"/>
    </row>
    <row r="619" spans="2:11" ht="16.5">
      <c r="B619" s="41"/>
      <c r="E619" s="41"/>
      <c r="F619" s="6"/>
      <c r="G619" s="6"/>
      <c r="H619" s="6"/>
      <c r="I619" s="6"/>
      <c r="J619" s="6"/>
      <c r="K619" s="6"/>
    </row>
    <row r="620" spans="2:11" ht="16.5">
      <c r="B620" s="41"/>
      <c r="E620" s="41"/>
      <c r="F620" s="6"/>
      <c r="G620" s="6"/>
      <c r="H620" s="6"/>
      <c r="I620" s="6"/>
      <c r="J620" s="6"/>
      <c r="K620" s="6"/>
    </row>
    <row r="621" spans="2:11" ht="16.5">
      <c r="B621" s="41"/>
      <c r="E621" s="41"/>
      <c r="F621" s="6"/>
      <c r="G621" s="6"/>
      <c r="H621" s="6"/>
      <c r="I621" s="6"/>
      <c r="J621" s="6"/>
      <c r="K621" s="6"/>
    </row>
    <row r="622" spans="2:11" ht="16.5">
      <c r="B622" s="41"/>
      <c r="E622" s="41"/>
      <c r="F622" s="6"/>
      <c r="G622" s="6"/>
      <c r="H622" s="6"/>
      <c r="I622" s="6"/>
      <c r="J622" s="6"/>
      <c r="K622" s="6"/>
    </row>
    <row r="623" spans="2:11" ht="16.5">
      <c r="B623" s="41"/>
      <c r="E623" s="41"/>
      <c r="F623" s="6"/>
      <c r="G623" s="6"/>
      <c r="H623" s="6"/>
      <c r="I623" s="6"/>
      <c r="J623" s="6"/>
      <c r="K623" s="6"/>
    </row>
    <row r="624" spans="2:11" ht="16.5">
      <c r="B624" s="41"/>
      <c r="E624" s="41"/>
      <c r="F624" s="6"/>
      <c r="G624" s="6"/>
      <c r="H624" s="6"/>
      <c r="I624" s="6"/>
      <c r="J624" s="6"/>
      <c r="K624" s="6"/>
    </row>
    <row r="625" spans="2:11" ht="16.5">
      <c r="B625" s="41"/>
      <c r="E625" s="41"/>
      <c r="F625" s="6"/>
      <c r="G625" s="6"/>
      <c r="H625" s="6"/>
      <c r="I625" s="6"/>
      <c r="J625" s="6"/>
      <c r="K625" s="6"/>
    </row>
    <row r="626" spans="2:11" ht="16.5">
      <c r="B626" s="41"/>
      <c r="E626" s="41"/>
      <c r="F626" s="6"/>
      <c r="G626" s="6"/>
      <c r="H626" s="6"/>
      <c r="I626" s="6"/>
      <c r="J626" s="6"/>
      <c r="K626" s="6"/>
    </row>
    <row r="627" spans="2:11" ht="16.5">
      <c r="B627" s="41"/>
      <c r="E627" s="41"/>
      <c r="F627" s="6"/>
      <c r="G627" s="6"/>
      <c r="H627" s="6"/>
      <c r="I627" s="6"/>
      <c r="J627" s="6"/>
      <c r="K627" s="6"/>
    </row>
    <row r="628" spans="2:11" ht="16.5">
      <c r="B628" s="41"/>
      <c r="E628" s="41"/>
      <c r="F628" s="6"/>
      <c r="G628" s="6"/>
      <c r="H628" s="6"/>
      <c r="I628" s="6"/>
      <c r="J628" s="6"/>
      <c r="K628" s="6"/>
    </row>
    <row r="629" spans="2:11" ht="16.5">
      <c r="B629" s="41"/>
      <c r="E629" s="41"/>
      <c r="F629" s="6"/>
      <c r="G629" s="6"/>
      <c r="H629" s="6"/>
      <c r="I629" s="6"/>
      <c r="J629" s="6"/>
      <c r="K629" s="6"/>
    </row>
    <row r="630" spans="2:11" ht="16.5">
      <c r="B630" s="41"/>
      <c r="E630" s="41"/>
      <c r="F630" s="6"/>
      <c r="G630" s="6"/>
      <c r="H630" s="6"/>
      <c r="I630" s="6"/>
      <c r="J630" s="6"/>
      <c r="K630" s="6"/>
    </row>
    <row r="631" spans="2:11" ht="16.5">
      <c r="B631" s="41"/>
      <c r="E631" s="41"/>
      <c r="F631" s="6"/>
      <c r="G631" s="6"/>
      <c r="H631" s="6"/>
      <c r="I631" s="6"/>
      <c r="J631" s="6"/>
      <c r="K631" s="6"/>
    </row>
    <row r="632" spans="2:11" ht="16.5">
      <c r="B632" s="41"/>
      <c r="E632" s="41"/>
      <c r="F632" s="6"/>
      <c r="G632" s="6"/>
      <c r="H632" s="6"/>
      <c r="I632" s="6"/>
      <c r="J632" s="6"/>
      <c r="K632" s="6"/>
    </row>
    <row r="633" spans="2:11" ht="16.5">
      <c r="B633" s="41"/>
      <c r="E633" s="41"/>
      <c r="F633" s="6"/>
      <c r="G633" s="6"/>
      <c r="H633" s="6"/>
      <c r="I633" s="6"/>
      <c r="J633" s="6"/>
      <c r="K633" s="6"/>
    </row>
    <row r="634" spans="2:11" ht="16.5">
      <c r="B634" s="41"/>
      <c r="E634" s="41"/>
      <c r="F634" s="6"/>
      <c r="G634" s="6"/>
      <c r="H634" s="6"/>
      <c r="I634" s="6"/>
      <c r="J634" s="6"/>
      <c r="K634" s="6"/>
    </row>
    <row r="635" spans="2:11" ht="16.5">
      <c r="B635" s="41"/>
      <c r="E635" s="41"/>
      <c r="F635" s="6"/>
      <c r="G635" s="6"/>
      <c r="H635" s="6"/>
      <c r="I635" s="6"/>
      <c r="J635" s="6"/>
      <c r="K635" s="6"/>
    </row>
    <row r="636" spans="2:11" ht="16.5">
      <c r="B636" s="41"/>
      <c r="E636" s="41"/>
      <c r="F636" s="6"/>
      <c r="G636" s="6"/>
      <c r="H636" s="6"/>
      <c r="I636" s="6"/>
      <c r="J636" s="6"/>
      <c r="K636" s="6"/>
    </row>
    <row r="637" spans="2:11" ht="16.5">
      <c r="B637" s="41"/>
      <c r="E637" s="41"/>
      <c r="F637" s="6"/>
      <c r="G637" s="6"/>
      <c r="H637" s="6"/>
      <c r="I637" s="6"/>
      <c r="J637" s="6"/>
      <c r="K637" s="6"/>
    </row>
    <row r="638" spans="2:11" ht="16.5">
      <c r="B638" s="41"/>
      <c r="E638" s="41"/>
      <c r="F638" s="6"/>
      <c r="G638" s="6"/>
      <c r="H638" s="6"/>
      <c r="I638" s="6"/>
      <c r="J638" s="6"/>
      <c r="K638" s="6"/>
    </row>
    <row r="639" spans="2:11" ht="16.5">
      <c r="B639" s="41"/>
      <c r="E639" s="41"/>
      <c r="F639" s="6"/>
      <c r="G639" s="6"/>
      <c r="H639" s="6"/>
      <c r="I639" s="6"/>
      <c r="J639" s="6"/>
      <c r="K639" s="6"/>
    </row>
    <row r="640" spans="2:11" ht="16.5">
      <c r="B640" s="41"/>
      <c r="E640" s="41"/>
      <c r="F640" s="6"/>
      <c r="G640" s="6"/>
      <c r="H640" s="6"/>
      <c r="I640" s="6"/>
      <c r="J640" s="6"/>
      <c r="K640" s="6"/>
    </row>
    <row r="641" spans="2:11" ht="16.5">
      <c r="B641" s="41"/>
      <c r="E641" s="41"/>
      <c r="F641" s="6"/>
      <c r="G641" s="6"/>
      <c r="H641" s="6"/>
      <c r="I641" s="6"/>
      <c r="J641" s="6"/>
      <c r="K641" s="6"/>
    </row>
    <row r="642" spans="2:11" ht="16.5">
      <c r="B642" s="41"/>
      <c r="E642" s="41"/>
      <c r="F642" s="6"/>
      <c r="G642" s="6"/>
      <c r="H642" s="6"/>
      <c r="I642" s="6"/>
      <c r="J642" s="6"/>
      <c r="K642" s="6"/>
    </row>
    <row r="643" spans="2:11" ht="16.5">
      <c r="B643" s="41"/>
      <c r="E643" s="41"/>
      <c r="F643" s="6"/>
      <c r="G643" s="6"/>
      <c r="H643" s="6"/>
      <c r="I643" s="6"/>
      <c r="J643" s="6"/>
      <c r="K643" s="6"/>
    </row>
    <row r="644" spans="2:11" ht="16.5">
      <c r="B644" s="41"/>
      <c r="E644" s="41"/>
      <c r="F644" s="6"/>
      <c r="G644" s="6"/>
      <c r="H644" s="6"/>
      <c r="I644" s="6"/>
      <c r="J644" s="6"/>
      <c r="K644" s="6"/>
    </row>
    <row r="645" spans="2:11" ht="16.5">
      <c r="B645" s="41"/>
      <c r="E645" s="41"/>
      <c r="F645" s="6"/>
      <c r="G645" s="6"/>
      <c r="H645" s="6"/>
      <c r="I645" s="6"/>
      <c r="J645" s="6"/>
      <c r="K645" s="6"/>
    </row>
    <row r="646" spans="2:11" ht="16.5">
      <c r="B646" s="41"/>
      <c r="E646" s="41"/>
      <c r="F646" s="6"/>
      <c r="G646" s="6"/>
      <c r="H646" s="6"/>
      <c r="I646" s="6"/>
      <c r="J646" s="6"/>
      <c r="K646" s="6"/>
    </row>
    <row r="647" spans="2:11" ht="16.5">
      <c r="B647" s="41"/>
      <c r="E647" s="41"/>
      <c r="F647" s="6"/>
      <c r="G647" s="6"/>
      <c r="H647" s="6"/>
      <c r="I647" s="6"/>
      <c r="J647" s="6"/>
      <c r="K647" s="6"/>
    </row>
    <row r="648" spans="2:11" ht="16.5">
      <c r="B648" s="41"/>
      <c r="E648" s="41"/>
      <c r="F648" s="6"/>
      <c r="G648" s="6"/>
      <c r="H648" s="6"/>
      <c r="I648" s="6"/>
      <c r="J648" s="6"/>
      <c r="K648" s="6"/>
    </row>
    <row r="649" spans="2:11" ht="16.5">
      <c r="B649" s="41"/>
      <c r="E649" s="41"/>
      <c r="F649" s="6"/>
      <c r="G649" s="6"/>
      <c r="H649" s="6"/>
      <c r="I649" s="6"/>
      <c r="J649" s="6"/>
      <c r="K649" s="6"/>
    </row>
    <row r="650" spans="2:11" ht="16.5">
      <c r="B650" s="41"/>
      <c r="E650" s="41"/>
      <c r="F650" s="6"/>
      <c r="G650" s="6"/>
      <c r="H650" s="6"/>
      <c r="I650" s="6"/>
      <c r="J650" s="6"/>
      <c r="K650" s="6"/>
    </row>
    <row r="651" spans="2:11" ht="16.5">
      <c r="B651" s="41"/>
      <c r="E651" s="41"/>
      <c r="F651" s="6"/>
      <c r="G651" s="6"/>
      <c r="H651" s="6"/>
      <c r="I651" s="6"/>
      <c r="J651" s="6"/>
      <c r="K651" s="6"/>
    </row>
    <row r="652" spans="2:11" ht="16.5">
      <c r="B652" s="41"/>
      <c r="E652" s="41"/>
      <c r="F652" s="6"/>
      <c r="G652" s="6"/>
      <c r="H652" s="6"/>
      <c r="I652" s="6"/>
      <c r="J652" s="6"/>
      <c r="K652" s="6"/>
    </row>
    <row r="653" spans="2:11" ht="16.5">
      <c r="B653" s="41"/>
      <c r="E653" s="41"/>
      <c r="F653" s="6"/>
      <c r="G653" s="6"/>
      <c r="H653" s="6"/>
      <c r="I653" s="6"/>
      <c r="J653" s="6"/>
      <c r="K653" s="6"/>
    </row>
    <row r="654" spans="2:11" ht="16.5">
      <c r="B654" s="41"/>
      <c r="E654" s="41"/>
      <c r="F654" s="6"/>
      <c r="G654" s="6"/>
      <c r="H654" s="6"/>
      <c r="I654" s="6"/>
      <c r="J654" s="6"/>
      <c r="K654" s="6"/>
    </row>
    <row r="655" spans="2:11" ht="16.5">
      <c r="B655" s="41"/>
      <c r="E655" s="41"/>
      <c r="F655" s="6"/>
      <c r="G655" s="6"/>
      <c r="H655" s="6"/>
      <c r="I655" s="6"/>
      <c r="J655" s="6"/>
      <c r="K655" s="6"/>
    </row>
    <row r="656" spans="2:11" ht="16.5">
      <c r="B656" s="41"/>
      <c r="E656" s="41"/>
      <c r="F656" s="6"/>
      <c r="G656" s="6"/>
      <c r="H656" s="6"/>
      <c r="I656" s="6"/>
      <c r="J656" s="6"/>
      <c r="K656" s="6"/>
    </row>
    <row r="657" spans="2:11" ht="16.5">
      <c r="B657" s="41"/>
      <c r="E657" s="41"/>
      <c r="F657" s="6"/>
      <c r="G657" s="6"/>
      <c r="H657" s="6"/>
      <c r="I657" s="6"/>
      <c r="J657" s="6"/>
      <c r="K657" s="6"/>
    </row>
    <row r="658" spans="2:11" ht="16.5">
      <c r="B658" s="41"/>
      <c r="E658" s="41"/>
      <c r="F658" s="6"/>
      <c r="G658" s="6"/>
      <c r="H658" s="6"/>
      <c r="I658" s="6"/>
      <c r="J658" s="6"/>
      <c r="K658" s="6"/>
    </row>
    <row r="659" spans="2:11" ht="16.5">
      <c r="B659" s="41"/>
      <c r="E659" s="41"/>
      <c r="F659" s="6"/>
      <c r="G659" s="6"/>
      <c r="H659" s="6"/>
      <c r="I659" s="6"/>
      <c r="J659" s="6"/>
      <c r="K659" s="6"/>
    </row>
    <row r="660" spans="2:11" ht="16.5">
      <c r="B660" s="41"/>
      <c r="E660" s="41"/>
      <c r="F660" s="6"/>
      <c r="G660" s="6"/>
      <c r="H660" s="6"/>
      <c r="I660" s="6"/>
      <c r="J660" s="6"/>
      <c r="K660" s="6"/>
    </row>
    <row r="661" spans="2:11" ht="16.5">
      <c r="B661" s="41"/>
      <c r="E661" s="41"/>
      <c r="F661" s="6"/>
      <c r="G661" s="6"/>
      <c r="H661" s="6"/>
      <c r="I661" s="6"/>
      <c r="J661" s="6"/>
      <c r="K661" s="6"/>
    </row>
    <row r="662" spans="2:11" ht="16.5">
      <c r="B662" s="41"/>
      <c r="E662" s="41"/>
      <c r="F662" s="6"/>
      <c r="G662" s="6"/>
      <c r="H662" s="6"/>
      <c r="I662" s="6"/>
      <c r="J662" s="6"/>
      <c r="K662" s="6"/>
    </row>
    <row r="663" spans="2:11" ht="16.5">
      <c r="B663" s="41"/>
      <c r="E663" s="41"/>
      <c r="F663" s="6"/>
      <c r="G663" s="6"/>
      <c r="H663" s="6"/>
      <c r="I663" s="6"/>
      <c r="J663" s="6"/>
      <c r="K663" s="6"/>
    </row>
    <row r="664" spans="2:11" ht="16.5">
      <c r="B664" s="41"/>
      <c r="E664" s="41"/>
      <c r="F664" s="6"/>
      <c r="G664" s="6"/>
      <c r="H664" s="6"/>
      <c r="I664" s="6"/>
      <c r="J664" s="6"/>
      <c r="K664" s="6"/>
    </row>
    <row r="665" spans="2:11" ht="16.5">
      <c r="B665" s="41"/>
      <c r="E665" s="41"/>
      <c r="F665" s="6"/>
      <c r="G665" s="6"/>
      <c r="H665" s="6"/>
      <c r="I665" s="6"/>
      <c r="J665" s="6"/>
      <c r="K665" s="6"/>
    </row>
    <row r="666" spans="2:11" ht="16.5">
      <c r="B666" s="41"/>
      <c r="E666" s="41"/>
      <c r="F666" s="6"/>
      <c r="G666" s="6"/>
      <c r="H666" s="6"/>
      <c r="I666" s="6"/>
      <c r="J666" s="6"/>
      <c r="K666" s="6"/>
    </row>
    <row r="667" spans="2:11" ht="16.5">
      <c r="B667" s="41"/>
      <c r="E667" s="41"/>
      <c r="F667" s="6"/>
      <c r="G667" s="6"/>
      <c r="H667" s="6"/>
      <c r="I667" s="6"/>
      <c r="J667" s="6"/>
      <c r="K667" s="6"/>
    </row>
    <row r="668" spans="2:11" ht="16.5">
      <c r="B668" s="41"/>
      <c r="E668" s="41"/>
      <c r="F668" s="6"/>
      <c r="G668" s="6"/>
      <c r="H668" s="6"/>
      <c r="I668" s="6"/>
      <c r="J668" s="6"/>
      <c r="K668" s="6"/>
    </row>
    <row r="669" spans="2:11" ht="16.5">
      <c r="B669" s="41"/>
      <c r="E669" s="41"/>
      <c r="F669" s="6"/>
      <c r="G669" s="6"/>
      <c r="H669" s="6"/>
      <c r="I669" s="6"/>
      <c r="J669" s="6"/>
      <c r="K669" s="6"/>
    </row>
    <row r="670" spans="2:11" ht="16.5">
      <c r="B670" s="41"/>
      <c r="E670" s="41"/>
      <c r="F670" s="6"/>
      <c r="G670" s="6"/>
      <c r="H670" s="6"/>
      <c r="I670" s="6"/>
      <c r="J670" s="6"/>
      <c r="K670" s="6"/>
    </row>
    <row r="671" spans="2:11" ht="16.5">
      <c r="B671" s="41"/>
      <c r="E671" s="41"/>
      <c r="F671" s="6"/>
      <c r="G671" s="6"/>
      <c r="H671" s="6"/>
      <c r="I671" s="6"/>
      <c r="J671" s="6"/>
      <c r="K671" s="6"/>
    </row>
    <row r="672" spans="2:11" ht="16.5">
      <c r="B672" s="41"/>
      <c r="E672" s="41"/>
      <c r="F672" s="6"/>
      <c r="G672" s="6"/>
      <c r="H672" s="6"/>
      <c r="I672" s="6"/>
      <c r="J672" s="6"/>
      <c r="K672" s="6"/>
    </row>
    <row r="673" spans="2:11" ht="16.5">
      <c r="B673" s="41"/>
      <c r="E673" s="41"/>
      <c r="F673" s="6"/>
      <c r="G673" s="6"/>
      <c r="H673" s="6"/>
      <c r="I673" s="6"/>
      <c r="J673" s="6"/>
      <c r="K673" s="6"/>
    </row>
    <row r="674" spans="2:11" ht="16.5">
      <c r="B674" s="41"/>
      <c r="E674" s="41"/>
      <c r="F674" s="6"/>
      <c r="G674" s="6"/>
      <c r="H674" s="6"/>
      <c r="I674" s="6"/>
      <c r="J674" s="6"/>
      <c r="K674" s="6"/>
    </row>
    <row r="675" spans="2:11" ht="16.5">
      <c r="B675" s="41"/>
      <c r="E675" s="41"/>
      <c r="F675" s="6"/>
      <c r="G675" s="6"/>
      <c r="H675" s="6"/>
      <c r="I675" s="6"/>
      <c r="J675" s="6"/>
      <c r="K675" s="6"/>
    </row>
    <row r="676" spans="2:11" ht="16.5">
      <c r="B676" s="41"/>
      <c r="E676" s="41"/>
      <c r="F676" s="6"/>
      <c r="G676" s="6"/>
      <c r="H676" s="6"/>
      <c r="I676" s="6"/>
      <c r="J676" s="6"/>
      <c r="K676" s="6"/>
    </row>
    <row r="677" spans="2:11" ht="16.5">
      <c r="B677" s="41"/>
      <c r="E677" s="41"/>
      <c r="F677" s="6"/>
      <c r="G677" s="6"/>
      <c r="H677" s="6"/>
      <c r="I677" s="6"/>
      <c r="J677" s="6"/>
      <c r="K677" s="6"/>
    </row>
    <row r="678" spans="2:11" ht="16.5">
      <c r="B678" s="41"/>
      <c r="E678" s="41"/>
      <c r="F678" s="6"/>
      <c r="G678" s="6"/>
      <c r="H678" s="6"/>
      <c r="I678" s="6"/>
      <c r="J678" s="6"/>
      <c r="K678" s="6"/>
    </row>
    <row r="679" spans="2:11" ht="16.5">
      <c r="B679" s="41"/>
      <c r="E679" s="41"/>
      <c r="F679" s="6"/>
      <c r="G679" s="6"/>
      <c r="H679" s="6"/>
      <c r="I679" s="6"/>
      <c r="J679" s="6"/>
      <c r="K679" s="6"/>
    </row>
    <row r="680" spans="2:11" ht="16.5">
      <c r="B680" s="41"/>
      <c r="E680" s="41"/>
      <c r="F680" s="6"/>
      <c r="G680" s="6"/>
      <c r="H680" s="6"/>
      <c r="I680" s="6"/>
      <c r="J680" s="6"/>
      <c r="K680" s="6"/>
    </row>
    <row r="681" spans="2:11" ht="16.5">
      <c r="B681" s="41"/>
      <c r="E681" s="41"/>
      <c r="F681" s="6"/>
      <c r="G681" s="6"/>
      <c r="H681" s="6"/>
      <c r="I681" s="6"/>
      <c r="J681" s="6"/>
      <c r="K681" s="6"/>
    </row>
    <row r="682" spans="2:11" ht="16.5">
      <c r="B682" s="41"/>
      <c r="E682" s="41"/>
      <c r="F682" s="6"/>
      <c r="G682" s="6"/>
      <c r="H682" s="6"/>
      <c r="I682" s="6"/>
      <c r="J682" s="6"/>
      <c r="K682" s="6"/>
    </row>
    <row r="683" spans="2:11" ht="16.5">
      <c r="B683" s="41"/>
      <c r="E683" s="41"/>
      <c r="F683" s="6"/>
      <c r="G683" s="6"/>
      <c r="H683" s="6"/>
      <c r="I683" s="6"/>
      <c r="J683" s="6"/>
      <c r="K683" s="6"/>
    </row>
    <row r="684" spans="2:11" ht="16.5">
      <c r="B684" s="41"/>
      <c r="E684" s="41"/>
      <c r="F684" s="6"/>
      <c r="G684" s="6"/>
      <c r="H684" s="6"/>
      <c r="I684" s="6"/>
      <c r="J684" s="6"/>
      <c r="K684" s="6"/>
    </row>
    <row r="685" spans="2:11" ht="16.5">
      <c r="B685" s="41"/>
      <c r="E685" s="41"/>
      <c r="F685" s="6"/>
      <c r="G685" s="6"/>
      <c r="H685" s="6"/>
      <c r="I685" s="6"/>
      <c r="J685" s="6"/>
      <c r="K685" s="6"/>
    </row>
    <row r="686" spans="2:11" ht="16.5">
      <c r="B686" s="41"/>
      <c r="E686" s="41"/>
      <c r="F686" s="6"/>
      <c r="G686" s="6"/>
      <c r="H686" s="6"/>
      <c r="I686" s="6"/>
      <c r="J686" s="6"/>
      <c r="K686" s="6"/>
    </row>
    <row r="687" spans="2:11" ht="16.5">
      <c r="B687" s="41"/>
      <c r="E687" s="41"/>
      <c r="F687" s="6"/>
      <c r="G687" s="6"/>
      <c r="H687" s="6"/>
      <c r="I687" s="6"/>
      <c r="J687" s="6"/>
      <c r="K687" s="6"/>
    </row>
    <row r="688" spans="2:11" ht="16.5">
      <c r="B688" s="41"/>
      <c r="E688" s="41"/>
      <c r="F688" s="6"/>
      <c r="G688" s="6"/>
      <c r="H688" s="6"/>
      <c r="I688" s="6"/>
      <c r="J688" s="6"/>
      <c r="K688" s="6"/>
    </row>
    <row r="689" spans="2:11" ht="16.5">
      <c r="B689" s="41"/>
      <c r="E689" s="41"/>
      <c r="F689" s="6"/>
      <c r="G689" s="6"/>
      <c r="H689" s="6"/>
      <c r="I689" s="6"/>
      <c r="J689" s="6"/>
      <c r="K689" s="6"/>
    </row>
    <row r="690" spans="2:11" ht="16.5">
      <c r="B690" s="41"/>
      <c r="E690" s="41"/>
      <c r="F690" s="6"/>
      <c r="G690" s="6"/>
      <c r="H690" s="6"/>
      <c r="I690" s="6"/>
      <c r="J690" s="6"/>
      <c r="K690" s="6"/>
    </row>
    <row r="691" spans="2:11" ht="16.5">
      <c r="B691" s="41"/>
      <c r="E691" s="41"/>
      <c r="F691" s="6"/>
      <c r="G691" s="6"/>
      <c r="H691" s="6"/>
      <c r="I691" s="6"/>
      <c r="J691" s="6"/>
      <c r="K691" s="6"/>
    </row>
    <row r="692" spans="2:11" ht="16.5">
      <c r="B692" s="41"/>
      <c r="E692" s="41"/>
      <c r="F692" s="6"/>
      <c r="G692" s="6"/>
      <c r="H692" s="6"/>
      <c r="I692" s="6"/>
      <c r="J692" s="6"/>
      <c r="K692" s="6"/>
    </row>
    <row r="693" spans="2:11" ht="16.5">
      <c r="B693" s="41"/>
      <c r="E693" s="41"/>
      <c r="F693" s="6"/>
      <c r="G693" s="6"/>
      <c r="H693" s="6"/>
      <c r="I693" s="6"/>
      <c r="J693" s="6"/>
      <c r="K693" s="6"/>
    </row>
    <row r="694" spans="2:11" ht="16.5">
      <c r="B694" s="41"/>
      <c r="E694" s="41"/>
      <c r="F694" s="6"/>
      <c r="G694" s="6"/>
      <c r="H694" s="6"/>
      <c r="I694" s="6"/>
      <c r="J694" s="6"/>
      <c r="K694" s="6"/>
    </row>
    <row r="695" spans="2:11" ht="16.5">
      <c r="B695" s="41"/>
      <c r="E695" s="41"/>
      <c r="F695" s="6"/>
      <c r="G695" s="6"/>
      <c r="H695" s="6"/>
      <c r="I695" s="6"/>
      <c r="J695" s="6"/>
      <c r="K695" s="6"/>
    </row>
    <row r="696" spans="2:11" ht="16.5">
      <c r="B696" s="41"/>
      <c r="E696" s="41"/>
      <c r="F696" s="6"/>
      <c r="G696" s="6"/>
      <c r="H696" s="6"/>
      <c r="I696" s="6"/>
      <c r="J696" s="6"/>
      <c r="K696" s="6"/>
    </row>
    <row r="697" spans="2:11" ht="16.5">
      <c r="B697" s="41"/>
      <c r="E697" s="41"/>
      <c r="F697" s="6"/>
      <c r="G697" s="6"/>
      <c r="H697" s="6"/>
      <c r="I697" s="6"/>
      <c r="J697" s="6"/>
      <c r="K697" s="6"/>
    </row>
    <row r="698" spans="2:11" ht="16.5">
      <c r="B698" s="41"/>
      <c r="E698" s="41"/>
      <c r="F698" s="6"/>
      <c r="G698" s="6"/>
      <c r="H698" s="6"/>
      <c r="I698" s="6"/>
      <c r="J698" s="6"/>
      <c r="K698" s="6"/>
    </row>
    <row r="699" spans="2:11" ht="16.5">
      <c r="B699" s="41"/>
      <c r="E699" s="41"/>
      <c r="F699" s="6"/>
      <c r="G699" s="6"/>
      <c r="H699" s="6"/>
      <c r="I699" s="6"/>
      <c r="J699" s="6"/>
      <c r="K699" s="6"/>
    </row>
    <row r="700" spans="2:11" ht="16.5">
      <c r="B700" s="41"/>
      <c r="E700" s="41"/>
      <c r="F700" s="6"/>
      <c r="G700" s="6"/>
      <c r="H700" s="6"/>
      <c r="I700" s="6"/>
      <c r="J700" s="6"/>
      <c r="K700" s="6"/>
    </row>
    <row r="701" spans="2:11" ht="16.5">
      <c r="B701" s="41"/>
      <c r="E701" s="41"/>
      <c r="F701" s="6"/>
      <c r="G701" s="6"/>
      <c r="H701" s="6"/>
      <c r="I701" s="6"/>
      <c r="J701" s="6"/>
      <c r="K701" s="6"/>
    </row>
    <row r="702" spans="2:11" ht="16.5">
      <c r="B702" s="41"/>
      <c r="E702" s="41"/>
      <c r="F702" s="6"/>
      <c r="G702" s="6"/>
      <c r="H702" s="6"/>
      <c r="I702" s="6"/>
      <c r="J702" s="6"/>
      <c r="K702" s="6"/>
    </row>
    <row r="703" spans="2:11" ht="16.5">
      <c r="B703" s="41"/>
      <c r="E703" s="41"/>
      <c r="F703" s="6"/>
      <c r="G703" s="6"/>
      <c r="H703" s="6"/>
      <c r="I703" s="6"/>
      <c r="J703" s="6"/>
      <c r="K703" s="6"/>
    </row>
    <row r="704" spans="2:11" ht="16.5">
      <c r="B704" s="41"/>
      <c r="E704" s="41"/>
      <c r="F704" s="6"/>
      <c r="G704" s="6"/>
      <c r="H704" s="6"/>
      <c r="I704" s="6"/>
      <c r="J704" s="6"/>
      <c r="K704" s="6"/>
    </row>
    <row r="705" spans="2:11" ht="16.5">
      <c r="B705" s="41"/>
      <c r="E705" s="41"/>
      <c r="F705" s="6"/>
      <c r="G705" s="6"/>
      <c r="H705" s="6"/>
      <c r="I705" s="6"/>
      <c r="J705" s="6"/>
      <c r="K705" s="6"/>
    </row>
    <row r="706" spans="2:11" ht="16.5">
      <c r="B706" s="41"/>
      <c r="E706" s="41"/>
      <c r="F706" s="6"/>
      <c r="G706" s="6"/>
      <c r="H706" s="6"/>
      <c r="I706" s="6"/>
      <c r="J706" s="6"/>
      <c r="K706" s="6"/>
    </row>
    <row r="707" spans="2:11" ht="16.5">
      <c r="B707" s="41"/>
      <c r="E707" s="41"/>
      <c r="F707" s="6"/>
      <c r="G707" s="6"/>
      <c r="H707" s="6"/>
      <c r="I707" s="6"/>
      <c r="J707" s="6"/>
      <c r="K707" s="6"/>
    </row>
    <row r="708" spans="2:11" ht="16.5">
      <c r="B708" s="41"/>
      <c r="E708" s="41"/>
      <c r="F708" s="6"/>
      <c r="G708" s="6"/>
      <c r="H708" s="6"/>
      <c r="I708" s="6"/>
      <c r="J708" s="6"/>
      <c r="K708" s="6"/>
    </row>
    <row r="709" spans="2:11" ht="16.5">
      <c r="B709" s="41"/>
      <c r="E709" s="41"/>
      <c r="F709" s="6"/>
      <c r="G709" s="6"/>
      <c r="H709" s="6"/>
      <c r="I709" s="6"/>
      <c r="J709" s="6"/>
      <c r="K709" s="6"/>
    </row>
    <row r="710" spans="2:11" ht="16.5">
      <c r="B710" s="41"/>
      <c r="E710" s="41"/>
      <c r="F710" s="6"/>
      <c r="G710" s="6"/>
      <c r="H710" s="6"/>
      <c r="I710" s="6"/>
      <c r="J710" s="6"/>
      <c r="K710" s="6"/>
    </row>
    <row r="711" spans="2:11" ht="16.5">
      <c r="B711" s="41"/>
      <c r="E711" s="41"/>
      <c r="F711" s="6"/>
      <c r="G711" s="6"/>
      <c r="H711" s="6"/>
      <c r="I711" s="6"/>
      <c r="J711" s="6"/>
      <c r="K711" s="6"/>
    </row>
    <row r="712" spans="2:11" ht="16.5">
      <c r="B712" s="41"/>
      <c r="E712" s="41"/>
      <c r="F712" s="6"/>
      <c r="G712" s="6"/>
      <c r="H712" s="6"/>
      <c r="I712" s="6"/>
      <c r="J712" s="6"/>
      <c r="K712" s="6"/>
    </row>
    <row r="713" spans="2:11" ht="16.5">
      <c r="B713" s="41"/>
      <c r="E713" s="41"/>
      <c r="F713" s="6"/>
      <c r="G713" s="6"/>
      <c r="H713" s="6"/>
      <c r="I713" s="6"/>
      <c r="J713" s="6"/>
      <c r="K713" s="6"/>
    </row>
    <row r="714" spans="2:11" ht="16.5">
      <c r="B714" s="41"/>
      <c r="E714" s="41"/>
      <c r="F714" s="6"/>
      <c r="G714" s="6"/>
      <c r="H714" s="6"/>
      <c r="I714" s="6"/>
      <c r="J714" s="6"/>
      <c r="K714" s="6"/>
    </row>
    <row r="715" spans="2:11" ht="16.5">
      <c r="B715" s="41"/>
      <c r="E715" s="41"/>
      <c r="F715" s="6"/>
      <c r="G715" s="6"/>
      <c r="H715" s="6"/>
      <c r="I715" s="6"/>
      <c r="J715" s="6"/>
      <c r="K715" s="6"/>
    </row>
    <row r="716" spans="2:11" ht="16.5">
      <c r="B716" s="41"/>
      <c r="E716" s="41"/>
      <c r="F716" s="6"/>
      <c r="G716" s="6"/>
      <c r="H716" s="6"/>
      <c r="I716" s="6"/>
      <c r="J716" s="6"/>
      <c r="K716" s="6"/>
    </row>
    <row r="717" spans="2:11" ht="16.5">
      <c r="B717" s="41"/>
      <c r="E717" s="41"/>
      <c r="F717" s="6"/>
      <c r="G717" s="6"/>
      <c r="H717" s="6"/>
      <c r="I717" s="6"/>
      <c r="J717" s="6"/>
      <c r="K717" s="6"/>
    </row>
    <row r="718" spans="2:11" ht="16.5">
      <c r="B718" s="41"/>
      <c r="E718" s="41"/>
      <c r="F718" s="6"/>
      <c r="G718" s="6"/>
      <c r="H718" s="6"/>
      <c r="I718" s="6"/>
      <c r="J718" s="6"/>
      <c r="K718" s="6"/>
    </row>
    <row r="719" spans="2:11" ht="16.5">
      <c r="B719" s="41"/>
      <c r="E719" s="41"/>
      <c r="F719" s="6"/>
      <c r="G719" s="6"/>
      <c r="H719" s="6"/>
      <c r="I719" s="6"/>
      <c r="J719" s="6"/>
      <c r="K719" s="6"/>
    </row>
    <row r="720" spans="2:11" ht="16.5">
      <c r="B720" s="41"/>
      <c r="E720" s="41"/>
      <c r="F720" s="6"/>
      <c r="G720" s="6"/>
      <c r="H720" s="6"/>
      <c r="I720" s="6"/>
      <c r="J720" s="6"/>
      <c r="K720" s="6"/>
    </row>
    <row r="721" spans="2:11" ht="16.5">
      <c r="B721" s="41"/>
      <c r="E721" s="41"/>
      <c r="F721" s="6"/>
      <c r="G721" s="6"/>
      <c r="H721" s="6"/>
      <c r="I721" s="6"/>
      <c r="J721" s="6"/>
      <c r="K721" s="6"/>
    </row>
    <row r="722" spans="2:11" ht="16.5">
      <c r="B722" s="41"/>
      <c r="E722" s="41"/>
      <c r="F722" s="6"/>
      <c r="G722" s="6"/>
      <c r="H722" s="6"/>
      <c r="I722" s="6"/>
      <c r="J722" s="6"/>
      <c r="K722" s="6"/>
    </row>
    <row r="723" spans="2:11" ht="16.5">
      <c r="B723" s="41"/>
      <c r="E723" s="41"/>
      <c r="F723" s="6"/>
      <c r="G723" s="6"/>
      <c r="H723" s="6"/>
      <c r="I723" s="6"/>
      <c r="J723" s="6"/>
      <c r="K723" s="6"/>
    </row>
    <row r="724" spans="2:11" ht="16.5">
      <c r="B724" s="41"/>
      <c r="E724" s="41"/>
      <c r="F724" s="6"/>
      <c r="G724" s="6"/>
      <c r="H724" s="6"/>
      <c r="I724" s="6"/>
      <c r="J724" s="6"/>
      <c r="K724" s="6"/>
    </row>
    <row r="725" spans="2:11" ht="16.5">
      <c r="B725" s="41"/>
      <c r="E725" s="41"/>
      <c r="F725" s="6"/>
      <c r="G725" s="6"/>
      <c r="H725" s="6"/>
      <c r="I725" s="6"/>
      <c r="J725" s="6"/>
      <c r="K725" s="6"/>
    </row>
    <row r="726" spans="2:11" ht="16.5">
      <c r="B726" s="41"/>
      <c r="E726" s="41"/>
      <c r="F726" s="6"/>
      <c r="G726" s="6"/>
      <c r="H726" s="6"/>
      <c r="I726" s="6"/>
      <c r="J726" s="6"/>
      <c r="K726" s="6"/>
    </row>
    <row r="727" spans="2:11" ht="16.5">
      <c r="B727" s="41"/>
      <c r="E727" s="41"/>
      <c r="F727" s="6"/>
      <c r="G727" s="6"/>
      <c r="H727" s="6"/>
      <c r="I727" s="6"/>
      <c r="J727" s="6"/>
      <c r="K727" s="6"/>
    </row>
    <row r="728" spans="2:11" ht="16.5">
      <c r="B728" s="41"/>
      <c r="E728" s="41"/>
      <c r="F728" s="6"/>
      <c r="G728" s="6"/>
      <c r="H728" s="6"/>
      <c r="I728" s="6"/>
      <c r="J728" s="6"/>
      <c r="K728" s="6"/>
    </row>
    <row r="729" spans="2:11" ht="16.5">
      <c r="B729" s="41"/>
      <c r="E729" s="41"/>
      <c r="F729" s="6"/>
      <c r="G729" s="6"/>
      <c r="H729" s="6"/>
      <c r="I729" s="6"/>
      <c r="J729" s="6"/>
      <c r="K729" s="6"/>
    </row>
    <row r="730" spans="2:11" ht="16.5">
      <c r="B730" s="41"/>
      <c r="E730" s="41"/>
      <c r="F730" s="6"/>
      <c r="G730" s="6"/>
      <c r="H730" s="6"/>
      <c r="I730" s="6"/>
      <c r="J730" s="6"/>
      <c r="K730" s="6"/>
    </row>
    <row r="731" spans="2:11" ht="16.5">
      <c r="B731" s="41"/>
      <c r="E731" s="41"/>
      <c r="F731" s="6"/>
      <c r="G731" s="6"/>
      <c r="H731" s="6"/>
      <c r="I731" s="6"/>
      <c r="J731" s="6"/>
      <c r="K731" s="6"/>
    </row>
    <row r="732" spans="2:11" ht="16.5">
      <c r="B732" s="41"/>
      <c r="E732" s="41"/>
      <c r="F732" s="6"/>
      <c r="G732" s="6"/>
      <c r="H732" s="6"/>
      <c r="I732" s="6"/>
      <c r="J732" s="6"/>
      <c r="K732" s="6"/>
    </row>
    <row r="733" spans="2:11" ht="16.5">
      <c r="B733" s="41"/>
      <c r="E733" s="41"/>
      <c r="F733" s="6"/>
      <c r="G733" s="6"/>
      <c r="H733" s="6"/>
      <c r="I733" s="6"/>
      <c r="J733" s="6"/>
      <c r="K733" s="6"/>
    </row>
    <row r="734" spans="2:11" ht="16.5">
      <c r="B734" s="41"/>
      <c r="E734" s="41"/>
      <c r="F734" s="6"/>
      <c r="G734" s="6"/>
      <c r="H734" s="6"/>
      <c r="I734" s="6"/>
      <c r="J734" s="6"/>
      <c r="K734" s="6"/>
    </row>
    <row r="735" spans="2:11" ht="16.5">
      <c r="B735" s="41"/>
      <c r="E735" s="41"/>
      <c r="F735" s="6"/>
      <c r="G735" s="6"/>
      <c r="H735" s="6"/>
      <c r="I735" s="6"/>
      <c r="J735" s="6"/>
      <c r="K735" s="6"/>
    </row>
    <row r="736" spans="2:11" ht="16.5">
      <c r="B736" s="41"/>
      <c r="E736" s="41"/>
      <c r="F736" s="6"/>
      <c r="G736" s="6"/>
      <c r="H736" s="6"/>
      <c r="I736" s="6"/>
      <c r="J736" s="6"/>
      <c r="K736" s="6"/>
    </row>
    <row r="737" spans="2:11" ht="16.5">
      <c r="B737" s="41"/>
      <c r="E737" s="41"/>
      <c r="F737" s="6"/>
      <c r="G737" s="6"/>
      <c r="H737" s="6"/>
      <c r="I737" s="6"/>
      <c r="J737" s="6"/>
      <c r="K737" s="6"/>
    </row>
    <row r="738" spans="2:11" ht="16.5">
      <c r="B738" s="41"/>
      <c r="E738" s="41"/>
      <c r="F738" s="6"/>
      <c r="G738" s="6"/>
      <c r="H738" s="6"/>
      <c r="I738" s="6"/>
      <c r="J738" s="6"/>
      <c r="K738" s="6"/>
    </row>
    <row r="739" spans="2:11" ht="16.5">
      <c r="B739" s="41"/>
      <c r="E739" s="41"/>
      <c r="F739" s="6"/>
      <c r="G739" s="6"/>
      <c r="H739" s="6"/>
      <c r="I739" s="6"/>
      <c r="J739" s="6"/>
      <c r="K739" s="6"/>
    </row>
    <row r="740" spans="2:11" ht="16.5">
      <c r="B740" s="41"/>
      <c r="E740" s="41"/>
      <c r="F740" s="6"/>
      <c r="G740" s="6"/>
      <c r="H740" s="6"/>
      <c r="I740" s="6"/>
      <c r="J740" s="6"/>
      <c r="K740" s="6"/>
    </row>
    <row r="741" spans="2:11" ht="16.5">
      <c r="B741" s="41"/>
      <c r="E741" s="41"/>
      <c r="F741" s="6"/>
      <c r="G741" s="6"/>
      <c r="H741" s="6"/>
      <c r="I741" s="6"/>
      <c r="J741" s="6"/>
      <c r="K741" s="6"/>
    </row>
    <row r="742" spans="2:11" ht="16.5">
      <c r="B742" s="41"/>
      <c r="E742" s="41"/>
      <c r="F742" s="6"/>
      <c r="G742" s="6"/>
      <c r="H742" s="6"/>
      <c r="I742" s="6"/>
      <c r="J742" s="6"/>
      <c r="K742" s="6"/>
    </row>
    <row r="743" spans="2:11" ht="16.5">
      <c r="B743" s="41"/>
      <c r="E743" s="41"/>
      <c r="F743" s="6"/>
      <c r="G743" s="6"/>
      <c r="H743" s="6"/>
      <c r="I743" s="6"/>
      <c r="J743" s="6"/>
      <c r="K743" s="6"/>
    </row>
    <row r="744" spans="2:11" ht="16.5">
      <c r="B744" s="41"/>
      <c r="E744" s="41"/>
      <c r="F744" s="6"/>
      <c r="G744" s="6"/>
      <c r="H744" s="6"/>
      <c r="I744" s="6"/>
      <c r="J744" s="6"/>
      <c r="K744" s="6"/>
    </row>
    <row r="745" spans="2:11" ht="16.5">
      <c r="B745" s="41"/>
      <c r="E745" s="41"/>
      <c r="F745" s="6"/>
      <c r="G745" s="6"/>
      <c r="H745" s="6"/>
      <c r="I745" s="6"/>
      <c r="J745" s="6"/>
      <c r="K745" s="6"/>
    </row>
    <row r="746" spans="2:11" ht="16.5">
      <c r="B746" s="41"/>
      <c r="E746" s="41"/>
      <c r="F746" s="6"/>
      <c r="G746" s="6"/>
      <c r="H746" s="6"/>
      <c r="I746" s="6"/>
      <c r="J746" s="6"/>
      <c r="K746" s="6"/>
    </row>
    <row r="747" spans="2:11" ht="16.5">
      <c r="B747" s="41"/>
      <c r="E747" s="41"/>
      <c r="F747" s="6"/>
      <c r="G747" s="6"/>
      <c r="H747" s="6"/>
      <c r="I747" s="6"/>
      <c r="J747" s="6"/>
      <c r="K747" s="6"/>
    </row>
    <row r="748" spans="2:11" ht="16.5">
      <c r="B748" s="41"/>
      <c r="E748" s="41"/>
      <c r="F748" s="6"/>
      <c r="G748" s="6"/>
      <c r="H748" s="6"/>
      <c r="I748" s="6"/>
      <c r="J748" s="6"/>
      <c r="K748" s="6"/>
    </row>
    <row r="749" spans="2:11" ht="16.5">
      <c r="B749" s="41"/>
      <c r="E749" s="41"/>
      <c r="F749" s="6"/>
      <c r="G749" s="6"/>
      <c r="H749" s="6"/>
      <c r="I749" s="6"/>
      <c r="J749" s="6"/>
      <c r="K749" s="6"/>
    </row>
    <row r="750" spans="2:11" ht="16.5">
      <c r="B750" s="41"/>
      <c r="E750" s="41"/>
      <c r="F750" s="6"/>
      <c r="G750" s="6"/>
      <c r="H750" s="6"/>
      <c r="I750" s="6"/>
      <c r="J750" s="6"/>
      <c r="K750" s="6"/>
    </row>
    <row r="751" spans="2:11" ht="16.5">
      <c r="B751" s="41"/>
      <c r="E751" s="41"/>
      <c r="F751" s="6"/>
      <c r="G751" s="6"/>
      <c r="H751" s="6"/>
      <c r="I751" s="6"/>
      <c r="J751" s="6"/>
      <c r="K751" s="6"/>
    </row>
    <row r="752" spans="2:11" ht="16.5">
      <c r="B752" s="41"/>
      <c r="E752" s="41"/>
      <c r="F752" s="6"/>
      <c r="G752" s="6"/>
      <c r="H752" s="6"/>
      <c r="I752" s="6"/>
      <c r="J752" s="6"/>
      <c r="K752" s="6"/>
    </row>
    <row r="753" spans="2:11" ht="16.5">
      <c r="B753" s="41"/>
      <c r="E753" s="41"/>
      <c r="F753" s="6"/>
      <c r="G753" s="6"/>
      <c r="H753" s="6"/>
      <c r="I753" s="6"/>
      <c r="J753" s="6"/>
      <c r="K753" s="6"/>
    </row>
    <row r="754" spans="2:11" ht="16.5">
      <c r="B754" s="41"/>
      <c r="E754" s="41"/>
      <c r="F754" s="6"/>
      <c r="G754" s="6"/>
      <c r="H754" s="6"/>
      <c r="I754" s="6"/>
      <c r="J754" s="6"/>
      <c r="K754" s="6"/>
    </row>
    <row r="755" spans="2:11" ht="16.5">
      <c r="B755" s="41"/>
      <c r="E755" s="41"/>
      <c r="F755" s="6"/>
      <c r="G755" s="6"/>
      <c r="H755" s="6"/>
      <c r="I755" s="6"/>
      <c r="J755" s="6"/>
      <c r="K755" s="6"/>
    </row>
    <row r="756" spans="2:11" ht="16.5">
      <c r="B756" s="41"/>
      <c r="E756" s="41"/>
      <c r="F756" s="6"/>
      <c r="G756" s="6"/>
      <c r="H756" s="6"/>
      <c r="I756" s="6"/>
      <c r="J756" s="6"/>
      <c r="K756" s="6"/>
    </row>
    <row r="757" spans="2:11" ht="16.5">
      <c r="B757" s="41"/>
      <c r="E757" s="41"/>
      <c r="F757" s="6"/>
      <c r="G757" s="6"/>
      <c r="H757" s="6"/>
      <c r="I757" s="6"/>
      <c r="J757" s="6"/>
      <c r="K757" s="6"/>
    </row>
    <row r="758" spans="2:11" ht="16.5">
      <c r="B758" s="41"/>
      <c r="E758" s="41"/>
      <c r="F758" s="6"/>
      <c r="G758" s="6"/>
      <c r="H758" s="6"/>
      <c r="I758" s="6"/>
      <c r="J758" s="6"/>
      <c r="K758" s="6"/>
    </row>
    <row r="759" spans="2:11" ht="16.5">
      <c r="B759" s="41"/>
      <c r="E759" s="41"/>
      <c r="F759" s="6"/>
      <c r="G759" s="6"/>
      <c r="H759" s="6"/>
      <c r="I759" s="6"/>
      <c r="J759" s="6"/>
      <c r="K759" s="6"/>
    </row>
    <row r="760" spans="2:11" ht="16.5">
      <c r="B760" s="41"/>
      <c r="E760" s="41"/>
      <c r="F760" s="6"/>
      <c r="G760" s="6"/>
      <c r="H760" s="6"/>
      <c r="I760" s="6"/>
      <c r="J760" s="6"/>
      <c r="K760" s="6"/>
    </row>
    <row r="761" spans="2:11" ht="16.5">
      <c r="B761" s="41"/>
      <c r="E761" s="41"/>
      <c r="F761" s="6"/>
      <c r="G761" s="6"/>
      <c r="H761" s="6"/>
      <c r="I761" s="6"/>
      <c r="J761" s="6"/>
      <c r="K761" s="6"/>
    </row>
    <row r="762" spans="2:11" ht="16.5">
      <c r="B762" s="41"/>
      <c r="E762" s="41"/>
      <c r="F762" s="6"/>
      <c r="G762" s="6"/>
      <c r="H762" s="6"/>
      <c r="I762" s="6"/>
      <c r="J762" s="6"/>
      <c r="K762" s="6"/>
    </row>
    <row r="763" spans="2:11" ht="16.5">
      <c r="B763" s="41"/>
      <c r="E763" s="41"/>
      <c r="F763" s="6"/>
      <c r="G763" s="6"/>
      <c r="H763" s="6"/>
      <c r="I763" s="6"/>
      <c r="J763" s="6"/>
      <c r="K763" s="6"/>
    </row>
    <row r="764" spans="2:11" ht="16.5">
      <c r="B764" s="41"/>
      <c r="E764" s="41"/>
      <c r="F764" s="6"/>
      <c r="G764" s="6"/>
      <c r="H764" s="6"/>
      <c r="I764" s="6"/>
      <c r="J764" s="6"/>
      <c r="K764" s="6"/>
    </row>
    <row r="765" spans="2:11" ht="16.5">
      <c r="B765" s="41"/>
      <c r="E765" s="41"/>
      <c r="F765" s="6"/>
      <c r="G765" s="6"/>
      <c r="H765" s="6"/>
      <c r="I765" s="6"/>
      <c r="J765" s="6"/>
      <c r="K765" s="6"/>
    </row>
    <row r="766" spans="2:11" ht="16.5">
      <c r="B766" s="41"/>
      <c r="E766" s="41"/>
      <c r="F766" s="6"/>
      <c r="G766" s="6"/>
      <c r="H766" s="6"/>
      <c r="I766" s="6"/>
      <c r="J766" s="6"/>
      <c r="K766" s="6"/>
    </row>
    <row r="767" spans="2:11" ht="16.5">
      <c r="B767" s="41"/>
      <c r="E767" s="41"/>
      <c r="F767" s="6"/>
      <c r="G767" s="6"/>
      <c r="H767" s="6"/>
      <c r="I767" s="6"/>
      <c r="J767" s="6"/>
      <c r="K767" s="6"/>
    </row>
    <row r="768" spans="2:11" ht="16.5">
      <c r="B768" s="41"/>
      <c r="E768" s="41"/>
      <c r="F768" s="6"/>
      <c r="G768" s="6"/>
      <c r="H768" s="6"/>
      <c r="I768" s="6"/>
      <c r="J768" s="6"/>
      <c r="K768" s="6"/>
    </row>
    <row r="769" spans="2:11" ht="16.5">
      <c r="B769" s="41"/>
      <c r="E769" s="41"/>
      <c r="F769" s="6"/>
      <c r="G769" s="6"/>
      <c r="H769" s="6"/>
      <c r="I769" s="6"/>
      <c r="J769" s="6"/>
      <c r="K769" s="6"/>
    </row>
    <row r="770" spans="2:11" ht="16.5">
      <c r="B770" s="41"/>
      <c r="E770" s="41"/>
      <c r="F770" s="6"/>
      <c r="G770" s="6"/>
      <c r="H770" s="6"/>
      <c r="I770" s="6"/>
      <c r="J770" s="6"/>
      <c r="K770" s="6"/>
    </row>
    <row r="771" spans="2:11" ht="16.5">
      <c r="B771" s="41"/>
      <c r="E771" s="41"/>
      <c r="F771" s="6"/>
      <c r="G771" s="6"/>
      <c r="H771" s="6"/>
      <c r="I771" s="6"/>
      <c r="J771" s="6"/>
      <c r="K771" s="6"/>
    </row>
    <row r="772" spans="2:11" ht="16.5">
      <c r="B772" s="41"/>
      <c r="E772" s="41"/>
      <c r="F772" s="6"/>
      <c r="G772" s="6"/>
      <c r="H772" s="6"/>
      <c r="I772" s="6"/>
      <c r="J772" s="6"/>
      <c r="K772" s="6"/>
    </row>
    <row r="773" spans="2:11" ht="16.5">
      <c r="B773" s="41"/>
      <c r="E773" s="41"/>
      <c r="F773" s="6"/>
      <c r="G773" s="6"/>
      <c r="H773" s="6"/>
      <c r="I773" s="6"/>
      <c r="J773" s="6"/>
      <c r="K773" s="6"/>
    </row>
    <row r="774" spans="2:11" ht="16.5">
      <c r="B774" s="41"/>
      <c r="E774" s="41"/>
      <c r="F774" s="6"/>
      <c r="G774" s="6"/>
      <c r="H774" s="6"/>
      <c r="I774" s="6"/>
      <c r="J774" s="6"/>
      <c r="K774" s="6"/>
    </row>
    <row r="775" spans="2:11" ht="16.5">
      <c r="B775" s="41"/>
      <c r="E775" s="41"/>
      <c r="F775" s="6"/>
      <c r="G775" s="6"/>
      <c r="H775" s="6"/>
      <c r="I775" s="6"/>
      <c r="J775" s="6"/>
      <c r="K775" s="6"/>
    </row>
    <row r="776" spans="2:11" ht="16.5">
      <c r="B776" s="41"/>
      <c r="E776" s="41"/>
      <c r="F776" s="6"/>
      <c r="G776" s="6"/>
      <c r="H776" s="6"/>
      <c r="I776" s="6"/>
      <c r="J776" s="6"/>
      <c r="K776" s="6"/>
    </row>
    <row r="777" spans="2:11" ht="16.5">
      <c r="B777" s="41"/>
      <c r="E777" s="41"/>
      <c r="F777" s="6"/>
      <c r="G777" s="6"/>
      <c r="H777" s="6"/>
      <c r="I777" s="6"/>
      <c r="J777" s="6"/>
      <c r="K777" s="6"/>
    </row>
    <row r="778" spans="2:11" ht="16.5">
      <c r="B778" s="41"/>
      <c r="E778" s="41"/>
      <c r="F778" s="6"/>
      <c r="G778" s="6"/>
      <c r="H778" s="6"/>
      <c r="I778" s="6"/>
      <c r="J778" s="6"/>
      <c r="K778" s="6"/>
    </row>
    <row r="779" spans="2:11" ht="16.5">
      <c r="B779" s="41"/>
      <c r="E779" s="41"/>
      <c r="F779" s="6"/>
      <c r="G779" s="6"/>
      <c r="H779" s="6"/>
      <c r="I779" s="6"/>
      <c r="J779" s="6"/>
      <c r="K779" s="6"/>
    </row>
    <row r="780" spans="2:11" ht="16.5">
      <c r="B780" s="41"/>
      <c r="E780" s="41"/>
      <c r="F780" s="6"/>
      <c r="G780" s="6"/>
      <c r="H780" s="6"/>
      <c r="I780" s="6"/>
      <c r="J780" s="6"/>
      <c r="K780" s="6"/>
    </row>
    <row r="781" spans="2:11" ht="16.5">
      <c r="B781" s="41"/>
      <c r="E781" s="41"/>
      <c r="F781" s="6"/>
      <c r="G781" s="6"/>
      <c r="H781" s="6"/>
      <c r="I781" s="6"/>
      <c r="J781" s="6"/>
      <c r="K781" s="6"/>
    </row>
    <row r="782" spans="2:11" ht="16.5">
      <c r="B782" s="41"/>
      <c r="E782" s="41"/>
      <c r="F782" s="6"/>
      <c r="G782" s="6"/>
      <c r="H782" s="6"/>
      <c r="I782" s="6"/>
      <c r="J782" s="6"/>
      <c r="K782" s="6"/>
    </row>
    <row r="783" spans="2:11" ht="16.5">
      <c r="B783" s="41"/>
      <c r="E783" s="41"/>
      <c r="F783" s="6"/>
      <c r="G783" s="6"/>
      <c r="H783" s="6"/>
      <c r="I783" s="6"/>
      <c r="J783" s="6"/>
      <c r="K783" s="6"/>
    </row>
    <row r="784" spans="2:11" ht="16.5">
      <c r="B784" s="41"/>
      <c r="E784" s="41"/>
      <c r="F784" s="6"/>
      <c r="G784" s="6"/>
      <c r="H784" s="6"/>
      <c r="I784" s="6"/>
      <c r="J784" s="6"/>
      <c r="K784" s="6"/>
    </row>
    <row r="785" spans="2:11" ht="16.5">
      <c r="B785" s="41"/>
      <c r="E785" s="41"/>
      <c r="F785" s="6"/>
      <c r="G785" s="6"/>
      <c r="H785" s="6"/>
      <c r="I785" s="6"/>
      <c r="J785" s="6"/>
      <c r="K785" s="6"/>
    </row>
    <row r="786" spans="2:11" ht="16.5">
      <c r="B786" s="41"/>
      <c r="E786" s="41"/>
      <c r="F786" s="6"/>
      <c r="G786" s="6"/>
      <c r="H786" s="6"/>
      <c r="I786" s="6"/>
      <c r="J786" s="6"/>
      <c r="K786" s="6"/>
    </row>
    <row r="787" spans="2:11" ht="16.5">
      <c r="B787" s="41"/>
      <c r="E787" s="41"/>
      <c r="F787" s="6"/>
      <c r="G787" s="6"/>
      <c r="H787" s="6"/>
      <c r="I787" s="6"/>
      <c r="J787" s="6"/>
      <c r="K787" s="6"/>
    </row>
    <row r="788" spans="2:11" ht="16.5">
      <c r="B788" s="41"/>
      <c r="E788" s="41"/>
      <c r="F788" s="6"/>
      <c r="G788" s="6"/>
      <c r="H788" s="6"/>
      <c r="I788" s="6"/>
      <c r="J788" s="6"/>
      <c r="K788" s="6"/>
    </row>
    <row r="789" spans="2:11" ht="16.5">
      <c r="B789" s="41"/>
      <c r="E789" s="41"/>
      <c r="F789" s="6"/>
      <c r="G789" s="6"/>
      <c r="H789" s="6"/>
      <c r="I789" s="6"/>
      <c r="J789" s="6"/>
      <c r="K789" s="6"/>
    </row>
    <row r="790" spans="2:11" ht="16.5">
      <c r="B790" s="41"/>
      <c r="E790" s="41"/>
      <c r="F790" s="6"/>
      <c r="G790" s="6"/>
      <c r="H790" s="6"/>
      <c r="I790" s="6"/>
      <c r="J790" s="6"/>
      <c r="K790" s="6"/>
    </row>
    <row r="791" spans="2:11" ht="16.5">
      <c r="B791" s="41"/>
      <c r="E791" s="41"/>
      <c r="F791" s="6"/>
      <c r="G791" s="6"/>
      <c r="H791" s="6"/>
      <c r="I791" s="6"/>
      <c r="J791" s="6"/>
      <c r="K791" s="6"/>
    </row>
    <row r="792" spans="2:11" ht="16.5">
      <c r="B792" s="41"/>
      <c r="E792" s="41"/>
      <c r="F792" s="6"/>
      <c r="G792" s="6"/>
      <c r="H792" s="6"/>
      <c r="I792" s="6"/>
      <c r="J792" s="6"/>
      <c r="K792" s="6"/>
    </row>
    <row r="793" spans="2:11" ht="16.5">
      <c r="B793" s="41"/>
      <c r="E793" s="41"/>
      <c r="F793" s="6"/>
      <c r="G793" s="6"/>
      <c r="H793" s="6"/>
      <c r="I793" s="6"/>
      <c r="J793" s="6"/>
      <c r="K793" s="6"/>
    </row>
    <row r="794" spans="2:11" ht="16.5">
      <c r="B794" s="41"/>
      <c r="E794" s="41"/>
      <c r="F794" s="6"/>
      <c r="G794" s="6"/>
      <c r="H794" s="6"/>
      <c r="I794" s="6"/>
      <c r="J794" s="6"/>
      <c r="K794" s="6"/>
    </row>
    <row r="795" spans="2:11" ht="16.5">
      <c r="B795" s="41"/>
      <c r="E795" s="41"/>
      <c r="F795" s="6"/>
      <c r="G795" s="6"/>
      <c r="H795" s="6"/>
      <c r="I795" s="6"/>
      <c r="J795" s="6"/>
      <c r="K795" s="6"/>
    </row>
    <row r="796" spans="2:11" ht="16.5">
      <c r="B796" s="41"/>
      <c r="E796" s="41"/>
      <c r="F796" s="6"/>
      <c r="G796" s="6"/>
      <c r="H796" s="6"/>
      <c r="I796" s="6"/>
      <c r="J796" s="6"/>
      <c r="K796" s="6"/>
    </row>
    <row r="797" spans="2:11" ht="16.5">
      <c r="B797" s="41"/>
      <c r="E797" s="41"/>
      <c r="F797" s="6"/>
      <c r="G797" s="6"/>
      <c r="H797" s="6"/>
      <c r="I797" s="6"/>
      <c r="J797" s="6"/>
      <c r="K797" s="6"/>
    </row>
    <row r="798" spans="2:11" ht="16.5">
      <c r="B798" s="41"/>
      <c r="E798" s="41"/>
      <c r="F798" s="6"/>
      <c r="G798" s="6"/>
      <c r="H798" s="6"/>
      <c r="I798" s="6"/>
      <c r="J798" s="6"/>
      <c r="K798" s="6"/>
    </row>
    <row r="799" spans="2:11" ht="16.5">
      <c r="B799" s="41"/>
      <c r="E799" s="41"/>
      <c r="F799" s="6"/>
      <c r="G799" s="6"/>
      <c r="H799" s="6"/>
      <c r="I799" s="6"/>
      <c r="J799" s="6"/>
      <c r="K799" s="6"/>
    </row>
    <row r="800" spans="2:11" ht="16.5">
      <c r="B800" s="41"/>
      <c r="E800" s="41"/>
      <c r="F800" s="6"/>
      <c r="G800" s="6"/>
      <c r="H800" s="6"/>
      <c r="I800" s="6"/>
      <c r="J800" s="6"/>
      <c r="K800" s="6"/>
    </row>
    <row r="801" spans="2:11" ht="16.5">
      <c r="B801" s="41"/>
      <c r="E801" s="41"/>
      <c r="F801" s="6"/>
      <c r="G801" s="6"/>
      <c r="H801" s="6"/>
      <c r="I801" s="6"/>
      <c r="J801" s="6"/>
      <c r="K801" s="6"/>
    </row>
    <row r="802" spans="2:11" ht="16.5">
      <c r="B802" s="41"/>
      <c r="E802" s="41"/>
      <c r="F802" s="6"/>
      <c r="G802" s="6"/>
      <c r="H802" s="6"/>
      <c r="I802" s="6"/>
      <c r="J802" s="6"/>
      <c r="K802" s="6"/>
    </row>
    <row r="803" spans="2:11" ht="16.5">
      <c r="B803" s="41"/>
      <c r="E803" s="41"/>
      <c r="F803" s="6"/>
      <c r="G803" s="6"/>
      <c r="H803" s="6"/>
      <c r="I803" s="6"/>
      <c r="J803" s="6"/>
      <c r="K803" s="6"/>
    </row>
    <row r="804" spans="2:11" ht="16.5">
      <c r="B804" s="41"/>
      <c r="E804" s="41"/>
      <c r="F804" s="6"/>
      <c r="G804" s="6"/>
      <c r="H804" s="6"/>
      <c r="I804" s="6"/>
      <c r="J804" s="6"/>
      <c r="K804" s="6"/>
    </row>
    <row r="805" spans="2:11" ht="16.5">
      <c r="B805" s="41"/>
      <c r="E805" s="41"/>
      <c r="F805" s="6"/>
      <c r="G805" s="6"/>
      <c r="H805" s="6"/>
      <c r="I805" s="6"/>
      <c r="J805" s="6"/>
      <c r="K805" s="6"/>
    </row>
    <row r="806" spans="2:11" ht="16.5">
      <c r="B806" s="41"/>
      <c r="E806" s="41"/>
      <c r="F806" s="6"/>
      <c r="G806" s="6"/>
      <c r="H806" s="6"/>
      <c r="I806" s="6"/>
      <c r="J806" s="6"/>
      <c r="K806" s="6"/>
    </row>
    <row r="807" spans="2:11" ht="16.5">
      <c r="B807" s="41"/>
      <c r="E807" s="41"/>
      <c r="F807" s="6"/>
      <c r="G807" s="6"/>
      <c r="H807" s="6"/>
      <c r="I807" s="6"/>
      <c r="J807" s="6"/>
      <c r="K807" s="6"/>
    </row>
    <row r="808" spans="2:11" ht="16.5">
      <c r="B808" s="41"/>
      <c r="E808" s="41"/>
      <c r="F808" s="6"/>
      <c r="G808" s="6"/>
      <c r="H808" s="6"/>
      <c r="I808" s="6"/>
      <c r="J808" s="6"/>
      <c r="K808" s="6"/>
    </row>
    <row r="809" spans="2:11" ht="16.5">
      <c r="B809" s="41"/>
      <c r="E809" s="41"/>
      <c r="F809" s="6"/>
      <c r="G809" s="6"/>
      <c r="H809" s="6"/>
      <c r="I809" s="6"/>
      <c r="J809" s="6"/>
      <c r="K809" s="6"/>
    </row>
    <row r="810" spans="2:11" ht="16.5">
      <c r="B810" s="41"/>
      <c r="E810" s="41"/>
      <c r="F810" s="6"/>
      <c r="G810" s="6"/>
      <c r="H810" s="6"/>
      <c r="I810" s="6"/>
      <c r="J810" s="6"/>
      <c r="K810" s="6"/>
    </row>
    <row r="811" spans="2:11" ht="16.5">
      <c r="B811" s="41"/>
      <c r="E811" s="41"/>
      <c r="F811" s="6"/>
      <c r="G811" s="6"/>
      <c r="H811" s="6"/>
      <c r="I811" s="6"/>
      <c r="J811" s="6"/>
      <c r="K811" s="6"/>
    </row>
    <row r="812" spans="2:11" ht="16.5">
      <c r="B812" s="41"/>
      <c r="E812" s="41"/>
      <c r="F812" s="6"/>
      <c r="G812" s="6"/>
      <c r="H812" s="6"/>
      <c r="I812" s="6"/>
      <c r="J812" s="6"/>
      <c r="K812" s="6"/>
    </row>
    <row r="813" spans="2:11" ht="16.5">
      <c r="B813" s="41"/>
      <c r="E813" s="41"/>
      <c r="F813" s="6"/>
      <c r="G813" s="6"/>
      <c r="H813" s="6"/>
      <c r="I813" s="6"/>
      <c r="J813" s="6"/>
      <c r="K813" s="6"/>
    </row>
    <row r="814" spans="2:11" ht="16.5">
      <c r="B814" s="41"/>
      <c r="E814" s="41"/>
      <c r="F814" s="6"/>
      <c r="G814" s="6"/>
      <c r="H814" s="6"/>
      <c r="I814" s="6"/>
      <c r="J814" s="6"/>
      <c r="K814" s="6"/>
    </row>
    <row r="815" spans="2:11" ht="16.5">
      <c r="B815" s="41"/>
      <c r="E815" s="41"/>
      <c r="F815" s="6"/>
      <c r="G815" s="6"/>
      <c r="H815" s="6"/>
      <c r="I815" s="6"/>
      <c r="J815" s="6"/>
      <c r="K815" s="6"/>
    </row>
    <row r="816" spans="2:11" ht="16.5">
      <c r="B816" s="41"/>
      <c r="E816" s="41"/>
      <c r="F816" s="6"/>
      <c r="G816" s="6"/>
      <c r="H816" s="6"/>
      <c r="I816" s="6"/>
      <c r="J816" s="6"/>
      <c r="K816" s="6"/>
    </row>
    <row r="817" spans="2:11" ht="16.5">
      <c r="B817" s="41"/>
      <c r="E817" s="41"/>
      <c r="F817" s="6"/>
      <c r="G817" s="6"/>
      <c r="H817" s="6"/>
      <c r="I817" s="6"/>
      <c r="J817" s="6"/>
      <c r="K817" s="6"/>
    </row>
    <row r="818" spans="2:11" ht="16.5">
      <c r="B818" s="41"/>
      <c r="E818" s="41"/>
      <c r="F818" s="6"/>
      <c r="G818" s="6"/>
      <c r="H818" s="6"/>
      <c r="I818" s="6"/>
      <c r="J818" s="6"/>
      <c r="K818" s="6"/>
    </row>
    <row r="819" spans="2:11" ht="16.5">
      <c r="B819" s="41"/>
      <c r="E819" s="41"/>
      <c r="F819" s="6"/>
      <c r="G819" s="6"/>
      <c r="H819" s="6"/>
      <c r="I819" s="6"/>
      <c r="J819" s="6"/>
      <c r="K819" s="6"/>
    </row>
    <row r="820" spans="2:11" ht="16.5">
      <c r="B820" s="41"/>
      <c r="E820" s="41"/>
      <c r="F820" s="6"/>
      <c r="G820" s="6"/>
      <c r="H820" s="6"/>
      <c r="I820" s="6"/>
      <c r="J820" s="6"/>
      <c r="K820" s="6"/>
    </row>
    <row r="821" spans="2:11" ht="16.5">
      <c r="B821" s="41"/>
      <c r="E821" s="41"/>
      <c r="F821" s="6"/>
      <c r="G821" s="6"/>
      <c r="H821" s="6"/>
      <c r="I821" s="6"/>
      <c r="J821" s="6"/>
      <c r="K821" s="6"/>
    </row>
    <row r="822" spans="2:11" ht="16.5">
      <c r="B822" s="41"/>
      <c r="E822" s="41"/>
      <c r="F822" s="6"/>
      <c r="G822" s="6"/>
      <c r="H822" s="6"/>
      <c r="I822" s="6"/>
      <c r="J822" s="6"/>
      <c r="K822" s="6"/>
    </row>
    <row r="823" spans="2:11" ht="16.5">
      <c r="B823" s="41"/>
      <c r="E823" s="41"/>
      <c r="F823" s="6"/>
      <c r="G823" s="6"/>
      <c r="H823" s="6"/>
      <c r="I823" s="6"/>
      <c r="J823" s="6"/>
      <c r="K823" s="6"/>
    </row>
    <row r="824" spans="2:11" ht="16.5">
      <c r="B824" s="41"/>
      <c r="E824" s="41"/>
      <c r="F824" s="6"/>
      <c r="G824" s="6"/>
      <c r="H824" s="6"/>
      <c r="I824" s="6"/>
      <c r="J824" s="6"/>
      <c r="K824" s="6"/>
    </row>
    <row r="825" spans="2:11" ht="16.5">
      <c r="B825" s="41"/>
      <c r="E825" s="41"/>
      <c r="F825" s="6"/>
      <c r="G825" s="6"/>
      <c r="H825" s="6"/>
      <c r="I825" s="6"/>
      <c r="J825" s="6"/>
      <c r="K825" s="6"/>
    </row>
    <row r="826" spans="2:11" ht="16.5">
      <c r="B826" s="41"/>
      <c r="E826" s="41"/>
      <c r="F826" s="6"/>
      <c r="G826" s="6"/>
      <c r="H826" s="6"/>
      <c r="I826" s="6"/>
      <c r="J826" s="6"/>
      <c r="K826" s="6"/>
    </row>
    <row r="827" spans="2:11" ht="16.5">
      <c r="B827" s="41"/>
      <c r="E827" s="41"/>
      <c r="F827" s="6"/>
      <c r="G827" s="6"/>
      <c r="H827" s="6"/>
      <c r="I827" s="6"/>
      <c r="J827" s="6"/>
      <c r="K827" s="6"/>
    </row>
    <row r="828" spans="2:11" ht="16.5">
      <c r="B828" s="41"/>
      <c r="E828" s="41"/>
      <c r="F828" s="6"/>
      <c r="G828" s="6"/>
      <c r="H828" s="6"/>
      <c r="I828" s="6"/>
      <c r="J828" s="6"/>
      <c r="K828" s="6"/>
    </row>
    <row r="829" spans="2:11" ht="16.5">
      <c r="B829" s="41"/>
      <c r="E829" s="41"/>
      <c r="F829" s="6"/>
      <c r="G829" s="6"/>
      <c r="H829" s="6"/>
      <c r="I829" s="6"/>
      <c r="J829" s="6"/>
      <c r="K829" s="6"/>
    </row>
    <row r="830" spans="2:11" ht="16.5">
      <c r="B830" s="41"/>
      <c r="E830" s="41"/>
      <c r="F830" s="6"/>
      <c r="G830" s="6"/>
      <c r="H830" s="6"/>
      <c r="I830" s="6"/>
      <c r="J830" s="6"/>
      <c r="K830" s="6"/>
    </row>
    <row r="831" spans="2:11" ht="16.5">
      <c r="B831" s="41"/>
      <c r="E831" s="41"/>
      <c r="F831" s="6"/>
      <c r="G831" s="6"/>
      <c r="H831" s="6"/>
      <c r="I831" s="6"/>
      <c r="J831" s="6"/>
      <c r="K831" s="6"/>
    </row>
    <row r="832" spans="2:11" ht="16.5">
      <c r="B832" s="41"/>
      <c r="E832" s="41"/>
      <c r="F832" s="6"/>
      <c r="G832" s="6"/>
      <c r="H832" s="6"/>
      <c r="I832" s="6"/>
      <c r="J832" s="6"/>
      <c r="K832" s="6"/>
    </row>
    <row r="833" spans="2:11" ht="16.5">
      <c r="B833" s="41"/>
      <c r="E833" s="41"/>
      <c r="F833" s="6"/>
      <c r="G833" s="6"/>
      <c r="H833" s="6"/>
      <c r="I833" s="6"/>
      <c r="J833" s="6"/>
      <c r="K833" s="6"/>
    </row>
    <row r="834" spans="2:11" ht="16.5">
      <c r="B834" s="41"/>
      <c r="E834" s="41"/>
      <c r="F834" s="6"/>
      <c r="G834" s="6"/>
      <c r="H834" s="6"/>
      <c r="I834" s="6"/>
      <c r="J834" s="6"/>
      <c r="K834" s="6"/>
    </row>
    <row r="835" spans="2:11" ht="16.5">
      <c r="B835" s="41"/>
      <c r="E835" s="41"/>
      <c r="F835" s="6"/>
      <c r="G835" s="6"/>
      <c r="H835" s="6"/>
      <c r="I835" s="6"/>
      <c r="J835" s="6"/>
      <c r="K835" s="6"/>
    </row>
    <row r="836" spans="2:11" ht="16.5">
      <c r="B836" s="41"/>
      <c r="E836" s="41"/>
      <c r="F836" s="6"/>
      <c r="G836" s="6"/>
      <c r="H836" s="6"/>
      <c r="I836" s="6"/>
      <c r="J836" s="6"/>
      <c r="K836" s="6"/>
    </row>
    <row r="837" spans="2:11" ht="16.5">
      <c r="B837" s="41"/>
      <c r="E837" s="41"/>
      <c r="F837" s="6"/>
      <c r="G837" s="6"/>
      <c r="H837" s="6"/>
      <c r="I837" s="6"/>
      <c r="J837" s="6"/>
      <c r="K837" s="6"/>
    </row>
    <row r="838" spans="2:11" ht="16.5">
      <c r="B838" s="41"/>
      <c r="E838" s="41"/>
      <c r="F838" s="6"/>
      <c r="G838" s="6"/>
      <c r="H838" s="6"/>
      <c r="I838" s="6"/>
      <c r="J838" s="6"/>
      <c r="K838" s="6"/>
    </row>
    <row r="839" spans="2:11" ht="16.5">
      <c r="B839" s="41"/>
      <c r="E839" s="41"/>
      <c r="F839" s="6"/>
      <c r="G839" s="6"/>
      <c r="H839" s="6"/>
      <c r="I839" s="6"/>
      <c r="J839" s="6"/>
      <c r="K839" s="6"/>
    </row>
    <row r="840" spans="2:11" ht="16.5">
      <c r="B840" s="41"/>
      <c r="E840" s="41"/>
      <c r="F840" s="6"/>
      <c r="G840" s="6"/>
      <c r="H840" s="6"/>
      <c r="I840" s="6"/>
      <c r="J840" s="6"/>
      <c r="K840" s="6"/>
    </row>
    <row r="841" spans="2:11" ht="16.5">
      <c r="B841" s="41"/>
      <c r="E841" s="41"/>
      <c r="F841" s="6"/>
      <c r="G841" s="6"/>
      <c r="H841" s="6"/>
      <c r="I841" s="6"/>
      <c r="J841" s="6"/>
      <c r="K841" s="6"/>
    </row>
    <row r="842" spans="2:11" ht="16.5">
      <c r="B842" s="41"/>
      <c r="E842" s="41"/>
      <c r="F842" s="6"/>
      <c r="G842" s="6"/>
      <c r="H842" s="6"/>
      <c r="I842" s="6"/>
      <c r="J842" s="6"/>
      <c r="K842" s="6"/>
    </row>
    <row r="843" spans="2:11" ht="16.5">
      <c r="B843" s="41"/>
      <c r="E843" s="41"/>
      <c r="F843" s="6"/>
      <c r="G843" s="6"/>
      <c r="H843" s="6"/>
      <c r="I843" s="6"/>
      <c r="J843" s="6"/>
      <c r="K843" s="6"/>
    </row>
    <row r="844" spans="2:11" ht="16.5">
      <c r="B844" s="41"/>
      <c r="E844" s="41"/>
      <c r="F844" s="6"/>
      <c r="G844" s="6"/>
      <c r="H844" s="6"/>
      <c r="I844" s="6"/>
      <c r="J844" s="6"/>
      <c r="K844" s="6"/>
    </row>
    <row r="845" spans="2:11" ht="16.5">
      <c r="B845" s="41"/>
      <c r="E845" s="41"/>
      <c r="F845" s="6"/>
      <c r="G845" s="6"/>
      <c r="H845" s="6"/>
      <c r="I845" s="6"/>
      <c r="J845" s="6"/>
      <c r="K845" s="6"/>
    </row>
    <row r="846" spans="2:11" ht="16.5">
      <c r="B846" s="41"/>
      <c r="E846" s="41"/>
      <c r="F846" s="6"/>
      <c r="G846" s="6"/>
      <c r="H846" s="6"/>
      <c r="I846" s="6"/>
      <c r="J846" s="6"/>
      <c r="K846" s="6"/>
    </row>
    <row r="847" spans="2:11" ht="16.5">
      <c r="B847" s="41"/>
      <c r="E847" s="41"/>
      <c r="F847" s="6"/>
      <c r="G847" s="6"/>
      <c r="H847" s="6"/>
      <c r="I847" s="6"/>
      <c r="J847" s="6"/>
      <c r="K847" s="6"/>
    </row>
    <row r="848" spans="2:11" ht="16.5">
      <c r="B848" s="41"/>
      <c r="E848" s="41"/>
      <c r="F848" s="6"/>
      <c r="G848" s="6"/>
      <c r="H848" s="6"/>
      <c r="I848" s="6"/>
      <c r="J848" s="6"/>
      <c r="K848" s="6"/>
    </row>
    <row r="849" spans="2:11" ht="16.5">
      <c r="B849" s="41"/>
      <c r="E849" s="41"/>
      <c r="F849" s="6"/>
      <c r="G849" s="6"/>
      <c r="H849" s="6"/>
      <c r="I849" s="6"/>
      <c r="J849" s="6"/>
      <c r="K849" s="6"/>
    </row>
    <row r="850" spans="2:11" ht="16.5">
      <c r="B850" s="41"/>
      <c r="E850" s="41"/>
      <c r="F850" s="6"/>
      <c r="G850" s="6"/>
      <c r="H850" s="6"/>
      <c r="I850" s="6"/>
      <c r="J850" s="6"/>
      <c r="K850" s="6"/>
    </row>
    <row r="851" spans="2:11" ht="16.5">
      <c r="B851" s="41"/>
      <c r="E851" s="41"/>
      <c r="F851" s="6"/>
      <c r="G851" s="6"/>
      <c r="H851" s="6"/>
      <c r="I851" s="6"/>
      <c r="J851" s="6"/>
      <c r="K851" s="6"/>
    </row>
    <row r="852" spans="2:11" ht="16.5">
      <c r="B852" s="41"/>
      <c r="E852" s="41"/>
      <c r="F852" s="6"/>
      <c r="G852" s="6"/>
      <c r="H852" s="6"/>
      <c r="I852" s="6"/>
      <c r="J852" s="6"/>
      <c r="K852" s="6"/>
    </row>
    <row r="853" spans="2:11" ht="16.5">
      <c r="B853" s="41"/>
      <c r="E853" s="41"/>
      <c r="F853" s="6"/>
      <c r="G853" s="6"/>
      <c r="H853" s="6"/>
      <c r="I853" s="6"/>
      <c r="J853" s="6"/>
      <c r="K853" s="6"/>
    </row>
    <row r="854" spans="2:11" ht="16.5">
      <c r="B854" s="41"/>
      <c r="E854" s="41"/>
      <c r="F854" s="6"/>
      <c r="G854" s="6"/>
      <c r="H854" s="6"/>
      <c r="I854" s="6"/>
      <c r="J854" s="6"/>
      <c r="K854" s="6"/>
    </row>
    <row r="855" spans="2:11" ht="16.5">
      <c r="B855" s="41"/>
      <c r="E855" s="41"/>
      <c r="F855" s="6"/>
      <c r="G855" s="6"/>
      <c r="H855" s="6"/>
      <c r="I855" s="6"/>
      <c r="J855" s="6"/>
      <c r="K855" s="6"/>
    </row>
    <row r="856" spans="2:11" ht="16.5">
      <c r="B856" s="41"/>
      <c r="E856" s="41"/>
      <c r="F856" s="6"/>
      <c r="G856" s="6"/>
      <c r="H856" s="6"/>
      <c r="I856" s="6"/>
      <c r="J856" s="6"/>
      <c r="K856" s="6"/>
    </row>
    <row r="857" spans="2:11" ht="16.5">
      <c r="B857" s="41"/>
      <c r="E857" s="41"/>
      <c r="F857" s="6"/>
      <c r="G857" s="6"/>
      <c r="H857" s="6"/>
      <c r="I857" s="6"/>
      <c r="J857" s="6"/>
      <c r="K857" s="6"/>
    </row>
    <row r="858" spans="2:11" ht="16.5">
      <c r="B858" s="41"/>
      <c r="E858" s="41"/>
      <c r="F858" s="6"/>
      <c r="G858" s="6"/>
      <c r="H858" s="6"/>
      <c r="I858" s="6"/>
      <c r="J858" s="6"/>
      <c r="K858" s="6"/>
    </row>
    <row r="859" spans="2:11" ht="16.5">
      <c r="B859" s="41"/>
      <c r="E859" s="41"/>
      <c r="F859" s="6"/>
      <c r="G859" s="6"/>
      <c r="H859" s="6"/>
      <c r="I859" s="6"/>
      <c r="J859" s="6"/>
      <c r="K859" s="6"/>
    </row>
    <row r="860" spans="2:11" ht="16.5">
      <c r="B860" s="41"/>
      <c r="E860" s="41"/>
      <c r="F860" s="6"/>
      <c r="G860" s="6"/>
      <c r="H860" s="6"/>
      <c r="I860" s="6"/>
      <c r="J860" s="6"/>
      <c r="K860" s="6"/>
    </row>
    <row r="861" spans="2:11" ht="16.5">
      <c r="B861" s="41"/>
      <c r="E861" s="41"/>
      <c r="F861" s="6"/>
      <c r="G861" s="6"/>
      <c r="H861" s="6"/>
      <c r="I861" s="6"/>
      <c r="J861" s="6"/>
      <c r="K861" s="6"/>
    </row>
    <row r="862" spans="2:11" ht="16.5">
      <c r="B862" s="41"/>
      <c r="E862" s="41"/>
      <c r="F862" s="6"/>
      <c r="G862" s="6"/>
      <c r="H862" s="6"/>
      <c r="I862" s="6"/>
      <c r="J862" s="6"/>
      <c r="K862" s="6"/>
    </row>
    <row r="863" spans="2:11" ht="16.5">
      <c r="B863" s="41"/>
      <c r="E863" s="41"/>
      <c r="F863" s="6"/>
      <c r="G863" s="6"/>
      <c r="H863" s="6"/>
      <c r="I863" s="6"/>
      <c r="J863" s="6"/>
      <c r="K863" s="6"/>
    </row>
    <row r="864" spans="2:11" ht="16.5">
      <c r="B864" s="41"/>
      <c r="E864" s="41"/>
      <c r="F864" s="6"/>
      <c r="G864" s="6"/>
      <c r="H864" s="6"/>
      <c r="I864" s="6"/>
      <c r="J864" s="6"/>
      <c r="K864" s="6"/>
    </row>
    <row r="865" spans="2:11" ht="16.5">
      <c r="B865" s="41"/>
      <c r="E865" s="41"/>
      <c r="F865" s="6"/>
      <c r="G865" s="6"/>
      <c r="H865" s="6"/>
      <c r="I865" s="6"/>
      <c r="J865" s="6"/>
      <c r="K865" s="6"/>
    </row>
    <row r="866" spans="2:11" ht="16.5">
      <c r="B866" s="41"/>
      <c r="E866" s="41"/>
      <c r="F866" s="6"/>
      <c r="G866" s="6"/>
      <c r="H866" s="6"/>
      <c r="I866" s="6"/>
      <c r="J866" s="6"/>
      <c r="K866" s="6"/>
    </row>
    <row r="867" spans="2:11" ht="16.5">
      <c r="B867" s="41"/>
      <c r="E867" s="41"/>
      <c r="F867" s="6"/>
      <c r="G867" s="6"/>
      <c r="H867" s="6"/>
      <c r="I867" s="6"/>
      <c r="J867" s="6"/>
      <c r="K867" s="6"/>
    </row>
    <row r="868" spans="2:11" ht="16.5">
      <c r="B868" s="41"/>
      <c r="E868" s="41"/>
      <c r="F868" s="6"/>
      <c r="G868" s="6"/>
      <c r="H868" s="6"/>
      <c r="I868" s="6"/>
      <c r="J868" s="6"/>
      <c r="K868" s="6"/>
    </row>
    <row r="869" spans="2:11" ht="16.5">
      <c r="B869" s="41"/>
      <c r="E869" s="41"/>
      <c r="F869" s="6"/>
      <c r="G869" s="6"/>
      <c r="H869" s="6"/>
      <c r="I869" s="6"/>
      <c r="J869" s="6"/>
      <c r="K869" s="6"/>
    </row>
    <row r="870" spans="2:11" ht="16.5">
      <c r="B870" s="41"/>
      <c r="E870" s="41"/>
      <c r="F870" s="6"/>
      <c r="G870" s="6"/>
      <c r="H870" s="6"/>
      <c r="I870" s="6"/>
      <c r="J870" s="6"/>
      <c r="K870" s="6"/>
    </row>
    <row r="871" spans="2:11" ht="16.5">
      <c r="B871" s="41"/>
      <c r="E871" s="41"/>
      <c r="F871" s="6"/>
      <c r="G871" s="6"/>
      <c r="H871" s="6"/>
      <c r="I871" s="6"/>
      <c r="J871" s="6"/>
      <c r="K871" s="6"/>
    </row>
    <row r="872" spans="2:11" ht="16.5">
      <c r="B872" s="41"/>
      <c r="E872" s="41"/>
      <c r="F872" s="6"/>
      <c r="G872" s="6"/>
      <c r="H872" s="6"/>
      <c r="I872" s="6"/>
      <c r="J872" s="6"/>
      <c r="K872" s="6"/>
    </row>
    <row r="873" spans="2:11" ht="16.5">
      <c r="B873" s="41"/>
      <c r="E873" s="41"/>
      <c r="F873" s="6"/>
      <c r="G873" s="6"/>
      <c r="H873" s="6"/>
      <c r="I873" s="6"/>
      <c r="J873" s="6"/>
      <c r="K873" s="6"/>
    </row>
    <row r="874" spans="2:11" ht="16.5">
      <c r="B874" s="41"/>
      <c r="E874" s="41"/>
      <c r="F874" s="6"/>
      <c r="G874" s="6"/>
      <c r="H874" s="6"/>
      <c r="I874" s="6"/>
      <c r="J874" s="6"/>
      <c r="K874" s="6"/>
    </row>
    <row r="875" spans="2:11" ht="16.5">
      <c r="B875" s="41"/>
      <c r="E875" s="41"/>
      <c r="F875" s="6"/>
      <c r="G875" s="6"/>
      <c r="H875" s="6"/>
      <c r="I875" s="6"/>
      <c r="J875" s="6"/>
      <c r="K875" s="6"/>
    </row>
    <row r="876" spans="2:11" ht="16.5">
      <c r="B876" s="41"/>
      <c r="E876" s="41"/>
      <c r="F876" s="6"/>
      <c r="G876" s="6"/>
      <c r="H876" s="6"/>
      <c r="I876" s="6"/>
      <c r="J876" s="6"/>
      <c r="K876" s="6"/>
    </row>
    <row r="877" spans="2:11" ht="16.5">
      <c r="B877" s="41"/>
      <c r="E877" s="41"/>
      <c r="F877" s="6"/>
      <c r="G877" s="6"/>
      <c r="H877" s="6"/>
      <c r="I877" s="6"/>
      <c r="J877" s="6"/>
      <c r="K877" s="6"/>
    </row>
    <row r="878" spans="2:11" ht="16.5">
      <c r="B878" s="41"/>
      <c r="E878" s="41"/>
      <c r="F878" s="6"/>
      <c r="G878" s="6"/>
      <c r="H878" s="6"/>
      <c r="I878" s="6"/>
      <c r="J878" s="6"/>
      <c r="K878" s="6"/>
    </row>
    <row r="879" spans="2:11" ht="16.5">
      <c r="B879" s="41"/>
      <c r="E879" s="41"/>
      <c r="F879" s="6"/>
      <c r="G879" s="6"/>
      <c r="H879" s="6"/>
      <c r="I879" s="6"/>
      <c r="J879" s="6"/>
      <c r="K879" s="6"/>
    </row>
    <row r="880" spans="2:11" ht="16.5">
      <c r="B880" s="41"/>
      <c r="E880" s="41"/>
      <c r="F880" s="6"/>
      <c r="G880" s="6"/>
      <c r="H880" s="6"/>
      <c r="I880" s="6"/>
      <c r="J880" s="6"/>
      <c r="K880" s="6"/>
    </row>
    <row r="881" spans="2:11" ht="16.5">
      <c r="B881" s="41"/>
      <c r="E881" s="41"/>
      <c r="F881" s="6"/>
      <c r="G881" s="6"/>
      <c r="H881" s="6"/>
      <c r="I881" s="6"/>
      <c r="J881" s="6"/>
      <c r="K881" s="6"/>
    </row>
    <row r="882" spans="2:11" ht="16.5">
      <c r="B882" s="41"/>
      <c r="E882" s="41"/>
      <c r="F882" s="6"/>
      <c r="G882" s="6"/>
      <c r="H882" s="6"/>
      <c r="I882" s="6"/>
      <c r="J882" s="6"/>
      <c r="K882" s="6"/>
    </row>
    <row r="883" spans="2:11" ht="16.5">
      <c r="B883" s="41"/>
      <c r="E883" s="41"/>
      <c r="F883" s="6"/>
      <c r="G883" s="6"/>
      <c r="H883" s="6"/>
      <c r="I883" s="6"/>
      <c r="J883" s="6"/>
      <c r="K883" s="6"/>
    </row>
    <row r="884" spans="2:11" ht="16.5">
      <c r="B884" s="41"/>
      <c r="E884" s="41"/>
      <c r="F884" s="6"/>
      <c r="G884" s="6"/>
      <c r="H884" s="6"/>
      <c r="I884" s="6"/>
      <c r="J884" s="6"/>
      <c r="K884" s="6"/>
    </row>
    <row r="885" spans="2:11" ht="16.5">
      <c r="B885" s="41"/>
      <c r="E885" s="41"/>
      <c r="F885" s="6"/>
      <c r="G885" s="6"/>
      <c r="H885" s="6"/>
      <c r="I885" s="6"/>
      <c r="J885" s="6"/>
      <c r="K885" s="6"/>
    </row>
    <row r="886" spans="2:11" ht="16.5">
      <c r="B886" s="41"/>
      <c r="E886" s="41"/>
      <c r="F886" s="6"/>
      <c r="G886" s="6"/>
      <c r="H886" s="6"/>
      <c r="I886" s="6"/>
      <c r="J886" s="6"/>
      <c r="K886" s="6"/>
    </row>
    <row r="887" spans="2:11" ht="16.5">
      <c r="B887" s="41"/>
      <c r="E887" s="41"/>
      <c r="F887" s="6"/>
      <c r="G887" s="6"/>
      <c r="H887" s="6"/>
      <c r="I887" s="6"/>
      <c r="J887" s="6"/>
      <c r="K887" s="6"/>
    </row>
    <row r="888" spans="2:11" ht="16.5">
      <c r="B888" s="41"/>
      <c r="E888" s="41"/>
      <c r="F888" s="6"/>
      <c r="G888" s="6"/>
      <c r="H888" s="6"/>
      <c r="I888" s="6"/>
      <c r="J888" s="6"/>
      <c r="K888" s="6"/>
    </row>
    <row r="889" spans="2:11" ht="16.5">
      <c r="B889" s="41"/>
      <c r="E889" s="41"/>
      <c r="F889" s="6"/>
      <c r="G889" s="6"/>
      <c r="H889" s="6"/>
      <c r="I889" s="6"/>
      <c r="J889" s="6"/>
      <c r="K889" s="6"/>
    </row>
    <row r="890" spans="2:11" ht="16.5">
      <c r="B890" s="41"/>
      <c r="E890" s="41"/>
      <c r="F890" s="6"/>
      <c r="G890" s="6"/>
      <c r="H890" s="6"/>
      <c r="I890" s="6"/>
      <c r="J890" s="6"/>
      <c r="K890" s="6"/>
    </row>
    <row r="891" spans="2:11" ht="16.5">
      <c r="B891" s="41"/>
      <c r="E891" s="41"/>
      <c r="F891" s="6"/>
      <c r="G891" s="6"/>
      <c r="H891" s="6"/>
      <c r="I891" s="6"/>
      <c r="J891" s="6"/>
      <c r="K891" s="6"/>
    </row>
    <row r="892" spans="2:11" ht="16.5">
      <c r="B892" s="41"/>
      <c r="E892" s="41"/>
      <c r="F892" s="6"/>
      <c r="G892" s="6"/>
      <c r="H892" s="6"/>
      <c r="I892" s="6"/>
      <c r="J892" s="6"/>
      <c r="K892" s="6"/>
    </row>
    <row r="893" spans="2:11" ht="16.5">
      <c r="B893" s="41"/>
      <c r="E893" s="41"/>
      <c r="F893" s="6"/>
      <c r="G893" s="6"/>
      <c r="H893" s="6"/>
      <c r="I893" s="6"/>
      <c r="J893" s="6"/>
      <c r="K893" s="6"/>
    </row>
    <row r="894" spans="2:11" ht="16.5">
      <c r="B894" s="41"/>
      <c r="E894" s="41"/>
      <c r="F894" s="6"/>
      <c r="G894" s="6"/>
      <c r="H894" s="6"/>
      <c r="I894" s="6"/>
      <c r="J894" s="6"/>
      <c r="K894" s="6"/>
    </row>
    <row r="895" spans="2:11" ht="16.5">
      <c r="B895" s="41"/>
      <c r="E895" s="41"/>
      <c r="F895" s="6"/>
      <c r="G895" s="6"/>
      <c r="H895" s="6"/>
      <c r="I895" s="6"/>
      <c r="J895" s="6"/>
      <c r="K895" s="6"/>
    </row>
    <row r="896" spans="2:11" ht="16.5">
      <c r="B896" s="41"/>
      <c r="E896" s="41"/>
      <c r="F896" s="6"/>
      <c r="G896" s="6"/>
      <c r="H896" s="6"/>
      <c r="I896" s="6"/>
      <c r="J896" s="6"/>
      <c r="K896" s="6"/>
    </row>
    <row r="897" spans="2:11" ht="16.5">
      <c r="B897" s="41"/>
      <c r="E897" s="41"/>
      <c r="F897" s="6"/>
      <c r="G897" s="6"/>
      <c r="H897" s="6"/>
      <c r="I897" s="6"/>
      <c r="J897" s="6"/>
      <c r="K897" s="6"/>
    </row>
    <row r="898" spans="2:11" ht="16.5">
      <c r="B898" s="41"/>
      <c r="E898" s="41"/>
      <c r="F898" s="6"/>
      <c r="G898" s="6"/>
      <c r="H898" s="6"/>
      <c r="I898" s="6"/>
      <c r="J898" s="6"/>
      <c r="K898" s="6"/>
    </row>
    <row r="899" spans="2:11" ht="16.5">
      <c r="B899" s="41"/>
      <c r="E899" s="41"/>
      <c r="F899" s="6"/>
      <c r="G899" s="6"/>
      <c r="H899" s="6"/>
      <c r="I899" s="6"/>
      <c r="J899" s="6"/>
      <c r="K899" s="6"/>
    </row>
    <row r="900" spans="2:11" ht="16.5">
      <c r="B900" s="41"/>
      <c r="E900" s="41"/>
      <c r="F900" s="6"/>
      <c r="G900" s="6"/>
      <c r="H900" s="6"/>
      <c r="I900" s="6"/>
      <c r="J900" s="6"/>
      <c r="K900" s="6"/>
    </row>
    <row r="901" spans="2:11" ht="16.5">
      <c r="B901" s="41"/>
      <c r="E901" s="41"/>
      <c r="F901" s="6"/>
      <c r="G901" s="6"/>
      <c r="H901" s="6"/>
      <c r="I901" s="6"/>
      <c r="J901" s="6"/>
      <c r="K901" s="6"/>
    </row>
    <row r="902" spans="2:11" ht="16.5">
      <c r="B902" s="41"/>
      <c r="E902" s="41"/>
      <c r="F902" s="6"/>
      <c r="G902" s="6"/>
      <c r="H902" s="6"/>
      <c r="I902" s="6"/>
      <c r="J902" s="6"/>
      <c r="K902" s="6"/>
    </row>
    <row r="903" spans="2:11" ht="16.5">
      <c r="B903" s="41"/>
      <c r="E903" s="41"/>
      <c r="F903" s="6"/>
      <c r="G903" s="6"/>
      <c r="H903" s="6"/>
      <c r="I903" s="6"/>
      <c r="J903" s="6"/>
      <c r="K903" s="6"/>
    </row>
    <row r="904" spans="2:11" ht="16.5">
      <c r="B904" s="41"/>
      <c r="E904" s="41"/>
      <c r="F904" s="6"/>
      <c r="G904" s="6"/>
      <c r="H904" s="6"/>
      <c r="I904" s="6"/>
      <c r="J904" s="6"/>
      <c r="K904" s="6"/>
    </row>
    <row r="905" spans="2:11" ht="16.5">
      <c r="B905" s="41"/>
      <c r="E905" s="41"/>
      <c r="F905" s="6"/>
      <c r="G905" s="6"/>
      <c r="H905" s="6"/>
      <c r="I905" s="6"/>
      <c r="J905" s="6"/>
      <c r="K905" s="6"/>
    </row>
    <row r="906" spans="2:11" ht="16.5">
      <c r="B906" s="41"/>
      <c r="E906" s="41"/>
      <c r="F906" s="6"/>
      <c r="G906" s="6"/>
      <c r="H906" s="6"/>
      <c r="I906" s="6"/>
      <c r="J906" s="6"/>
      <c r="K906" s="6"/>
    </row>
    <row r="907" spans="2:11" ht="16.5">
      <c r="B907" s="41"/>
      <c r="E907" s="41"/>
      <c r="F907" s="6"/>
      <c r="G907" s="6"/>
      <c r="H907" s="6"/>
      <c r="I907" s="6"/>
      <c r="J907" s="6"/>
      <c r="K907" s="6"/>
    </row>
    <row r="908" spans="2:11" ht="16.5">
      <c r="B908" s="41"/>
      <c r="E908" s="41"/>
      <c r="F908" s="6"/>
      <c r="G908" s="6"/>
      <c r="H908" s="6"/>
      <c r="I908" s="6"/>
      <c r="J908" s="6"/>
      <c r="K908" s="6"/>
    </row>
    <row r="909" spans="2:11" ht="16.5">
      <c r="B909" s="41"/>
      <c r="E909" s="41"/>
      <c r="F909" s="6"/>
      <c r="G909" s="6"/>
      <c r="H909" s="6"/>
      <c r="I909" s="6"/>
      <c r="J909" s="6"/>
      <c r="K909" s="6"/>
    </row>
    <row r="910" spans="2:11" ht="16.5">
      <c r="B910" s="41"/>
      <c r="E910" s="41"/>
      <c r="F910" s="6"/>
      <c r="G910" s="6"/>
      <c r="H910" s="6"/>
      <c r="I910" s="6"/>
      <c r="J910" s="6"/>
      <c r="K910" s="6"/>
    </row>
    <row r="911" spans="2:11" ht="16.5">
      <c r="B911" s="41"/>
      <c r="E911" s="41"/>
      <c r="F911" s="6"/>
      <c r="G911" s="6"/>
      <c r="H911" s="6"/>
      <c r="I911" s="6"/>
      <c r="J911" s="6"/>
      <c r="K911" s="6"/>
    </row>
    <row r="912" spans="2:11" ht="16.5">
      <c r="B912" s="41"/>
      <c r="E912" s="41"/>
      <c r="F912" s="6"/>
      <c r="G912" s="6"/>
      <c r="H912" s="6"/>
      <c r="I912" s="6"/>
      <c r="J912" s="6"/>
      <c r="K912" s="6"/>
    </row>
    <row r="913" spans="2:11" ht="16.5">
      <c r="B913" s="41"/>
      <c r="E913" s="41"/>
      <c r="F913" s="6"/>
      <c r="G913" s="6"/>
      <c r="H913" s="6"/>
      <c r="I913" s="6"/>
      <c r="J913" s="6"/>
      <c r="K913" s="6"/>
    </row>
    <row r="914" spans="2:11" ht="16.5">
      <c r="B914" s="41"/>
      <c r="E914" s="41"/>
      <c r="F914" s="6"/>
      <c r="G914" s="6"/>
      <c r="H914" s="6"/>
      <c r="I914" s="6"/>
      <c r="J914" s="6"/>
      <c r="K914" s="6"/>
    </row>
    <row r="915" spans="2:11" ht="16.5">
      <c r="B915" s="41"/>
      <c r="E915" s="41"/>
      <c r="F915" s="6"/>
      <c r="G915" s="6"/>
      <c r="H915" s="6"/>
      <c r="I915" s="6"/>
      <c r="J915" s="6"/>
      <c r="K915" s="6"/>
    </row>
    <row r="916" spans="2:11" ht="16.5">
      <c r="B916" s="41"/>
      <c r="E916" s="41"/>
      <c r="F916" s="6"/>
      <c r="G916" s="6"/>
      <c r="H916" s="6"/>
      <c r="I916" s="6"/>
      <c r="J916" s="6"/>
      <c r="K916" s="6"/>
    </row>
    <row r="917" spans="2:11" ht="16.5">
      <c r="B917" s="41"/>
      <c r="E917" s="41"/>
      <c r="F917" s="6"/>
      <c r="G917" s="6"/>
      <c r="H917" s="6"/>
      <c r="I917" s="6"/>
      <c r="J917" s="6"/>
      <c r="K917" s="6"/>
    </row>
    <row r="918" spans="2:11" ht="16.5">
      <c r="B918" s="41"/>
      <c r="E918" s="41"/>
      <c r="F918" s="6"/>
      <c r="G918" s="6"/>
      <c r="H918" s="6"/>
      <c r="I918" s="6"/>
      <c r="J918" s="6"/>
      <c r="K918" s="6"/>
    </row>
    <row r="919" spans="2:11" ht="16.5">
      <c r="B919" s="41"/>
      <c r="E919" s="41"/>
      <c r="F919" s="6"/>
      <c r="G919" s="6"/>
      <c r="H919" s="6"/>
      <c r="I919" s="6"/>
      <c r="J919" s="6"/>
      <c r="K919" s="6"/>
    </row>
    <row r="920" spans="2:11" ht="16.5">
      <c r="B920" s="41"/>
      <c r="E920" s="41"/>
      <c r="F920" s="6"/>
      <c r="G920" s="6"/>
      <c r="H920" s="6"/>
      <c r="I920" s="6"/>
      <c r="J920" s="6"/>
      <c r="K920" s="6"/>
    </row>
    <row r="921" spans="2:11" ht="16.5">
      <c r="B921" s="41"/>
      <c r="E921" s="41"/>
      <c r="F921" s="6"/>
      <c r="G921" s="6"/>
      <c r="H921" s="6"/>
      <c r="I921" s="6"/>
      <c r="J921" s="6"/>
      <c r="K921" s="6"/>
    </row>
    <row r="922" spans="2:11" ht="16.5">
      <c r="B922" s="41"/>
      <c r="E922" s="41"/>
      <c r="F922" s="6"/>
      <c r="G922" s="6"/>
      <c r="H922" s="6"/>
      <c r="I922" s="6"/>
      <c r="J922" s="6"/>
      <c r="K922" s="6"/>
    </row>
    <row r="923" spans="2:11" ht="16.5">
      <c r="B923" s="41"/>
      <c r="E923" s="41"/>
      <c r="F923" s="6"/>
      <c r="G923" s="6"/>
      <c r="H923" s="6"/>
      <c r="I923" s="6"/>
      <c r="J923" s="6"/>
      <c r="K923" s="6"/>
    </row>
    <row r="924" spans="2:11" ht="16.5">
      <c r="B924" s="41"/>
      <c r="E924" s="41"/>
      <c r="F924" s="6"/>
      <c r="G924" s="6"/>
      <c r="H924" s="6"/>
      <c r="I924" s="6"/>
      <c r="J924" s="6"/>
      <c r="K924" s="6"/>
    </row>
    <row r="925" spans="2:11" ht="16.5">
      <c r="B925" s="41"/>
      <c r="E925" s="41"/>
      <c r="F925" s="6"/>
      <c r="G925" s="6"/>
      <c r="H925" s="6"/>
      <c r="I925" s="6"/>
      <c r="J925" s="6"/>
      <c r="K925" s="6"/>
    </row>
    <row r="926" spans="2:11" ht="16.5">
      <c r="B926" s="41"/>
      <c r="E926" s="41"/>
      <c r="F926" s="6"/>
      <c r="G926" s="6"/>
      <c r="H926" s="6"/>
      <c r="I926" s="6"/>
      <c r="J926" s="6"/>
      <c r="K926" s="6"/>
    </row>
    <row r="927" spans="2:11" ht="16.5">
      <c r="B927" s="41"/>
      <c r="E927" s="41"/>
      <c r="F927" s="6"/>
      <c r="G927" s="6"/>
      <c r="H927" s="6"/>
      <c r="I927" s="6"/>
      <c r="J927" s="6"/>
      <c r="K927" s="6"/>
    </row>
    <row r="928" spans="2:11" ht="16.5">
      <c r="B928" s="41"/>
      <c r="E928" s="41"/>
      <c r="F928" s="6"/>
      <c r="G928" s="6"/>
      <c r="H928" s="6"/>
      <c r="I928" s="6"/>
      <c r="J928" s="6"/>
      <c r="K928" s="6"/>
    </row>
    <row r="929" spans="2:11" ht="16.5">
      <c r="B929" s="41"/>
      <c r="E929" s="41"/>
      <c r="F929" s="6"/>
      <c r="G929" s="6"/>
      <c r="H929" s="6"/>
      <c r="I929" s="6"/>
      <c r="J929" s="6"/>
      <c r="K929" s="6"/>
    </row>
    <row r="930" spans="2:11" ht="16.5">
      <c r="B930" s="41"/>
      <c r="E930" s="41"/>
      <c r="F930" s="6"/>
      <c r="G930" s="6"/>
      <c r="H930" s="6"/>
      <c r="I930" s="6"/>
      <c r="J930" s="6"/>
      <c r="K930" s="6"/>
    </row>
    <row r="931" spans="2:11" ht="16.5">
      <c r="B931" s="41"/>
      <c r="E931" s="41"/>
      <c r="F931" s="6"/>
      <c r="G931" s="6"/>
      <c r="H931" s="6"/>
      <c r="I931" s="6"/>
      <c r="J931" s="6"/>
      <c r="K931" s="6"/>
    </row>
    <row r="932" spans="2:11" ht="16.5">
      <c r="B932" s="41"/>
      <c r="E932" s="41"/>
      <c r="F932" s="6"/>
      <c r="G932" s="6"/>
      <c r="H932" s="6"/>
      <c r="I932" s="6"/>
      <c r="J932" s="6"/>
      <c r="K932" s="6"/>
    </row>
    <row r="933" spans="2:11" ht="16.5">
      <c r="B933" s="41"/>
      <c r="E933" s="41"/>
      <c r="F933" s="6"/>
      <c r="G933" s="6"/>
      <c r="H933" s="6"/>
      <c r="I933" s="6"/>
      <c r="J933" s="6"/>
      <c r="K933" s="6"/>
    </row>
    <row r="934" spans="2:11" ht="16.5">
      <c r="B934" s="41"/>
      <c r="E934" s="41"/>
      <c r="F934" s="6"/>
      <c r="G934" s="6"/>
      <c r="H934" s="6"/>
      <c r="I934" s="6"/>
      <c r="J934" s="6"/>
      <c r="K934" s="6"/>
    </row>
    <row r="935" spans="2:11" ht="16.5">
      <c r="B935" s="41"/>
      <c r="E935" s="41"/>
      <c r="F935" s="6"/>
      <c r="G935" s="6"/>
      <c r="H935" s="6"/>
      <c r="I935" s="6"/>
      <c r="J935" s="6"/>
      <c r="K935" s="6"/>
    </row>
    <row r="936" spans="2:11" ht="16.5">
      <c r="B936" s="41"/>
      <c r="E936" s="41"/>
      <c r="F936" s="6"/>
      <c r="G936" s="6"/>
      <c r="H936" s="6"/>
      <c r="I936" s="6"/>
      <c r="J936" s="6"/>
      <c r="K936" s="6"/>
    </row>
    <row r="937" spans="2:11" ht="16.5">
      <c r="B937" s="41"/>
      <c r="E937" s="41"/>
      <c r="F937" s="6"/>
      <c r="G937" s="6"/>
      <c r="H937" s="6"/>
      <c r="I937" s="6"/>
      <c r="J937" s="6"/>
      <c r="K937" s="6"/>
    </row>
    <row r="938" spans="2:11" ht="16.5">
      <c r="B938" s="41"/>
      <c r="E938" s="41"/>
      <c r="F938" s="6"/>
      <c r="G938" s="6"/>
      <c r="H938" s="6"/>
      <c r="I938" s="6"/>
      <c r="J938" s="6"/>
      <c r="K938" s="6"/>
    </row>
    <row r="939" spans="2:11" ht="16.5">
      <c r="B939" s="41"/>
      <c r="E939" s="41"/>
      <c r="F939" s="6"/>
      <c r="G939" s="6"/>
      <c r="H939" s="6"/>
      <c r="I939" s="6"/>
      <c r="J939" s="6"/>
      <c r="K939" s="6"/>
    </row>
    <row r="940" spans="2:11" ht="16.5">
      <c r="B940" s="41"/>
      <c r="E940" s="41"/>
      <c r="F940" s="6"/>
      <c r="G940" s="6"/>
      <c r="H940" s="6"/>
      <c r="I940" s="6"/>
      <c r="J940" s="6"/>
      <c r="K940" s="6"/>
    </row>
    <row r="941" spans="2:11" ht="16.5">
      <c r="B941" s="41"/>
      <c r="E941" s="41"/>
      <c r="F941" s="6"/>
      <c r="G941" s="6"/>
      <c r="H941" s="6"/>
      <c r="I941" s="6"/>
      <c r="J941" s="6"/>
      <c r="K941" s="6"/>
    </row>
    <row r="942" spans="2:11" ht="16.5">
      <c r="B942" s="41"/>
      <c r="E942" s="41"/>
      <c r="F942" s="6"/>
      <c r="G942" s="6"/>
      <c r="H942" s="6"/>
      <c r="I942" s="6"/>
      <c r="J942" s="6"/>
      <c r="K942" s="6"/>
    </row>
    <row r="943" spans="2:11" ht="16.5">
      <c r="B943" s="41"/>
      <c r="E943" s="41"/>
      <c r="F943" s="6"/>
      <c r="G943" s="6"/>
      <c r="H943" s="6"/>
      <c r="I943" s="6"/>
      <c r="J943" s="6"/>
      <c r="K943" s="6"/>
    </row>
    <row r="944" spans="2:11" ht="16.5">
      <c r="B944" s="41"/>
      <c r="E944" s="41"/>
      <c r="F944" s="6"/>
      <c r="G944" s="6"/>
      <c r="H944" s="6"/>
      <c r="I944" s="6"/>
      <c r="J944" s="6"/>
      <c r="K944" s="6"/>
    </row>
    <row r="945" spans="2:11" ht="16.5">
      <c r="B945" s="41"/>
      <c r="E945" s="41"/>
      <c r="F945" s="6"/>
      <c r="G945" s="6"/>
      <c r="H945" s="6"/>
      <c r="I945" s="6"/>
      <c r="J945" s="6"/>
      <c r="K945" s="6"/>
    </row>
    <row r="946" spans="2:11" ht="16.5">
      <c r="B946" s="41"/>
      <c r="E946" s="41"/>
      <c r="F946" s="6"/>
      <c r="G946" s="6"/>
      <c r="H946" s="6"/>
      <c r="I946" s="6"/>
      <c r="J946" s="6"/>
      <c r="K946" s="6"/>
    </row>
    <row r="947" spans="2:11" ht="16.5">
      <c r="B947" s="41"/>
      <c r="E947" s="41"/>
      <c r="F947" s="6"/>
      <c r="G947" s="6"/>
      <c r="H947" s="6"/>
      <c r="I947" s="6"/>
      <c r="J947" s="6"/>
      <c r="K947" s="6"/>
    </row>
    <row r="948" spans="2:11" ht="16.5">
      <c r="B948" s="41"/>
      <c r="E948" s="41"/>
      <c r="F948" s="6"/>
      <c r="G948" s="6"/>
      <c r="H948" s="6"/>
      <c r="I948" s="6"/>
      <c r="J948" s="6"/>
      <c r="K948" s="6"/>
    </row>
    <row r="949" spans="2:11" ht="16.5">
      <c r="B949" s="41"/>
      <c r="E949" s="41"/>
      <c r="F949" s="6"/>
      <c r="G949" s="6"/>
      <c r="H949" s="6"/>
      <c r="I949" s="6"/>
      <c r="J949" s="6"/>
      <c r="K949" s="6"/>
    </row>
    <row r="950" spans="2:11" ht="16.5">
      <c r="B950" s="41"/>
      <c r="E950" s="41"/>
      <c r="F950" s="6"/>
      <c r="G950" s="6"/>
      <c r="H950" s="6"/>
      <c r="I950" s="6"/>
      <c r="J950" s="6"/>
      <c r="K950" s="6"/>
    </row>
    <row r="951" spans="2:11" ht="16.5">
      <c r="B951" s="41"/>
      <c r="E951" s="41"/>
      <c r="F951" s="6"/>
      <c r="G951" s="6"/>
      <c r="H951" s="6"/>
      <c r="I951" s="6"/>
      <c r="J951" s="6"/>
      <c r="K951" s="6"/>
    </row>
    <row r="952" spans="2:11" ht="16.5">
      <c r="B952" s="41"/>
      <c r="E952" s="41"/>
      <c r="F952" s="6"/>
    </row>
    <row r="953" spans="2:11" ht="16.5">
      <c r="B953" s="41"/>
      <c r="E953" s="41"/>
      <c r="F953" s="6"/>
    </row>
    <row r="954" spans="2:11" ht="16.5">
      <c r="B954" s="41"/>
      <c r="E954" s="41"/>
      <c r="F954" s="6"/>
    </row>
    <row r="955" spans="2:11" ht="16.5">
      <c r="B955" s="41"/>
      <c r="E955" s="41"/>
      <c r="F955" s="6"/>
    </row>
    <row r="956" spans="2:11" ht="16.5">
      <c r="B956" s="41"/>
      <c r="E956" s="41"/>
      <c r="F956" s="6"/>
    </row>
    <row r="957" spans="2:11" ht="16.5">
      <c r="B957" s="41"/>
      <c r="E957" s="41"/>
      <c r="F957" s="6"/>
    </row>
    <row r="958" spans="2:11" ht="16.5">
      <c r="B958" s="41"/>
      <c r="E958" s="41"/>
      <c r="F958" s="6"/>
    </row>
    <row r="959" spans="2:11" ht="16.5">
      <c r="B959" s="41"/>
      <c r="E959" s="41"/>
      <c r="F959" s="6"/>
    </row>
    <row r="960" spans="2:11" ht="16.5">
      <c r="B960" s="41"/>
      <c r="E960" s="41"/>
      <c r="F960" s="6"/>
    </row>
    <row r="961" spans="2:6" ht="16.5">
      <c r="B961" s="41"/>
      <c r="E961" s="41"/>
      <c r="F961" s="6"/>
    </row>
    <row r="962" spans="2:6" ht="16.5">
      <c r="B962" s="41"/>
      <c r="E962" s="41"/>
      <c r="F962" s="6"/>
    </row>
    <row r="963" spans="2:6" ht="16.5">
      <c r="B963" s="41"/>
      <c r="E963" s="41"/>
      <c r="F963" s="6"/>
    </row>
    <row r="964" spans="2:6" ht="16.5">
      <c r="B964" s="41"/>
      <c r="E964" s="41"/>
      <c r="F964" s="6"/>
    </row>
    <row r="965" spans="2:6" ht="16.5">
      <c r="B965" s="41"/>
      <c r="E965" s="41"/>
      <c r="F965" s="6"/>
    </row>
    <row r="966" spans="2:6" ht="16.5">
      <c r="B966" s="41"/>
      <c r="E966" s="41"/>
      <c r="F966" s="6"/>
    </row>
    <row r="967" spans="2:6" ht="16.5">
      <c r="B967" s="41"/>
      <c r="E967" s="41"/>
      <c r="F967" s="6"/>
    </row>
    <row r="968" spans="2:6" ht="16.5">
      <c r="B968" s="41"/>
      <c r="E968" s="41"/>
      <c r="F968" s="6"/>
    </row>
    <row r="969" spans="2:6" ht="16.5">
      <c r="B969" s="41"/>
      <c r="E969" s="41"/>
      <c r="F969" s="6"/>
    </row>
    <row r="970" spans="2:6" ht="16.5">
      <c r="B970" s="41"/>
      <c r="E970" s="41"/>
      <c r="F970" s="6"/>
    </row>
    <row r="971" spans="2:6" ht="16.5">
      <c r="B971" s="41"/>
      <c r="E971" s="41"/>
      <c r="F971" s="6"/>
    </row>
    <row r="972" spans="2:6" ht="16.5">
      <c r="B972" s="41"/>
      <c r="E972" s="41"/>
      <c r="F972" s="6"/>
    </row>
    <row r="973" spans="2:6" ht="16.5">
      <c r="B973" s="41"/>
      <c r="E973" s="41"/>
      <c r="F973" s="6"/>
    </row>
    <row r="974" spans="2:6" ht="16.5">
      <c r="B974" s="41"/>
      <c r="E974" s="41"/>
      <c r="F974" s="6"/>
    </row>
    <row r="975" spans="2:6" ht="16.5">
      <c r="B975" s="41"/>
      <c r="E975" s="41"/>
      <c r="F975" s="6"/>
    </row>
    <row r="976" spans="2:6" ht="16.5">
      <c r="B976" s="41"/>
      <c r="E976" s="41"/>
      <c r="F976" s="6"/>
    </row>
    <row r="977" spans="2:6" ht="16.5">
      <c r="B977" s="41"/>
      <c r="E977" s="41"/>
      <c r="F977" s="6"/>
    </row>
    <row r="978" spans="2:6" ht="16.5">
      <c r="B978" s="41"/>
      <c r="E978" s="41"/>
      <c r="F978" s="6"/>
    </row>
    <row r="979" spans="2:6" ht="16.5">
      <c r="B979" s="41"/>
      <c r="E979" s="41"/>
      <c r="F979" s="6"/>
    </row>
    <row r="980" spans="2:6" ht="16.5">
      <c r="B980" s="41"/>
      <c r="E980" s="41"/>
      <c r="F980" s="6"/>
    </row>
    <row r="981" spans="2:6" ht="16.5">
      <c r="B981" s="41"/>
      <c r="E981" s="41"/>
      <c r="F981" s="6"/>
    </row>
    <row r="982" spans="2:6" ht="16.5">
      <c r="B982" s="41"/>
      <c r="E982" s="41"/>
      <c r="F982" s="6"/>
    </row>
    <row r="983" spans="2:6" ht="16.5">
      <c r="B983" s="41"/>
      <c r="E983" s="41"/>
      <c r="F983" s="6"/>
    </row>
    <row r="984" spans="2:6" ht="16.5">
      <c r="B984" s="41"/>
      <c r="E984" s="41"/>
      <c r="F984" s="6"/>
    </row>
    <row r="985" spans="2:6" ht="16.5">
      <c r="B985" s="41"/>
      <c r="E985" s="41"/>
      <c r="F985" s="6"/>
    </row>
    <row r="986" spans="2:6" ht="16.5">
      <c r="B986" s="41"/>
      <c r="E986" s="41"/>
      <c r="F986" s="6"/>
    </row>
    <row r="987" spans="2:6" ht="16.5">
      <c r="B987" s="41"/>
      <c r="E987" s="41"/>
      <c r="F987" s="6"/>
    </row>
    <row r="988" spans="2:6" ht="16.5">
      <c r="B988" s="41"/>
      <c r="E988" s="41"/>
      <c r="F988" s="6"/>
    </row>
    <row r="989" spans="2:6" ht="16.5">
      <c r="B989" s="41"/>
      <c r="E989" s="41"/>
      <c r="F989" s="6"/>
    </row>
    <row r="990" spans="2:6" ht="16.5">
      <c r="B990" s="41"/>
      <c r="E990" s="41"/>
      <c r="F990" s="6"/>
    </row>
    <row r="991" spans="2:6" ht="16.5">
      <c r="B991" s="41"/>
      <c r="E991" s="41"/>
      <c r="F991" s="6"/>
    </row>
    <row r="992" spans="2:6" ht="16.5">
      <c r="B992" s="41"/>
      <c r="E992" s="41"/>
      <c r="F992" s="6"/>
    </row>
    <row r="993" spans="2:6" ht="16.5">
      <c r="B993" s="41"/>
      <c r="E993" s="41"/>
      <c r="F993" s="6"/>
    </row>
    <row r="994" spans="2:6" ht="16.5">
      <c r="B994" s="41"/>
      <c r="E994" s="41"/>
      <c r="F994" s="6"/>
    </row>
    <row r="995" spans="2:6" ht="16.5">
      <c r="B995" s="41"/>
      <c r="E995" s="41"/>
      <c r="F995" s="6"/>
    </row>
    <row r="996" spans="2:6" ht="16.5">
      <c r="B996" s="41"/>
      <c r="E996" s="41"/>
      <c r="F996" s="6"/>
    </row>
    <row r="997" spans="2:6" ht="16.5">
      <c r="B997" s="41"/>
      <c r="E997" s="41"/>
      <c r="F997" s="6"/>
    </row>
    <row r="998" spans="2:6" ht="16.5">
      <c r="B998" s="41"/>
      <c r="E998" s="41"/>
      <c r="F998" s="6"/>
    </row>
    <row r="999" spans="2:6" ht="16.5">
      <c r="B999" s="41"/>
      <c r="E999" s="41"/>
      <c r="F999" s="6"/>
    </row>
    <row r="1000" spans="2:6" ht="16.5">
      <c r="B1000" s="41"/>
      <c r="E1000" s="41"/>
      <c r="F1000" s="6"/>
    </row>
  </sheetData>
  <mergeCells count="1">
    <mergeCell ref="G3:I3"/>
  </mergeCells>
  <phoneticPr fontId="3" type="noConversion"/>
  <dataValidations count="1">
    <dataValidation type="list" allowBlank="1" showErrorMessage="1" sqref="G6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28"/>
  <sheetViews>
    <sheetView topLeftCell="C1" workbookViewId="0">
      <selection activeCell="J17" sqref="J17"/>
    </sheetView>
  </sheetViews>
  <sheetFormatPr defaultRowHeight="16.5"/>
  <cols>
    <col min="1" max="1" width="15" customWidth="1"/>
    <col min="2" max="2" width="18.125" customWidth="1"/>
  </cols>
  <sheetData>
    <row r="1" spans="1:22">
      <c r="A1" s="16" t="s">
        <v>36</v>
      </c>
      <c r="B1" s="17" t="s">
        <v>37</v>
      </c>
      <c r="C1" s="49" t="s">
        <v>38</v>
      </c>
      <c r="D1" s="50"/>
      <c r="E1" s="50"/>
      <c r="J1" s="48" t="s">
        <v>39</v>
      </c>
      <c r="K1" s="48"/>
      <c r="L1" s="48"/>
      <c r="M1" s="48"/>
      <c r="Q1" s="51" t="s">
        <v>175</v>
      </c>
      <c r="R1" s="51"/>
      <c r="S1" s="51"/>
      <c r="T1" s="51"/>
      <c r="U1" s="51"/>
      <c r="V1" s="51"/>
    </row>
    <row r="2" spans="1:22" ht="19.5">
      <c r="A2" s="18">
        <v>1</v>
      </c>
      <c r="B2" s="18" t="s">
        <v>43</v>
      </c>
      <c r="C2" s="29">
        <v>0</v>
      </c>
      <c r="D2" s="29">
        <v>0</v>
      </c>
      <c r="E2" s="29">
        <v>300</v>
      </c>
      <c r="J2" s="21" t="s">
        <v>0</v>
      </c>
      <c r="K2" s="21" t="s">
        <v>1</v>
      </c>
      <c r="L2" s="21" t="s">
        <v>2</v>
      </c>
      <c r="M2" s="21" t="s">
        <v>3</v>
      </c>
      <c r="Q2" s="43" t="s">
        <v>1</v>
      </c>
      <c r="R2" s="43" t="s">
        <v>2</v>
      </c>
      <c r="S2" s="43" t="s">
        <v>3</v>
      </c>
      <c r="T2" s="44" t="s">
        <v>176</v>
      </c>
      <c r="U2" s="44" t="s">
        <v>177</v>
      </c>
      <c r="V2" s="44" t="s">
        <v>178</v>
      </c>
    </row>
    <row r="3" spans="1:22" ht="19.5">
      <c r="A3" s="18">
        <v>2</v>
      </c>
      <c r="B3" s="18" t="s">
        <v>44</v>
      </c>
      <c r="C3" s="29">
        <v>0</v>
      </c>
      <c r="D3" s="29">
        <v>0</v>
      </c>
      <c r="E3" s="29">
        <v>200</v>
      </c>
      <c r="J3" s="20">
        <v>0</v>
      </c>
      <c r="K3" s="19">
        <v>4</v>
      </c>
      <c r="L3" s="19">
        <v>4</v>
      </c>
      <c r="M3" s="19">
        <v>4</v>
      </c>
      <c r="N3" t="str">
        <f>VLOOKUP(K3,$A$2:$B$9,2,FALSE)</f>
        <v>獵槍</v>
      </c>
      <c r="O3" t="str">
        <f t="shared" ref="O3:P3" si="0">VLOOKUP(L3,$A$2:$B$9,2,FALSE)</f>
        <v>獵槍</v>
      </c>
      <c r="P3" t="str">
        <f t="shared" si="0"/>
        <v>獵槍</v>
      </c>
      <c r="Q3" s="45">
        <v>0.13</v>
      </c>
      <c r="R3" s="45">
        <v>0.13</v>
      </c>
      <c r="S3" s="45">
        <v>0.13</v>
      </c>
      <c r="T3" s="45">
        <f>SUM(Q$3:Q3)*1000-1</f>
        <v>129</v>
      </c>
      <c r="U3" s="45">
        <f>SUM(R$3:R3)*1000-1</f>
        <v>129</v>
      </c>
      <c r="V3" s="45">
        <f>SUM(S$3:S3)*1000-1</f>
        <v>129</v>
      </c>
    </row>
    <row r="4" spans="1:22" ht="19.5">
      <c r="A4" s="18">
        <v>3</v>
      </c>
      <c r="B4" s="18" t="s">
        <v>45</v>
      </c>
      <c r="C4" s="29">
        <v>0</v>
      </c>
      <c r="D4" s="29">
        <v>0</v>
      </c>
      <c r="E4" s="29">
        <v>100</v>
      </c>
      <c r="J4" s="20">
        <v>1</v>
      </c>
      <c r="K4" s="19">
        <v>4</v>
      </c>
      <c r="L4" s="19">
        <v>4</v>
      </c>
      <c r="M4" s="19">
        <v>4</v>
      </c>
      <c r="N4" t="str">
        <f t="shared" ref="N4:N28" si="1">VLOOKUP(K4,$A$2:$B$9,2,FALSE)</f>
        <v>獵槍</v>
      </c>
      <c r="O4" t="str">
        <f t="shared" ref="O4:O28" si="2">VLOOKUP(L4,$A$2:$B$9,2,FALSE)</f>
        <v>獵槍</v>
      </c>
      <c r="P4" t="str">
        <f t="shared" ref="P4:P28" si="3">VLOOKUP(M4,$A$2:$B$9,2,FALSE)</f>
        <v>獵槍</v>
      </c>
      <c r="Q4" s="45">
        <v>8.9999999999999993E-3</v>
      </c>
      <c r="R4" s="45">
        <v>8.9999999999999993E-3</v>
      </c>
      <c r="S4" s="45">
        <v>8.9999999999999993E-3</v>
      </c>
      <c r="T4" s="45">
        <f>SUM(Q$3:Q4)*1000-1</f>
        <v>138</v>
      </c>
      <c r="U4" s="45">
        <f>SUM(R$3:R4)*1000-1</f>
        <v>138</v>
      </c>
      <c r="V4" s="45">
        <f>SUM(S$3:S4)*1000-1</f>
        <v>138</v>
      </c>
    </row>
    <row r="5" spans="1:22" ht="19.5">
      <c r="A5" s="18">
        <v>4</v>
      </c>
      <c r="B5" s="18" t="s">
        <v>46</v>
      </c>
      <c r="C5" s="29">
        <v>0</v>
      </c>
      <c r="D5" s="29">
        <v>0</v>
      </c>
      <c r="E5" s="29">
        <v>50</v>
      </c>
      <c r="J5" s="20">
        <v>2</v>
      </c>
      <c r="K5" s="19">
        <v>4</v>
      </c>
      <c r="L5" s="19">
        <v>4</v>
      </c>
      <c r="M5" s="19">
        <v>4</v>
      </c>
      <c r="N5" t="str">
        <f t="shared" si="1"/>
        <v>獵槍</v>
      </c>
      <c r="O5" t="str">
        <f t="shared" si="2"/>
        <v>獵槍</v>
      </c>
      <c r="P5" t="str">
        <f t="shared" si="3"/>
        <v>獵槍</v>
      </c>
      <c r="Q5" s="45">
        <v>8.9999999999999993E-3</v>
      </c>
      <c r="R5" s="45">
        <v>8.9999999999999993E-3</v>
      </c>
      <c r="S5" s="45">
        <v>8.9999999999999993E-3</v>
      </c>
      <c r="T5" s="45">
        <f>SUM(Q$3:Q5)*1000-1</f>
        <v>147.00000000000003</v>
      </c>
      <c r="U5" s="45">
        <f>SUM(R$3:R5)*1000-1</f>
        <v>147.00000000000003</v>
      </c>
      <c r="V5" s="45">
        <f>SUM(S$3:S5)*1000-1</f>
        <v>147.00000000000003</v>
      </c>
    </row>
    <row r="6" spans="1:22" ht="19.5">
      <c r="A6" s="18">
        <v>5</v>
      </c>
      <c r="B6" s="18" t="s">
        <v>47</v>
      </c>
      <c r="C6" s="29">
        <v>0</v>
      </c>
      <c r="D6" s="29">
        <v>0</v>
      </c>
      <c r="E6" s="29">
        <v>25</v>
      </c>
      <c r="J6" s="20">
        <v>3</v>
      </c>
      <c r="K6" s="19">
        <v>2</v>
      </c>
      <c r="L6" s="19">
        <v>2</v>
      </c>
      <c r="M6" s="19">
        <v>2</v>
      </c>
      <c r="N6" t="str">
        <f t="shared" si="1"/>
        <v>丹丹</v>
      </c>
      <c r="O6" t="str">
        <f t="shared" si="2"/>
        <v>丹丹</v>
      </c>
      <c r="P6" t="str">
        <f t="shared" si="3"/>
        <v>丹丹</v>
      </c>
      <c r="Q6" s="45">
        <v>7.0000000000000007E-2</v>
      </c>
      <c r="R6" s="45">
        <v>7.0000000000000007E-2</v>
      </c>
      <c r="S6" s="45">
        <v>7.0000000000000007E-2</v>
      </c>
      <c r="T6" s="45">
        <f>SUM(Q$3:Q6)*1000-1</f>
        <v>217.00000000000003</v>
      </c>
      <c r="U6" s="45">
        <f>SUM(R$3:R6)*1000-1</f>
        <v>217.00000000000003</v>
      </c>
      <c r="V6" s="45">
        <f>SUM(S$3:S6)*1000-1</f>
        <v>217.00000000000003</v>
      </c>
    </row>
    <row r="7" spans="1:22" ht="19.5">
      <c r="A7" s="18">
        <v>6</v>
      </c>
      <c r="B7" s="18" t="s">
        <v>81</v>
      </c>
      <c r="C7" s="29">
        <v>0</v>
      </c>
      <c r="D7" s="29">
        <v>0</v>
      </c>
      <c r="E7" s="29">
        <v>15</v>
      </c>
      <c r="J7" s="20">
        <v>4</v>
      </c>
      <c r="K7" s="19">
        <v>2</v>
      </c>
      <c r="L7" s="19">
        <v>2</v>
      </c>
      <c r="M7" s="19">
        <v>2</v>
      </c>
      <c r="N7" t="str">
        <f t="shared" si="1"/>
        <v>丹丹</v>
      </c>
      <c r="O7" t="str">
        <f t="shared" si="2"/>
        <v>丹丹</v>
      </c>
      <c r="P7" t="str">
        <f t="shared" si="3"/>
        <v>丹丹</v>
      </c>
      <c r="Q7" s="45">
        <v>8.9999999999999993E-3</v>
      </c>
      <c r="R7" s="45">
        <v>8.9999999999999993E-3</v>
      </c>
      <c r="S7" s="45">
        <v>8.9999999999999993E-3</v>
      </c>
      <c r="T7" s="45">
        <f>SUM(Q$3:Q7)*1000-1</f>
        <v>226.00000000000003</v>
      </c>
      <c r="U7" s="45">
        <f>SUM(R$3:R7)*1000-1</f>
        <v>226.00000000000003</v>
      </c>
      <c r="V7" s="45">
        <f>SUM(S$3:S7)*1000-1</f>
        <v>226.00000000000003</v>
      </c>
    </row>
    <row r="8" spans="1:22" ht="19.5">
      <c r="A8" s="18">
        <v>7</v>
      </c>
      <c r="B8" s="18" t="s">
        <v>48</v>
      </c>
      <c r="C8" s="29">
        <v>0</v>
      </c>
      <c r="D8" s="29">
        <v>0</v>
      </c>
      <c r="E8" s="29">
        <v>10</v>
      </c>
      <c r="J8" s="20">
        <v>5</v>
      </c>
      <c r="K8" s="19">
        <v>2</v>
      </c>
      <c r="L8" s="19">
        <v>2</v>
      </c>
      <c r="M8" s="19">
        <v>2</v>
      </c>
      <c r="N8" t="str">
        <f t="shared" si="1"/>
        <v>丹丹</v>
      </c>
      <c r="O8" t="str">
        <f t="shared" si="2"/>
        <v>丹丹</v>
      </c>
      <c r="P8" t="str">
        <f t="shared" si="3"/>
        <v>丹丹</v>
      </c>
      <c r="Q8" s="45">
        <v>8.9999999999999993E-3</v>
      </c>
      <c r="R8" s="45">
        <v>8.9999999999999993E-3</v>
      </c>
      <c r="S8" s="45">
        <v>8.9999999999999993E-3</v>
      </c>
      <c r="T8" s="45">
        <f>SUM(Q$3:Q8)*1000-1</f>
        <v>235.00000000000006</v>
      </c>
      <c r="U8" s="45">
        <f>SUM(R$3:R8)*1000-1</f>
        <v>235.00000000000006</v>
      </c>
      <c r="V8" s="45">
        <f>SUM(S$3:S8)*1000-1</f>
        <v>235.00000000000006</v>
      </c>
    </row>
    <row r="9" spans="1:22" ht="19.5">
      <c r="A9" s="18">
        <v>8</v>
      </c>
      <c r="B9" s="18" t="s">
        <v>49</v>
      </c>
      <c r="C9" s="29">
        <v>0</v>
      </c>
      <c r="D9" s="29">
        <v>0</v>
      </c>
      <c r="E9" s="29">
        <v>5</v>
      </c>
      <c r="J9" s="20">
        <v>6</v>
      </c>
      <c r="K9" s="19">
        <v>1</v>
      </c>
      <c r="L9" s="19">
        <v>1</v>
      </c>
      <c r="M9" s="19">
        <v>1</v>
      </c>
      <c r="N9" t="str">
        <f t="shared" si="1"/>
        <v>泰山</v>
      </c>
      <c r="O9" t="str">
        <f t="shared" si="2"/>
        <v>泰山</v>
      </c>
      <c r="P9" t="str">
        <f t="shared" si="3"/>
        <v>泰山</v>
      </c>
      <c r="Q9" s="45">
        <v>0.01</v>
      </c>
      <c r="R9" s="45">
        <v>0.01</v>
      </c>
      <c r="S9" s="45">
        <v>0.01</v>
      </c>
      <c r="T9" s="45">
        <f>SUM(Q$3:Q9)*1000-1</f>
        <v>245.00000000000006</v>
      </c>
      <c r="U9" s="45">
        <f>SUM(R$3:R9)*1000-1</f>
        <v>245.00000000000006</v>
      </c>
      <c r="V9" s="45">
        <f>SUM(S$3:S9)*1000-1</f>
        <v>245.00000000000006</v>
      </c>
    </row>
    <row r="10" spans="1:22" ht="19.5">
      <c r="A10" s="33">
        <v>9</v>
      </c>
      <c r="B10" s="33" t="s">
        <v>57</v>
      </c>
      <c r="C10" s="34">
        <v>0</v>
      </c>
      <c r="D10" s="34">
        <v>0</v>
      </c>
      <c r="E10" s="34">
        <v>0</v>
      </c>
      <c r="J10" s="20">
        <v>7</v>
      </c>
      <c r="K10" s="19">
        <v>1</v>
      </c>
      <c r="L10" s="19">
        <v>1</v>
      </c>
      <c r="M10" s="19">
        <v>1</v>
      </c>
      <c r="N10" t="str">
        <f t="shared" si="1"/>
        <v>泰山</v>
      </c>
      <c r="O10" t="str">
        <f t="shared" si="2"/>
        <v>泰山</v>
      </c>
      <c r="P10" t="str">
        <f t="shared" si="3"/>
        <v>泰山</v>
      </c>
      <c r="Q10" s="45">
        <v>8.9999999999999993E-3</v>
      </c>
      <c r="R10" s="45">
        <v>8.9999999999999993E-3</v>
      </c>
      <c r="S10" s="45">
        <v>8.9999999999999993E-3</v>
      </c>
      <c r="T10" s="45">
        <f>SUM(Q$3:Q10)*1000-1</f>
        <v>254.00000000000006</v>
      </c>
      <c r="U10" s="45">
        <f>SUM(R$3:R10)*1000-1</f>
        <v>254.00000000000006</v>
      </c>
      <c r="V10" s="45">
        <f>SUM(S$3:S10)*1000-1</f>
        <v>254.00000000000006</v>
      </c>
    </row>
    <row r="11" spans="1:22" ht="19.5">
      <c r="A11" s="33">
        <v>10</v>
      </c>
      <c r="B11" s="33" t="s">
        <v>58</v>
      </c>
      <c r="C11" s="34">
        <v>0</v>
      </c>
      <c r="D11" s="34">
        <v>0</v>
      </c>
      <c r="E11" s="34">
        <v>5000</v>
      </c>
      <c r="J11" s="20">
        <v>8</v>
      </c>
      <c r="K11" s="19">
        <v>1</v>
      </c>
      <c r="L11" s="19">
        <v>1</v>
      </c>
      <c r="M11" s="19">
        <v>1</v>
      </c>
      <c r="N11" t="str">
        <f t="shared" si="1"/>
        <v>泰山</v>
      </c>
      <c r="O11" t="str">
        <f t="shared" si="2"/>
        <v>泰山</v>
      </c>
      <c r="P11" t="str">
        <f t="shared" si="3"/>
        <v>泰山</v>
      </c>
      <c r="Q11" s="45">
        <v>8.9999999999999993E-3</v>
      </c>
      <c r="R11" s="45">
        <v>8.9999999999999993E-3</v>
      </c>
      <c r="S11" s="45">
        <v>8.9999999999999993E-3</v>
      </c>
      <c r="T11" s="45">
        <f>SUM(Q$3:Q11)*1000-1</f>
        <v>263.00000000000006</v>
      </c>
      <c r="U11" s="45">
        <f>SUM(R$3:R11)*1000-1</f>
        <v>263.00000000000006</v>
      </c>
      <c r="V11" s="45">
        <f>SUM(S$3:S11)*1000-1</f>
        <v>263.00000000000006</v>
      </c>
    </row>
    <row r="12" spans="1:22">
      <c r="J12" s="20">
        <v>9</v>
      </c>
      <c r="K12" s="19">
        <v>3</v>
      </c>
      <c r="L12" s="19">
        <v>3</v>
      </c>
      <c r="M12" s="19">
        <v>3</v>
      </c>
      <c r="N12" t="str">
        <f t="shared" si="1"/>
        <v>托托</v>
      </c>
      <c r="O12" t="str">
        <f t="shared" si="2"/>
        <v>托托</v>
      </c>
      <c r="P12" t="str">
        <f t="shared" si="3"/>
        <v>托托</v>
      </c>
      <c r="Q12" s="45">
        <v>0.09</v>
      </c>
      <c r="R12" s="45">
        <v>0.09</v>
      </c>
      <c r="S12" s="45">
        <v>0.09</v>
      </c>
      <c r="T12" s="45">
        <f>SUM(Q$3:Q12)*1000-1</f>
        <v>353.00000000000011</v>
      </c>
      <c r="U12" s="45">
        <f>SUM(R$3:R12)*1000-1</f>
        <v>353.00000000000011</v>
      </c>
      <c r="V12" s="45">
        <f>SUM(S$3:S12)*1000-1</f>
        <v>353.00000000000011</v>
      </c>
    </row>
    <row r="13" spans="1:22">
      <c r="J13" s="20">
        <v>10</v>
      </c>
      <c r="K13" s="19">
        <v>3</v>
      </c>
      <c r="L13" s="19">
        <v>3</v>
      </c>
      <c r="M13" s="19">
        <v>3</v>
      </c>
      <c r="N13" t="str">
        <f t="shared" si="1"/>
        <v>托托</v>
      </c>
      <c r="O13" t="str">
        <f t="shared" si="2"/>
        <v>托托</v>
      </c>
      <c r="P13" t="str">
        <f t="shared" si="3"/>
        <v>托托</v>
      </c>
      <c r="Q13" s="45">
        <v>8.9999999999999993E-3</v>
      </c>
      <c r="R13" s="45">
        <v>8.9999999999999993E-3</v>
      </c>
      <c r="S13" s="45">
        <v>8.9999999999999993E-3</v>
      </c>
      <c r="T13" s="45">
        <f>SUM(Q$3:Q13)*1000-1</f>
        <v>362.00000000000011</v>
      </c>
      <c r="U13" s="45">
        <f>SUM(R$3:R13)*1000-1</f>
        <v>362.00000000000011</v>
      </c>
      <c r="V13" s="45">
        <f>SUM(S$3:S13)*1000-1</f>
        <v>362.00000000000011</v>
      </c>
    </row>
    <row r="14" spans="1:22">
      <c r="J14" s="20">
        <v>11</v>
      </c>
      <c r="K14" s="19">
        <v>3</v>
      </c>
      <c r="L14" s="19">
        <v>3</v>
      </c>
      <c r="M14" s="19">
        <v>3</v>
      </c>
      <c r="N14" t="str">
        <f t="shared" si="1"/>
        <v>托托</v>
      </c>
      <c r="O14" t="str">
        <f t="shared" si="2"/>
        <v>托托</v>
      </c>
      <c r="P14" t="str">
        <f t="shared" si="3"/>
        <v>托托</v>
      </c>
      <c r="Q14" s="45">
        <v>8.9999999999999993E-3</v>
      </c>
      <c r="R14" s="45">
        <v>8.9999999999999993E-3</v>
      </c>
      <c r="S14" s="45">
        <v>8.9999999999999993E-3</v>
      </c>
      <c r="T14" s="45">
        <f>SUM(Q$3:Q14)*1000-1</f>
        <v>371.00000000000011</v>
      </c>
      <c r="U14" s="45">
        <f>SUM(R$3:R14)*1000-1</f>
        <v>371.00000000000011</v>
      </c>
      <c r="V14" s="45">
        <f>SUM(S$3:S14)*1000-1</f>
        <v>371.00000000000011</v>
      </c>
    </row>
    <row r="15" spans="1:22">
      <c r="J15" s="20">
        <v>12</v>
      </c>
      <c r="K15" s="19">
        <v>5</v>
      </c>
      <c r="L15" s="19">
        <v>5</v>
      </c>
      <c r="M15" s="19">
        <v>5</v>
      </c>
      <c r="N15" t="str">
        <f t="shared" si="1"/>
        <v>叢林帽</v>
      </c>
      <c r="O15" t="str">
        <f t="shared" si="2"/>
        <v>叢林帽</v>
      </c>
      <c r="P15" t="str">
        <f t="shared" si="3"/>
        <v>叢林帽</v>
      </c>
      <c r="Q15" s="45">
        <v>0.16</v>
      </c>
      <c r="R15" s="45">
        <v>0.16</v>
      </c>
      <c r="S15" s="45">
        <v>0.16</v>
      </c>
      <c r="T15" s="45">
        <f>SUM(Q$3:Q15)*1000-1</f>
        <v>531.00000000000011</v>
      </c>
      <c r="U15" s="45">
        <f>SUM(R$3:R15)*1000-1</f>
        <v>531.00000000000011</v>
      </c>
      <c r="V15" s="45">
        <f>SUM(S$3:S15)*1000-1</f>
        <v>531.00000000000011</v>
      </c>
    </row>
    <row r="16" spans="1:22">
      <c r="J16" s="20">
        <v>13</v>
      </c>
      <c r="K16" s="19">
        <v>5</v>
      </c>
      <c r="L16" s="19">
        <v>5</v>
      </c>
      <c r="M16" s="19">
        <v>5</v>
      </c>
      <c r="N16" t="str">
        <f t="shared" si="1"/>
        <v>叢林帽</v>
      </c>
      <c r="O16" t="str">
        <f t="shared" si="2"/>
        <v>叢林帽</v>
      </c>
      <c r="P16" t="str">
        <f t="shared" si="3"/>
        <v>叢林帽</v>
      </c>
      <c r="Q16" s="45">
        <v>8.9999999999999993E-3</v>
      </c>
      <c r="R16" s="45">
        <v>8.9999999999999993E-3</v>
      </c>
      <c r="S16" s="45">
        <v>8.9999999999999993E-3</v>
      </c>
      <c r="T16" s="45">
        <f>SUM(Q$3:Q16)*1000-1</f>
        <v>540.00000000000011</v>
      </c>
      <c r="U16" s="45">
        <f>SUM(R$3:R16)*1000-1</f>
        <v>540.00000000000011</v>
      </c>
      <c r="V16" s="45">
        <f>SUM(S$3:S16)*1000-1</f>
        <v>540.00000000000011</v>
      </c>
    </row>
    <row r="17" spans="10:22">
      <c r="J17" s="20">
        <v>14</v>
      </c>
      <c r="K17" s="19">
        <v>5</v>
      </c>
      <c r="L17" s="19">
        <v>5</v>
      </c>
      <c r="M17" s="19">
        <v>5</v>
      </c>
      <c r="N17" t="str">
        <f t="shared" si="1"/>
        <v>叢林帽</v>
      </c>
      <c r="O17" t="str">
        <f t="shared" si="2"/>
        <v>叢林帽</v>
      </c>
      <c r="P17" t="str">
        <f t="shared" si="3"/>
        <v>叢林帽</v>
      </c>
      <c r="Q17" s="45">
        <v>8.9999999999999993E-3</v>
      </c>
      <c r="R17" s="45">
        <v>8.9999999999999993E-3</v>
      </c>
      <c r="S17" s="45">
        <v>8.9999999999999993E-3</v>
      </c>
      <c r="T17" s="45">
        <f>SUM(Q$3:Q17)*1000-1</f>
        <v>549.00000000000011</v>
      </c>
      <c r="U17" s="45">
        <f>SUM(R$3:R17)*1000-1</f>
        <v>549.00000000000011</v>
      </c>
      <c r="V17" s="45">
        <f>SUM(S$3:S17)*1000-1</f>
        <v>549.00000000000011</v>
      </c>
    </row>
    <row r="18" spans="10:22">
      <c r="J18" s="20">
        <v>15</v>
      </c>
      <c r="K18" s="19">
        <v>7</v>
      </c>
      <c r="L18" s="19">
        <v>7</v>
      </c>
      <c r="M18" s="19">
        <v>7</v>
      </c>
      <c r="N18" t="str">
        <f t="shared" si="1"/>
        <v>2BAR</v>
      </c>
      <c r="O18" t="str">
        <f t="shared" si="2"/>
        <v>2BAR</v>
      </c>
      <c r="P18" t="str">
        <f t="shared" si="3"/>
        <v>2BAR</v>
      </c>
      <c r="Q18" s="45">
        <v>0.255</v>
      </c>
      <c r="R18" s="45">
        <v>0.255</v>
      </c>
      <c r="S18" s="45">
        <v>0.255</v>
      </c>
      <c r="T18" s="45">
        <f>SUM(Q$3:Q18)*1000-1</f>
        <v>804.00000000000011</v>
      </c>
      <c r="U18" s="45">
        <f>SUM(R$3:R18)*1000-1</f>
        <v>804.00000000000011</v>
      </c>
      <c r="V18" s="45">
        <f>SUM(S$3:S18)*1000-1</f>
        <v>804.00000000000011</v>
      </c>
    </row>
    <row r="19" spans="10:22">
      <c r="J19" s="20">
        <v>16</v>
      </c>
      <c r="K19" s="19">
        <v>7</v>
      </c>
      <c r="L19" s="19">
        <v>7</v>
      </c>
      <c r="M19" s="19">
        <v>7</v>
      </c>
      <c r="N19" t="str">
        <f t="shared" si="1"/>
        <v>2BAR</v>
      </c>
      <c r="O19" t="str">
        <f t="shared" si="2"/>
        <v>2BAR</v>
      </c>
      <c r="P19" t="str">
        <f t="shared" si="3"/>
        <v>2BAR</v>
      </c>
      <c r="Q19" s="45">
        <v>8.9999999999999993E-3</v>
      </c>
      <c r="R19" s="45">
        <v>8.9999999999999993E-3</v>
      </c>
      <c r="S19" s="45">
        <v>8.9999999999999993E-3</v>
      </c>
      <c r="T19" s="45">
        <f>SUM(Q$3:Q19)*1000-1</f>
        <v>813.00000000000011</v>
      </c>
      <c r="U19" s="45">
        <f>SUM(R$3:R19)*1000-1</f>
        <v>813.00000000000011</v>
      </c>
      <c r="V19" s="45">
        <f>SUM(S$3:S19)*1000-1</f>
        <v>813.00000000000011</v>
      </c>
    </row>
    <row r="20" spans="10:22">
      <c r="J20" s="20">
        <v>17</v>
      </c>
      <c r="K20" s="19">
        <v>7</v>
      </c>
      <c r="L20" s="19">
        <v>7</v>
      </c>
      <c r="M20" s="19">
        <v>7</v>
      </c>
      <c r="N20" t="str">
        <f t="shared" si="1"/>
        <v>2BAR</v>
      </c>
      <c r="O20" t="str">
        <f t="shared" si="2"/>
        <v>2BAR</v>
      </c>
      <c r="P20" t="str">
        <f t="shared" si="3"/>
        <v>2BAR</v>
      </c>
      <c r="Q20" s="45">
        <v>8.9999999999999993E-3</v>
      </c>
      <c r="R20" s="45">
        <v>8.9999999999999993E-3</v>
      </c>
      <c r="S20" s="45">
        <v>8.9999999999999993E-3</v>
      </c>
      <c r="T20" s="45">
        <f>SUM(Q$3:Q20)*1000-1</f>
        <v>822.00000000000023</v>
      </c>
      <c r="U20" s="45">
        <f>SUM(R$3:R20)*1000-1</f>
        <v>822.00000000000023</v>
      </c>
      <c r="V20" s="45">
        <f>SUM(S$3:S20)*1000-1</f>
        <v>822.00000000000023</v>
      </c>
    </row>
    <row r="21" spans="10:22">
      <c r="J21" s="20">
        <v>18</v>
      </c>
      <c r="K21" s="19">
        <v>8</v>
      </c>
      <c r="L21" s="19">
        <v>8</v>
      </c>
      <c r="M21" s="19">
        <v>8</v>
      </c>
      <c r="N21" t="str">
        <f t="shared" si="1"/>
        <v>1BAR</v>
      </c>
      <c r="O21" t="str">
        <f t="shared" si="2"/>
        <v>1BAR</v>
      </c>
      <c r="P21" t="str">
        <f t="shared" si="3"/>
        <v>1BAR</v>
      </c>
      <c r="Q21" s="45">
        <v>0.26</v>
      </c>
      <c r="R21" s="45">
        <v>0.26</v>
      </c>
      <c r="S21" s="45">
        <v>0.26</v>
      </c>
      <c r="T21" s="45">
        <f>SUM(Q$3:Q21)*1000-1</f>
        <v>1082.0000000000002</v>
      </c>
      <c r="U21" s="45">
        <f>SUM(R$3:R21)*1000-1</f>
        <v>1082.0000000000002</v>
      </c>
      <c r="V21" s="45">
        <f>SUM(S$3:S21)*1000-1</f>
        <v>1082.0000000000002</v>
      </c>
    </row>
    <row r="22" spans="10:22">
      <c r="J22" s="20">
        <v>19</v>
      </c>
      <c r="K22" s="19">
        <v>8</v>
      </c>
      <c r="L22" s="19">
        <v>8</v>
      </c>
      <c r="M22" s="19">
        <v>8</v>
      </c>
      <c r="N22" t="str">
        <f t="shared" si="1"/>
        <v>1BAR</v>
      </c>
      <c r="O22" t="str">
        <f t="shared" si="2"/>
        <v>1BAR</v>
      </c>
      <c r="P22" t="str">
        <f t="shared" si="3"/>
        <v>1BAR</v>
      </c>
      <c r="Q22" s="45">
        <v>0.01</v>
      </c>
      <c r="R22" s="45">
        <v>0.01</v>
      </c>
      <c r="S22" s="45">
        <v>0.01</v>
      </c>
      <c r="T22" s="45">
        <f>SUM(Q$3:Q22)*1000-1</f>
        <v>1092.0000000000002</v>
      </c>
      <c r="U22" s="45">
        <f>SUM(R$3:R22)*1000-1</f>
        <v>1092.0000000000002</v>
      </c>
      <c r="V22" s="45">
        <f>SUM(S$3:S22)*1000-1</f>
        <v>1092.0000000000002</v>
      </c>
    </row>
    <row r="23" spans="10:22">
      <c r="J23" s="20">
        <v>20</v>
      </c>
      <c r="K23" s="19">
        <v>8</v>
      </c>
      <c r="L23" s="19">
        <v>8</v>
      </c>
      <c r="M23" s="19">
        <v>8</v>
      </c>
      <c r="N23" t="str">
        <f t="shared" si="1"/>
        <v>1BAR</v>
      </c>
      <c r="O23" t="str">
        <f t="shared" si="2"/>
        <v>1BAR</v>
      </c>
      <c r="P23" t="str">
        <f t="shared" si="3"/>
        <v>1BAR</v>
      </c>
      <c r="Q23" s="45">
        <v>0.01</v>
      </c>
      <c r="R23" s="45">
        <v>0.01</v>
      </c>
      <c r="S23" s="45">
        <v>0.01</v>
      </c>
      <c r="T23" s="45">
        <f>SUM(Q$3:Q23)*1000-1</f>
        <v>1102.0000000000002</v>
      </c>
      <c r="U23" s="45">
        <f>SUM(R$3:R23)*1000-1</f>
        <v>1102.0000000000002</v>
      </c>
      <c r="V23" s="45">
        <f>SUM(S$3:S23)*1000-1</f>
        <v>1102.0000000000002</v>
      </c>
    </row>
    <row r="24" spans="10:22">
      <c r="J24" s="20">
        <v>21</v>
      </c>
      <c r="K24" s="19">
        <v>6</v>
      </c>
      <c r="L24" s="19">
        <v>6</v>
      </c>
      <c r="M24" s="19">
        <v>6</v>
      </c>
      <c r="N24" t="str">
        <f t="shared" si="1"/>
        <v>3BAR</v>
      </c>
      <c r="O24" t="str">
        <f t="shared" si="2"/>
        <v>3BAR</v>
      </c>
      <c r="P24" t="str">
        <f t="shared" si="3"/>
        <v>3BAR</v>
      </c>
      <c r="Q24" s="45">
        <v>0.22500000000000001</v>
      </c>
      <c r="R24" s="45">
        <v>0.22500000000000001</v>
      </c>
      <c r="S24" s="45">
        <v>0.22500000000000001</v>
      </c>
      <c r="T24" s="45">
        <f>SUM(Q$3:Q24)*1000-1</f>
        <v>1327.0000000000002</v>
      </c>
      <c r="U24" s="45">
        <f>SUM(R$3:R24)*1000-1</f>
        <v>1327.0000000000002</v>
      </c>
      <c r="V24" s="45">
        <f>SUM(S$3:S24)*1000-1</f>
        <v>1327.0000000000002</v>
      </c>
    </row>
    <row r="25" spans="10:22">
      <c r="J25" s="20">
        <v>22</v>
      </c>
      <c r="K25" s="19">
        <v>6</v>
      </c>
      <c r="L25" s="19">
        <v>6</v>
      </c>
      <c r="M25" s="19">
        <v>6</v>
      </c>
      <c r="N25" t="str">
        <f t="shared" si="1"/>
        <v>3BAR</v>
      </c>
      <c r="O25" t="str">
        <f t="shared" si="2"/>
        <v>3BAR</v>
      </c>
      <c r="P25" t="str">
        <f t="shared" si="3"/>
        <v>3BAR</v>
      </c>
      <c r="Q25" s="45">
        <v>8.9999999999999993E-3</v>
      </c>
      <c r="R25" s="45">
        <v>8.9999999999999993E-3</v>
      </c>
      <c r="S25" s="45">
        <v>8.9999999999999993E-3</v>
      </c>
      <c r="T25" s="45">
        <f>SUM(Q$3:Q25)*1000-1</f>
        <v>1336.0000000000002</v>
      </c>
      <c r="U25" s="45">
        <f>SUM(R$3:R25)*1000-1</f>
        <v>1336.0000000000002</v>
      </c>
      <c r="V25" s="45">
        <f>SUM(S$3:S25)*1000-1</f>
        <v>1336.0000000000002</v>
      </c>
    </row>
    <row r="26" spans="10:22">
      <c r="J26" s="20">
        <v>23</v>
      </c>
      <c r="K26" s="19">
        <v>6</v>
      </c>
      <c r="L26" s="19">
        <v>6</v>
      </c>
      <c r="M26" s="19">
        <v>6</v>
      </c>
      <c r="N26" t="str">
        <f t="shared" si="1"/>
        <v>3BAR</v>
      </c>
      <c r="O26" t="str">
        <f t="shared" si="2"/>
        <v>3BAR</v>
      </c>
      <c r="P26" t="str">
        <f t="shared" si="3"/>
        <v>3BAR</v>
      </c>
      <c r="Q26" s="45">
        <v>8.9999999999999993E-3</v>
      </c>
      <c r="R26" s="45">
        <v>8.9999999999999993E-3</v>
      </c>
      <c r="S26" s="45">
        <v>8.9999999999999993E-3</v>
      </c>
      <c r="T26" s="45">
        <f>SUM(Q$3:Q26)*1000-1</f>
        <v>1345</v>
      </c>
      <c r="U26" s="45">
        <f>SUM(R$3:R26)*1000-1</f>
        <v>1345</v>
      </c>
      <c r="V26" s="45">
        <f>SUM(S$3:S26)*1000-1</f>
        <v>1345</v>
      </c>
    </row>
    <row r="27" spans="10:22">
      <c r="J27" s="26">
        <v>24</v>
      </c>
      <c r="K27" s="27">
        <v>4</v>
      </c>
      <c r="L27" s="27">
        <v>4</v>
      </c>
      <c r="M27" s="27">
        <v>4</v>
      </c>
      <c r="N27" t="str">
        <f t="shared" si="1"/>
        <v>獵槍</v>
      </c>
      <c r="O27" t="str">
        <f t="shared" si="2"/>
        <v>獵槍</v>
      </c>
      <c r="P27" t="str">
        <f t="shared" si="3"/>
        <v>獵槍</v>
      </c>
    </row>
    <row r="28" spans="10:22">
      <c r="J28" s="26">
        <v>25</v>
      </c>
      <c r="K28" s="27">
        <v>4</v>
      </c>
      <c r="L28" s="27">
        <v>4</v>
      </c>
      <c r="M28" s="27">
        <v>4</v>
      </c>
      <c r="N28" t="str">
        <f t="shared" si="1"/>
        <v>獵槍</v>
      </c>
      <c r="O28" t="str">
        <f t="shared" si="2"/>
        <v>獵槍</v>
      </c>
      <c r="P28" t="str">
        <f t="shared" si="3"/>
        <v>獵槍</v>
      </c>
    </row>
  </sheetData>
  <mergeCells count="3">
    <mergeCell ref="J1:M1"/>
    <mergeCell ref="C1:E1"/>
    <mergeCell ref="Q1:V1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34"/>
  <sheetViews>
    <sheetView workbookViewId="0">
      <selection activeCell="B3" sqref="B3:D7"/>
    </sheetView>
  </sheetViews>
  <sheetFormatPr defaultRowHeight="16.5"/>
  <cols>
    <col min="1" max="4" width="10.25" customWidth="1"/>
    <col min="6" max="6" width="9.5" bestFit="1" customWidth="1"/>
  </cols>
  <sheetData>
    <row r="1" spans="1:7">
      <c r="A1" s="1" t="s">
        <v>8</v>
      </c>
      <c r="B1" s="2"/>
      <c r="C1" s="2"/>
      <c r="D1" s="2"/>
    </row>
    <row r="2" spans="1:7">
      <c r="A2" s="1" t="s">
        <v>4</v>
      </c>
      <c r="B2" s="1" t="s">
        <v>5</v>
      </c>
      <c r="C2" s="1" t="s">
        <v>6</v>
      </c>
      <c r="D2" s="1" t="s">
        <v>7</v>
      </c>
    </row>
    <row r="3" spans="1:7">
      <c r="A3" s="29">
        <v>1</v>
      </c>
      <c r="B3" s="29">
        <v>2</v>
      </c>
      <c r="C3" s="29">
        <v>2</v>
      </c>
      <c r="D3" s="29">
        <v>2</v>
      </c>
      <c r="E3" s="3"/>
      <c r="F3" s="3"/>
      <c r="G3" s="3"/>
    </row>
    <row r="4" spans="1:7">
      <c r="A4" s="29">
        <v>2</v>
      </c>
      <c r="B4" s="29">
        <v>1</v>
      </c>
      <c r="C4" s="29">
        <v>1</v>
      </c>
      <c r="D4" s="29">
        <v>1</v>
      </c>
      <c r="E4" s="3"/>
      <c r="F4" s="3"/>
      <c r="G4" s="3"/>
    </row>
    <row r="5" spans="1:7">
      <c r="A5" s="29">
        <v>3</v>
      </c>
      <c r="B5" s="29">
        <v>3</v>
      </c>
      <c r="C5" s="29">
        <v>3</v>
      </c>
      <c r="D5" s="29">
        <v>3</v>
      </c>
      <c r="E5" s="3"/>
      <c r="F5" s="3"/>
      <c r="G5" s="3"/>
    </row>
    <row r="6" spans="1:7">
      <c r="A6" s="29">
        <v>4</v>
      </c>
      <c r="B6" s="29">
        <v>1</v>
      </c>
      <c r="C6" s="29">
        <v>2</v>
      </c>
      <c r="D6" s="29">
        <v>3</v>
      </c>
      <c r="E6" s="3"/>
      <c r="F6" s="3"/>
      <c r="G6" s="3"/>
    </row>
    <row r="7" spans="1:7">
      <c r="A7" s="29">
        <v>5</v>
      </c>
      <c r="B7" s="29">
        <v>3</v>
      </c>
      <c r="C7" s="29">
        <v>2</v>
      </c>
      <c r="D7" s="29">
        <v>1</v>
      </c>
      <c r="E7" s="3"/>
      <c r="F7" s="3"/>
      <c r="G7" s="3"/>
    </row>
    <row r="9" spans="1:7">
      <c r="A9" s="53" t="s">
        <v>51</v>
      </c>
      <c r="B9" s="53"/>
      <c r="C9" s="53"/>
    </row>
    <row r="10" spans="1:7">
      <c r="A10" s="52" t="s">
        <v>50</v>
      </c>
      <c r="B10" s="52"/>
      <c r="C10" s="52"/>
    </row>
    <row r="11" spans="1:7">
      <c r="A11" s="30"/>
      <c r="B11" s="30"/>
      <c r="C11" s="30"/>
    </row>
    <row r="12" spans="1:7">
      <c r="A12" s="31"/>
      <c r="B12" s="31"/>
      <c r="C12" s="31"/>
    </row>
    <row r="13" spans="1:7">
      <c r="A13" s="30"/>
      <c r="B13" s="30"/>
      <c r="C13" s="30"/>
    </row>
    <row r="16" spans="1:7">
      <c r="A16" s="52" t="s">
        <v>52</v>
      </c>
      <c r="B16" s="52"/>
      <c r="C16" s="52"/>
    </row>
    <row r="17" spans="1:3">
      <c r="A17" s="31"/>
      <c r="B17" s="31"/>
      <c r="C17" s="31"/>
    </row>
    <row r="18" spans="1:3">
      <c r="A18" s="30"/>
      <c r="B18" s="30"/>
      <c r="C18" s="30"/>
    </row>
    <row r="19" spans="1:3">
      <c r="A19" s="30"/>
      <c r="B19" s="30"/>
      <c r="C19" s="30"/>
    </row>
    <row r="21" spans="1:3">
      <c r="A21" s="52" t="s">
        <v>53</v>
      </c>
      <c r="B21" s="52"/>
      <c r="C21" s="52"/>
    </row>
    <row r="22" spans="1:3">
      <c r="A22" s="30"/>
      <c r="B22" s="30"/>
      <c r="C22" s="30"/>
    </row>
    <row r="23" spans="1:3">
      <c r="A23" s="30"/>
      <c r="B23" s="30"/>
      <c r="C23" s="30"/>
    </row>
    <row r="24" spans="1:3">
      <c r="A24" s="31"/>
      <c r="B24" s="31"/>
      <c r="C24" s="31"/>
    </row>
    <row r="26" spans="1:3">
      <c r="A26" s="52" t="s">
        <v>54</v>
      </c>
      <c r="B26" s="52"/>
      <c r="C26" s="52"/>
    </row>
    <row r="27" spans="1:3">
      <c r="A27" s="31"/>
      <c r="B27" s="30"/>
      <c r="C27" s="30"/>
    </row>
    <row r="28" spans="1:3">
      <c r="A28" s="30"/>
      <c r="B28" s="31"/>
      <c r="C28" s="30"/>
    </row>
    <row r="29" spans="1:3">
      <c r="A29" s="30"/>
      <c r="B29" s="30"/>
      <c r="C29" s="31"/>
    </row>
    <row r="31" spans="1:3">
      <c r="A31" s="52" t="s">
        <v>55</v>
      </c>
      <c r="B31" s="52"/>
      <c r="C31" s="52"/>
    </row>
    <row r="32" spans="1:3">
      <c r="A32" s="30"/>
      <c r="B32" s="30"/>
      <c r="C32" s="31"/>
    </row>
    <row r="33" spans="1:3">
      <c r="A33" s="30"/>
      <c r="B33" s="31"/>
      <c r="C33" s="30"/>
    </row>
    <row r="34" spans="1:3">
      <c r="A34" s="31"/>
      <c r="B34" s="30"/>
      <c r="C34" s="30"/>
    </row>
  </sheetData>
  <mergeCells count="6">
    <mergeCell ref="A26:C26"/>
    <mergeCell ref="A31:C31"/>
    <mergeCell ref="A9:C9"/>
    <mergeCell ref="A10:C10"/>
    <mergeCell ref="A16:C16"/>
    <mergeCell ref="A21:C21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23"/>
  <sheetViews>
    <sheetView workbookViewId="0">
      <selection activeCell="B24" sqref="B24"/>
    </sheetView>
  </sheetViews>
  <sheetFormatPr defaultRowHeight="16.5"/>
  <cols>
    <col min="1" max="1" width="33.375" customWidth="1"/>
    <col min="2" max="2" width="14.625" customWidth="1"/>
    <col min="4" max="4" width="17" customWidth="1"/>
  </cols>
  <sheetData>
    <row r="1" spans="1:2">
      <c r="A1" s="4" t="s">
        <v>10</v>
      </c>
      <c r="B1" s="4"/>
    </row>
    <row r="2" spans="1:2">
      <c r="A2" s="4" t="s">
        <v>11</v>
      </c>
      <c r="B2" s="4" t="s">
        <v>12</v>
      </c>
    </row>
    <row r="3" spans="1:2">
      <c r="A3" s="5" t="s">
        <v>22</v>
      </c>
      <c r="B3" s="5" t="s">
        <v>42</v>
      </c>
    </row>
    <row r="4" spans="1:2">
      <c r="A4" s="5" t="s">
        <v>20</v>
      </c>
      <c r="B4" s="5" t="s">
        <v>21</v>
      </c>
    </row>
    <row r="5" spans="1:2">
      <c r="A5" s="5" t="s">
        <v>19</v>
      </c>
      <c r="B5" s="5" t="s">
        <v>41</v>
      </c>
    </row>
    <row r="6" spans="1:2">
      <c r="A6" s="5" t="s">
        <v>14</v>
      </c>
      <c r="B6" s="5" t="s">
        <v>56</v>
      </c>
    </row>
    <row r="7" spans="1:2">
      <c r="A7" s="5" t="s">
        <v>26</v>
      </c>
      <c r="B7" s="5">
        <v>24</v>
      </c>
    </row>
    <row r="8" spans="1:2">
      <c r="A8" s="5" t="s">
        <v>27</v>
      </c>
      <c r="B8" s="5">
        <v>24</v>
      </c>
    </row>
    <row r="9" spans="1:2">
      <c r="A9" s="5" t="s">
        <v>31</v>
      </c>
      <c r="B9" s="5">
        <v>24</v>
      </c>
    </row>
    <row r="10" spans="1:2">
      <c r="A10" s="5" t="s">
        <v>13</v>
      </c>
      <c r="B10" s="5" t="s">
        <v>59</v>
      </c>
    </row>
    <row r="11" spans="1:2">
      <c r="A11" s="5" t="s">
        <v>16</v>
      </c>
      <c r="B11" s="5">
        <v>24</v>
      </c>
    </row>
    <row r="12" spans="1:2">
      <c r="A12" s="5" t="s">
        <v>17</v>
      </c>
      <c r="B12" s="5">
        <v>7</v>
      </c>
    </row>
    <row r="13" spans="1:2">
      <c r="A13" s="5" t="s">
        <v>23</v>
      </c>
      <c r="B13" s="5" t="s">
        <v>71</v>
      </c>
    </row>
    <row r="14" spans="1:2">
      <c r="A14" s="5" t="s">
        <v>24</v>
      </c>
      <c r="B14" s="5" t="s">
        <v>72</v>
      </c>
    </row>
    <row r="15" spans="1:2">
      <c r="A15" s="5" t="s">
        <v>25</v>
      </c>
      <c r="B15" s="5" t="s">
        <v>73</v>
      </c>
    </row>
    <row r="16" spans="1:2">
      <c r="A16" s="5" t="s">
        <v>18</v>
      </c>
      <c r="B16" s="5" t="s">
        <v>74</v>
      </c>
    </row>
    <row r="17" spans="1:2">
      <c r="A17" s="5" t="s">
        <v>82</v>
      </c>
      <c r="B17" s="5" t="s">
        <v>75</v>
      </c>
    </row>
    <row r="18" spans="1:2">
      <c r="A18" s="5" t="s">
        <v>77</v>
      </c>
      <c r="B18" s="5" t="s">
        <v>76</v>
      </c>
    </row>
    <row r="19" spans="1:2">
      <c r="A19" s="5" t="s">
        <v>15</v>
      </c>
      <c r="B19" s="5" t="s">
        <v>78</v>
      </c>
    </row>
    <row r="20" spans="1:2">
      <c r="A20" s="5" t="s">
        <v>83</v>
      </c>
      <c r="B20" s="5">
        <v>13</v>
      </c>
    </row>
    <row r="21" spans="1:2">
      <c r="A21" s="5" t="s">
        <v>84</v>
      </c>
      <c r="B21" s="5">
        <v>7</v>
      </c>
    </row>
    <row r="22" spans="1:2">
      <c r="A22" s="5" t="s">
        <v>86</v>
      </c>
      <c r="B22" s="5" t="s">
        <v>85</v>
      </c>
    </row>
    <row r="23" spans="1:2">
      <c r="A23" s="5" t="s">
        <v>174</v>
      </c>
      <c r="B23" s="5" t="s">
        <v>179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ReelTable</vt:lpstr>
      <vt:lpstr>PayLine</vt:lpstr>
      <vt:lpstr>Ref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2019-12-11T02:29:13Z</dcterms:modified>
</cp:coreProperties>
</file>
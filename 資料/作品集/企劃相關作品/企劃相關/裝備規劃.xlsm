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360" yWindow="225" windowWidth="21840" windowHeight="12240"/>
  </bookViews>
  <sheets>
    <sheet name="裝備規劃" sheetId="10" r:id="rId1"/>
    <sheet name="裝備升級花費&amp;機率" sheetId="11" r:id="rId2"/>
    <sheet name="傷害模擬" sheetId="5" r:id="rId3"/>
    <sheet name="裝備附魔" sheetId="12" r:id="rId4"/>
    <sheet name="鑄造" sheetId="13" r:id="rId5"/>
  </sheets>
  <functionGroups builtInGroupCount="17"/>
  <externalReferences>
    <externalReference r:id="rId6"/>
  </externalReferences>
  <definedNames>
    <definedName name="_OPTION_">'[1]#OPTION'!$G$2:$G$31</definedName>
  </definedNames>
  <calcPr calcId="144525"/>
</workbook>
</file>

<file path=xl/calcChain.xml><?xml version="1.0" encoding="utf-8"?>
<calcChain xmlns="http://schemas.openxmlformats.org/spreadsheetml/2006/main">
  <c r="D99" i="10" l="1"/>
  <c r="E99" i="10"/>
  <c r="F99" i="10"/>
  <c r="G99" i="10"/>
  <c r="H99" i="10"/>
  <c r="I99" i="10"/>
  <c r="I98" i="10"/>
  <c r="H98" i="10"/>
  <c r="G98" i="10"/>
  <c r="F98" i="10"/>
  <c r="E98" i="10"/>
  <c r="D98" i="10"/>
  <c r="E17" i="10"/>
  <c r="I97" i="10"/>
  <c r="I17" i="10"/>
  <c r="H17" i="10"/>
  <c r="G17" i="10"/>
  <c r="F17" i="10"/>
  <c r="W91" i="10" s="1"/>
  <c r="D17" i="10"/>
  <c r="W94" i="10" s="1"/>
  <c r="K88" i="10"/>
  <c r="M93" i="10"/>
  <c r="M85" i="10"/>
  <c r="AA93" i="10"/>
  <c r="L93" i="10"/>
  <c r="K93" i="10"/>
  <c r="J93" i="10"/>
  <c r="I93" i="10"/>
  <c r="H93" i="10"/>
  <c r="G93" i="10"/>
  <c r="F93" i="10"/>
  <c r="E93" i="10"/>
  <c r="D93" i="10"/>
  <c r="AA86" i="10"/>
  <c r="M86" i="10"/>
  <c r="L86" i="10"/>
  <c r="K86" i="10"/>
  <c r="J86" i="10"/>
  <c r="I86" i="10"/>
  <c r="H86" i="10"/>
  <c r="G86" i="10"/>
  <c r="F86" i="10"/>
  <c r="E86" i="10"/>
  <c r="D86" i="10"/>
  <c r="D87" i="10"/>
  <c r="E87" i="10"/>
  <c r="F87" i="10"/>
  <c r="G87" i="10"/>
  <c r="H87" i="10"/>
  <c r="I87" i="10"/>
  <c r="J87" i="10"/>
  <c r="K87" i="10"/>
  <c r="L87" i="10"/>
  <c r="M87" i="10"/>
  <c r="AA87" i="10"/>
  <c r="AA89" i="10"/>
  <c r="M89" i="10"/>
  <c r="L89" i="10"/>
  <c r="K89" i="10"/>
  <c r="J89" i="10"/>
  <c r="I89" i="10"/>
  <c r="H89" i="10"/>
  <c r="G89" i="10"/>
  <c r="F89" i="10"/>
  <c r="E89" i="10"/>
  <c r="D89" i="10"/>
  <c r="AA90" i="10"/>
  <c r="M90" i="10"/>
  <c r="L90" i="10"/>
  <c r="K90" i="10"/>
  <c r="J90" i="10"/>
  <c r="I90" i="10"/>
  <c r="H90" i="10"/>
  <c r="G90" i="10"/>
  <c r="F90" i="10"/>
  <c r="E90" i="10"/>
  <c r="D90" i="10"/>
  <c r="AA91" i="10"/>
  <c r="M91" i="10"/>
  <c r="L91" i="10"/>
  <c r="K91" i="10"/>
  <c r="J91" i="10"/>
  <c r="I91" i="10"/>
  <c r="H91" i="10"/>
  <c r="G91" i="10"/>
  <c r="F91" i="10"/>
  <c r="E91" i="10"/>
  <c r="D91" i="10"/>
  <c r="AA92" i="10"/>
  <c r="M92" i="10"/>
  <c r="L92" i="10"/>
  <c r="K92" i="10"/>
  <c r="J92" i="10"/>
  <c r="I92" i="10"/>
  <c r="H92" i="10"/>
  <c r="G92" i="10"/>
  <c r="F92" i="10"/>
  <c r="E92" i="10"/>
  <c r="D92" i="10"/>
  <c r="AA94" i="10"/>
  <c r="M94" i="10"/>
  <c r="L94" i="10"/>
  <c r="K94" i="10"/>
  <c r="J94" i="10"/>
  <c r="I94" i="10"/>
  <c r="H94" i="10"/>
  <c r="G94" i="10"/>
  <c r="F94" i="10"/>
  <c r="E94" i="10"/>
  <c r="D94" i="10"/>
  <c r="AA85" i="10"/>
  <c r="L85" i="10"/>
  <c r="K85" i="10"/>
  <c r="J85" i="10"/>
  <c r="I85" i="10"/>
  <c r="H85" i="10"/>
  <c r="G85" i="10"/>
  <c r="F85" i="10"/>
  <c r="E85" i="10"/>
  <c r="D85" i="10"/>
  <c r="AA84" i="10"/>
  <c r="M84" i="10"/>
  <c r="L84" i="10"/>
  <c r="K84" i="10"/>
  <c r="J84" i="10"/>
  <c r="I84" i="10"/>
  <c r="H84" i="10"/>
  <c r="G84" i="10"/>
  <c r="F84" i="10"/>
  <c r="E84" i="10"/>
  <c r="D84" i="10"/>
  <c r="AA83" i="10"/>
  <c r="M83" i="10"/>
  <c r="L83" i="10"/>
  <c r="K83" i="10"/>
  <c r="J83" i="10"/>
  <c r="I83" i="10"/>
  <c r="H83" i="10"/>
  <c r="G83" i="10"/>
  <c r="F83" i="10"/>
  <c r="E83" i="10"/>
  <c r="D83" i="10"/>
  <c r="AA88" i="10"/>
  <c r="M88" i="10"/>
  <c r="L88" i="10"/>
  <c r="J88" i="10"/>
  <c r="I88" i="10"/>
  <c r="H88" i="10"/>
  <c r="G88" i="10"/>
  <c r="F88" i="10"/>
  <c r="E88" i="10"/>
  <c r="D88" i="10"/>
  <c r="M185" i="10"/>
  <c r="L185" i="10"/>
  <c r="K185" i="10"/>
  <c r="J185" i="10"/>
  <c r="I185" i="10"/>
  <c r="H185" i="10"/>
  <c r="G185" i="10"/>
  <c r="F185" i="10"/>
  <c r="E185" i="10"/>
  <c r="D185" i="10"/>
  <c r="M169" i="10"/>
  <c r="L169" i="10"/>
  <c r="K169" i="10"/>
  <c r="J169" i="10"/>
  <c r="I169" i="10"/>
  <c r="H169" i="10"/>
  <c r="G169" i="10"/>
  <c r="F169" i="10"/>
  <c r="E169" i="10"/>
  <c r="D169" i="10"/>
  <c r="M167" i="10"/>
  <c r="L167" i="10"/>
  <c r="K167" i="10"/>
  <c r="J167" i="10"/>
  <c r="I167" i="10"/>
  <c r="H167" i="10"/>
  <c r="G167" i="10"/>
  <c r="F167" i="10"/>
  <c r="E167" i="10"/>
  <c r="D167" i="10"/>
  <c r="M164" i="10"/>
  <c r="L164" i="10"/>
  <c r="K164" i="10"/>
  <c r="J164" i="10"/>
  <c r="I164" i="10"/>
  <c r="H164" i="10"/>
  <c r="G164" i="10"/>
  <c r="F164" i="10"/>
  <c r="E164" i="10"/>
  <c r="D164" i="10"/>
  <c r="D96" i="10"/>
  <c r="E96" i="10"/>
  <c r="F96" i="10"/>
  <c r="G96" i="10"/>
  <c r="H96" i="10"/>
  <c r="I96" i="10"/>
  <c r="D97" i="10"/>
  <c r="E97" i="10"/>
  <c r="F97" i="10"/>
  <c r="G97" i="10"/>
  <c r="H97" i="10"/>
  <c r="D100" i="10"/>
  <c r="E100" i="10"/>
  <c r="F100" i="10"/>
  <c r="G100" i="10"/>
  <c r="H100" i="10"/>
  <c r="I100" i="10"/>
  <c r="D101" i="10"/>
  <c r="E101" i="10"/>
  <c r="F101" i="10"/>
  <c r="G101" i="10"/>
  <c r="H101" i="10"/>
  <c r="I101" i="10"/>
  <c r="M307" i="10"/>
  <c r="L307" i="10"/>
  <c r="K307" i="10"/>
  <c r="J307" i="10"/>
  <c r="I307" i="10"/>
  <c r="H307" i="10"/>
  <c r="G307" i="10"/>
  <c r="F307" i="10"/>
  <c r="E307" i="10"/>
  <c r="D307" i="10"/>
  <c r="M306" i="10"/>
  <c r="L306" i="10"/>
  <c r="K306" i="10"/>
  <c r="J306" i="10"/>
  <c r="I306" i="10"/>
  <c r="H306" i="10"/>
  <c r="G306" i="10"/>
  <c r="F306" i="10"/>
  <c r="E306" i="10"/>
  <c r="D306" i="10"/>
  <c r="M305" i="10"/>
  <c r="L305" i="10"/>
  <c r="K305" i="10"/>
  <c r="J305" i="10"/>
  <c r="I305" i="10"/>
  <c r="H305" i="10"/>
  <c r="G305" i="10"/>
  <c r="F305" i="10"/>
  <c r="E305" i="10"/>
  <c r="D305" i="10"/>
  <c r="M304" i="10"/>
  <c r="L304" i="10"/>
  <c r="K304" i="10"/>
  <c r="J304" i="10"/>
  <c r="I304" i="10"/>
  <c r="H304" i="10"/>
  <c r="G304" i="10"/>
  <c r="F304" i="10"/>
  <c r="E304" i="10"/>
  <c r="D304" i="10"/>
  <c r="M303" i="10"/>
  <c r="L303" i="10"/>
  <c r="K303" i="10"/>
  <c r="J303" i="10"/>
  <c r="I303" i="10"/>
  <c r="H303" i="10"/>
  <c r="G303" i="10"/>
  <c r="F303" i="10"/>
  <c r="E303" i="10"/>
  <c r="D303" i="10"/>
  <c r="M302" i="10"/>
  <c r="L302" i="10"/>
  <c r="K302" i="10"/>
  <c r="J302" i="10"/>
  <c r="I302" i="10"/>
  <c r="H302" i="10"/>
  <c r="G302" i="10"/>
  <c r="F302" i="10"/>
  <c r="E302" i="10"/>
  <c r="D302" i="10"/>
  <c r="M301" i="10"/>
  <c r="L301" i="10"/>
  <c r="K301" i="10"/>
  <c r="J301" i="10"/>
  <c r="I301" i="10"/>
  <c r="H301" i="10"/>
  <c r="G301" i="10"/>
  <c r="F301" i="10"/>
  <c r="E301" i="10"/>
  <c r="D301" i="10"/>
  <c r="M300" i="10"/>
  <c r="L300" i="10"/>
  <c r="K300" i="10"/>
  <c r="J300" i="10"/>
  <c r="I300" i="10"/>
  <c r="H300" i="10"/>
  <c r="G300" i="10"/>
  <c r="F300" i="10"/>
  <c r="E300" i="10"/>
  <c r="D300" i="10"/>
  <c r="M299" i="10"/>
  <c r="L299" i="10"/>
  <c r="K299" i="10"/>
  <c r="J299" i="10"/>
  <c r="I299" i="10"/>
  <c r="H299" i="10"/>
  <c r="G299" i="10"/>
  <c r="F299" i="10"/>
  <c r="E299" i="10"/>
  <c r="D299" i="10"/>
  <c r="M298" i="10"/>
  <c r="L298" i="10"/>
  <c r="K298" i="10"/>
  <c r="J298" i="10"/>
  <c r="I298" i="10"/>
  <c r="H298" i="10"/>
  <c r="G298" i="10"/>
  <c r="F298" i="10"/>
  <c r="E298" i="10"/>
  <c r="D298" i="10"/>
  <c r="M297" i="10"/>
  <c r="L297" i="10"/>
  <c r="K297" i="10"/>
  <c r="J297" i="10"/>
  <c r="I297" i="10"/>
  <c r="H297" i="10"/>
  <c r="G297" i="10"/>
  <c r="F297" i="10"/>
  <c r="E297" i="10"/>
  <c r="D297" i="10"/>
  <c r="M296" i="10"/>
  <c r="L296" i="10"/>
  <c r="K296" i="10"/>
  <c r="J296" i="10"/>
  <c r="I296" i="10"/>
  <c r="H296" i="10"/>
  <c r="G296" i="10"/>
  <c r="F296" i="10"/>
  <c r="E296" i="10"/>
  <c r="D296" i="10"/>
  <c r="M295" i="10"/>
  <c r="L295" i="10"/>
  <c r="K295" i="10"/>
  <c r="J295" i="10"/>
  <c r="I295" i="10"/>
  <c r="H295" i="10"/>
  <c r="G295" i="10"/>
  <c r="F295" i="10"/>
  <c r="E295" i="10"/>
  <c r="D295" i="10"/>
  <c r="M294" i="10"/>
  <c r="L294" i="10"/>
  <c r="K294" i="10"/>
  <c r="J294" i="10"/>
  <c r="I294" i="10"/>
  <c r="H294" i="10"/>
  <c r="G294" i="10"/>
  <c r="F294" i="10"/>
  <c r="E294" i="10"/>
  <c r="D294" i="10"/>
  <c r="M293" i="10"/>
  <c r="L293" i="10"/>
  <c r="K293" i="10"/>
  <c r="J293" i="10"/>
  <c r="I293" i="10"/>
  <c r="H293" i="10"/>
  <c r="G293" i="10"/>
  <c r="F293" i="10"/>
  <c r="E293" i="10"/>
  <c r="D293" i="10"/>
  <c r="M292" i="10"/>
  <c r="L292" i="10"/>
  <c r="K292" i="10"/>
  <c r="J292" i="10"/>
  <c r="I292" i="10"/>
  <c r="H292" i="10"/>
  <c r="G292" i="10"/>
  <c r="F292" i="10"/>
  <c r="E292" i="10"/>
  <c r="D292" i="10"/>
  <c r="M291" i="10"/>
  <c r="L291" i="10"/>
  <c r="K291" i="10"/>
  <c r="J291" i="10"/>
  <c r="I291" i="10"/>
  <c r="H291" i="10"/>
  <c r="G291" i="10"/>
  <c r="F291" i="10"/>
  <c r="E291" i="10"/>
  <c r="D291" i="10"/>
  <c r="M290" i="10"/>
  <c r="L290" i="10"/>
  <c r="K290" i="10"/>
  <c r="J290" i="10"/>
  <c r="I290" i="10"/>
  <c r="H290" i="10"/>
  <c r="G290" i="10"/>
  <c r="F290" i="10"/>
  <c r="E290" i="10"/>
  <c r="D290" i="10"/>
  <c r="M289" i="10"/>
  <c r="L289" i="10"/>
  <c r="K289" i="10"/>
  <c r="J289" i="10"/>
  <c r="I289" i="10"/>
  <c r="H289" i="10"/>
  <c r="G289" i="10"/>
  <c r="F289" i="10"/>
  <c r="E289" i="10"/>
  <c r="D289" i="10"/>
  <c r="M288" i="10"/>
  <c r="L288" i="10"/>
  <c r="K288" i="10"/>
  <c r="J288" i="10"/>
  <c r="I288" i="10"/>
  <c r="H288" i="10"/>
  <c r="G288" i="10"/>
  <c r="F288" i="10"/>
  <c r="E288" i="10"/>
  <c r="D288" i="10"/>
  <c r="M287" i="10"/>
  <c r="L287" i="10"/>
  <c r="K287" i="10"/>
  <c r="J287" i="10"/>
  <c r="I287" i="10"/>
  <c r="H287" i="10"/>
  <c r="G287" i="10"/>
  <c r="F287" i="10"/>
  <c r="E287" i="10"/>
  <c r="D287" i="10"/>
  <c r="M286" i="10"/>
  <c r="L286" i="10"/>
  <c r="K286" i="10"/>
  <c r="J286" i="10"/>
  <c r="I286" i="10"/>
  <c r="H286" i="10"/>
  <c r="G286" i="10"/>
  <c r="F286" i="10"/>
  <c r="E286" i="10"/>
  <c r="D286" i="10"/>
  <c r="M285" i="10"/>
  <c r="L285" i="10"/>
  <c r="K285" i="10"/>
  <c r="J285" i="10"/>
  <c r="I285" i="10"/>
  <c r="H285" i="10"/>
  <c r="G285" i="10"/>
  <c r="F285" i="10"/>
  <c r="E285" i="10"/>
  <c r="D285" i="10"/>
  <c r="M284" i="10"/>
  <c r="L284" i="10"/>
  <c r="K284" i="10"/>
  <c r="J284" i="10"/>
  <c r="I284" i="10"/>
  <c r="H284" i="10"/>
  <c r="G284" i="10"/>
  <c r="F284" i="10"/>
  <c r="E284" i="10"/>
  <c r="D284" i="10"/>
  <c r="M283" i="10"/>
  <c r="L283" i="10"/>
  <c r="K283" i="10"/>
  <c r="J283" i="10"/>
  <c r="I283" i="10"/>
  <c r="H283" i="10"/>
  <c r="G283" i="10"/>
  <c r="F283" i="10"/>
  <c r="E283" i="10"/>
  <c r="D283" i="10"/>
  <c r="M282" i="10"/>
  <c r="L282" i="10"/>
  <c r="K282" i="10"/>
  <c r="J282" i="10"/>
  <c r="I282" i="10"/>
  <c r="H282" i="10"/>
  <c r="G282" i="10"/>
  <c r="F282" i="10"/>
  <c r="E282" i="10"/>
  <c r="D282" i="10"/>
  <c r="M281" i="10"/>
  <c r="L281" i="10"/>
  <c r="K281" i="10"/>
  <c r="J281" i="10"/>
  <c r="I281" i="10"/>
  <c r="H281" i="10"/>
  <c r="G281" i="10"/>
  <c r="F281" i="10"/>
  <c r="E281" i="10"/>
  <c r="D281" i="10"/>
  <c r="M280" i="10"/>
  <c r="L280" i="10"/>
  <c r="K280" i="10"/>
  <c r="J280" i="10"/>
  <c r="I280" i="10"/>
  <c r="H280" i="10"/>
  <c r="G280" i="10"/>
  <c r="F280" i="10"/>
  <c r="E280" i="10"/>
  <c r="D280" i="10"/>
  <c r="M279" i="10"/>
  <c r="L279" i="10"/>
  <c r="K279" i="10"/>
  <c r="J279" i="10"/>
  <c r="I279" i="10"/>
  <c r="H279" i="10"/>
  <c r="G279" i="10"/>
  <c r="F279" i="10"/>
  <c r="E279" i="10"/>
  <c r="D279" i="10"/>
  <c r="M278" i="10"/>
  <c r="L278" i="10"/>
  <c r="K278" i="10"/>
  <c r="J278" i="10"/>
  <c r="I278" i="10"/>
  <c r="H278" i="10"/>
  <c r="G278" i="10"/>
  <c r="F278" i="10"/>
  <c r="E278" i="10"/>
  <c r="D278" i="10"/>
  <c r="M277" i="10"/>
  <c r="L277" i="10"/>
  <c r="K277" i="10"/>
  <c r="J277" i="10"/>
  <c r="I277" i="10"/>
  <c r="H277" i="10"/>
  <c r="G277" i="10"/>
  <c r="F277" i="10"/>
  <c r="E277" i="10"/>
  <c r="D277" i="10"/>
  <c r="M276" i="10"/>
  <c r="L276" i="10"/>
  <c r="K276" i="10"/>
  <c r="J276" i="10"/>
  <c r="I276" i="10"/>
  <c r="H276" i="10"/>
  <c r="G276" i="10"/>
  <c r="F276" i="10"/>
  <c r="E276" i="10"/>
  <c r="D276" i="10"/>
  <c r="M275" i="10"/>
  <c r="L275" i="10"/>
  <c r="K275" i="10"/>
  <c r="J275" i="10"/>
  <c r="I275" i="10"/>
  <c r="H275" i="10"/>
  <c r="G275" i="10"/>
  <c r="F275" i="10"/>
  <c r="E275" i="10"/>
  <c r="D275" i="10"/>
  <c r="M274" i="10"/>
  <c r="L274" i="10"/>
  <c r="K274" i="10"/>
  <c r="J274" i="10"/>
  <c r="I274" i="10"/>
  <c r="H274" i="10"/>
  <c r="G274" i="10"/>
  <c r="F274" i="10"/>
  <c r="E274" i="10"/>
  <c r="D274" i="10"/>
  <c r="M273" i="10"/>
  <c r="L273" i="10"/>
  <c r="K273" i="10"/>
  <c r="J273" i="10"/>
  <c r="I273" i="10"/>
  <c r="H273" i="10"/>
  <c r="G273" i="10"/>
  <c r="F273" i="10"/>
  <c r="E273" i="10"/>
  <c r="D273" i="10"/>
  <c r="M272" i="10"/>
  <c r="L272" i="10"/>
  <c r="K272" i="10"/>
  <c r="J272" i="10"/>
  <c r="I272" i="10"/>
  <c r="H272" i="10"/>
  <c r="G272" i="10"/>
  <c r="F272" i="10"/>
  <c r="E272" i="10"/>
  <c r="D272" i="10"/>
  <c r="M271" i="10"/>
  <c r="L271" i="10"/>
  <c r="K271" i="10"/>
  <c r="J271" i="10"/>
  <c r="I271" i="10"/>
  <c r="H271" i="10"/>
  <c r="G271" i="10"/>
  <c r="F271" i="10"/>
  <c r="E271" i="10"/>
  <c r="D271" i="10"/>
  <c r="M270" i="10"/>
  <c r="L270" i="10"/>
  <c r="K270" i="10"/>
  <c r="J270" i="10"/>
  <c r="I270" i="10"/>
  <c r="H270" i="10"/>
  <c r="G270" i="10"/>
  <c r="F270" i="10"/>
  <c r="E270" i="10"/>
  <c r="D270" i="10"/>
  <c r="M269" i="10"/>
  <c r="L269" i="10"/>
  <c r="K269" i="10"/>
  <c r="J269" i="10"/>
  <c r="I269" i="10"/>
  <c r="H269" i="10"/>
  <c r="G269" i="10"/>
  <c r="F269" i="10"/>
  <c r="E269" i="10"/>
  <c r="D269" i="10"/>
  <c r="M268" i="10"/>
  <c r="L268" i="10"/>
  <c r="K268" i="10"/>
  <c r="J268" i="10"/>
  <c r="I268" i="10"/>
  <c r="H268" i="10"/>
  <c r="G268" i="10"/>
  <c r="F268" i="10"/>
  <c r="E268" i="10"/>
  <c r="D268" i="10"/>
  <c r="M267" i="10"/>
  <c r="L267" i="10"/>
  <c r="K267" i="10"/>
  <c r="J267" i="10"/>
  <c r="I267" i="10"/>
  <c r="H267" i="10"/>
  <c r="G267" i="10"/>
  <c r="F267" i="10"/>
  <c r="E267" i="10"/>
  <c r="D267" i="10"/>
  <c r="M266" i="10"/>
  <c r="L266" i="10"/>
  <c r="K266" i="10"/>
  <c r="J266" i="10"/>
  <c r="I266" i="10"/>
  <c r="H266" i="10"/>
  <c r="G266" i="10"/>
  <c r="F266" i="10"/>
  <c r="E266" i="10"/>
  <c r="D266" i="10"/>
  <c r="M265" i="10"/>
  <c r="L265" i="10"/>
  <c r="K265" i="10"/>
  <c r="J265" i="10"/>
  <c r="I265" i="10"/>
  <c r="H265" i="10"/>
  <c r="G265" i="10"/>
  <c r="F265" i="10"/>
  <c r="E265" i="10"/>
  <c r="D265" i="10"/>
  <c r="M264" i="10"/>
  <c r="L264" i="10"/>
  <c r="K264" i="10"/>
  <c r="J264" i="10"/>
  <c r="I264" i="10"/>
  <c r="H264" i="10"/>
  <c r="G264" i="10"/>
  <c r="F264" i="10"/>
  <c r="E264" i="10"/>
  <c r="D264" i="10"/>
  <c r="M263" i="10"/>
  <c r="L263" i="10"/>
  <c r="K263" i="10"/>
  <c r="J263" i="10"/>
  <c r="I263" i="10"/>
  <c r="H263" i="10"/>
  <c r="G263" i="10"/>
  <c r="F263" i="10"/>
  <c r="E263" i="10"/>
  <c r="D263" i="10"/>
  <c r="M262" i="10"/>
  <c r="L262" i="10"/>
  <c r="K262" i="10"/>
  <c r="J262" i="10"/>
  <c r="I262" i="10"/>
  <c r="H262" i="10"/>
  <c r="G262" i="10"/>
  <c r="F262" i="10"/>
  <c r="E262" i="10"/>
  <c r="D262" i="10"/>
  <c r="M261" i="10"/>
  <c r="L261" i="10"/>
  <c r="K261" i="10"/>
  <c r="J261" i="10"/>
  <c r="I261" i="10"/>
  <c r="H261" i="10"/>
  <c r="G261" i="10"/>
  <c r="F261" i="10"/>
  <c r="E261" i="10"/>
  <c r="D261" i="10"/>
  <c r="M260" i="10"/>
  <c r="L260" i="10"/>
  <c r="K260" i="10"/>
  <c r="J260" i="10"/>
  <c r="I260" i="10"/>
  <c r="H260" i="10"/>
  <c r="G260" i="10"/>
  <c r="F260" i="10"/>
  <c r="E260" i="10"/>
  <c r="D260" i="10"/>
  <c r="M259" i="10"/>
  <c r="L259" i="10"/>
  <c r="K259" i="10"/>
  <c r="J259" i="10"/>
  <c r="I259" i="10"/>
  <c r="H259" i="10"/>
  <c r="G259" i="10"/>
  <c r="F259" i="10"/>
  <c r="E259" i="10"/>
  <c r="D259" i="10"/>
  <c r="M258" i="10"/>
  <c r="L258" i="10"/>
  <c r="K258" i="10"/>
  <c r="J258" i="10"/>
  <c r="I258" i="10"/>
  <c r="H258" i="10"/>
  <c r="G258" i="10"/>
  <c r="F258" i="10"/>
  <c r="E258" i="10"/>
  <c r="D258" i="10"/>
  <c r="M257" i="10"/>
  <c r="L257" i="10"/>
  <c r="K257" i="10"/>
  <c r="J257" i="10"/>
  <c r="I257" i="10"/>
  <c r="H257" i="10"/>
  <c r="G257" i="10"/>
  <c r="F257" i="10"/>
  <c r="E257" i="10"/>
  <c r="D257" i="10"/>
  <c r="M256" i="10"/>
  <c r="L256" i="10"/>
  <c r="K256" i="10"/>
  <c r="J256" i="10"/>
  <c r="I256" i="10"/>
  <c r="H256" i="10"/>
  <c r="G256" i="10"/>
  <c r="F256" i="10"/>
  <c r="E256" i="10"/>
  <c r="D256" i="10"/>
  <c r="M255" i="10"/>
  <c r="L255" i="10"/>
  <c r="K255" i="10"/>
  <c r="J255" i="10"/>
  <c r="I255" i="10"/>
  <c r="H255" i="10"/>
  <c r="G255" i="10"/>
  <c r="F255" i="10"/>
  <c r="E255" i="10"/>
  <c r="D255" i="10"/>
  <c r="M254" i="10"/>
  <c r="L254" i="10"/>
  <c r="K254" i="10"/>
  <c r="J254" i="10"/>
  <c r="I254" i="10"/>
  <c r="H254" i="10"/>
  <c r="G254" i="10"/>
  <c r="F254" i="10"/>
  <c r="E254" i="10"/>
  <c r="D254" i="10"/>
  <c r="M253" i="10"/>
  <c r="L253" i="10"/>
  <c r="K253" i="10"/>
  <c r="J253" i="10"/>
  <c r="I253" i="10"/>
  <c r="H253" i="10"/>
  <c r="G253" i="10"/>
  <c r="F253" i="10"/>
  <c r="E253" i="10"/>
  <c r="D253" i="10"/>
  <c r="M252" i="10"/>
  <c r="L252" i="10"/>
  <c r="K252" i="10"/>
  <c r="J252" i="10"/>
  <c r="I252" i="10"/>
  <c r="H252" i="10"/>
  <c r="G252" i="10"/>
  <c r="F252" i="10"/>
  <c r="E252" i="10"/>
  <c r="D252" i="10"/>
  <c r="M251" i="10"/>
  <c r="L251" i="10"/>
  <c r="K251" i="10"/>
  <c r="J251" i="10"/>
  <c r="I251" i="10"/>
  <c r="H251" i="10"/>
  <c r="G251" i="10"/>
  <c r="F251" i="10"/>
  <c r="E251" i="10"/>
  <c r="D251" i="10"/>
  <c r="M250" i="10"/>
  <c r="L250" i="10"/>
  <c r="K250" i="10"/>
  <c r="J250" i="10"/>
  <c r="I250" i="10"/>
  <c r="H250" i="10"/>
  <c r="G250" i="10"/>
  <c r="F250" i="10"/>
  <c r="E250" i="10"/>
  <c r="D250" i="10"/>
  <c r="M249" i="10"/>
  <c r="L249" i="10"/>
  <c r="K249" i="10"/>
  <c r="J249" i="10"/>
  <c r="I249" i="10"/>
  <c r="H249" i="10"/>
  <c r="G249" i="10"/>
  <c r="F249" i="10"/>
  <c r="E249" i="10"/>
  <c r="D249" i="10"/>
  <c r="M248" i="10"/>
  <c r="L248" i="10"/>
  <c r="K248" i="10"/>
  <c r="J248" i="10"/>
  <c r="I248" i="10"/>
  <c r="H248" i="10"/>
  <c r="G248" i="10"/>
  <c r="F248" i="10"/>
  <c r="E248" i="10"/>
  <c r="D248" i="10"/>
  <c r="M247" i="10"/>
  <c r="L247" i="10"/>
  <c r="K247" i="10"/>
  <c r="J247" i="10"/>
  <c r="I247" i="10"/>
  <c r="H247" i="10"/>
  <c r="G247" i="10"/>
  <c r="F247" i="10"/>
  <c r="E247" i="10"/>
  <c r="D247" i="10"/>
  <c r="M246" i="10"/>
  <c r="L246" i="10"/>
  <c r="K246" i="10"/>
  <c r="J246" i="10"/>
  <c r="I246" i="10"/>
  <c r="H246" i="10"/>
  <c r="G246" i="10"/>
  <c r="F246" i="10"/>
  <c r="E246" i="10"/>
  <c r="D246" i="10"/>
  <c r="M245" i="10"/>
  <c r="L245" i="10"/>
  <c r="K245" i="10"/>
  <c r="J245" i="10"/>
  <c r="I245" i="10"/>
  <c r="H245" i="10"/>
  <c r="G245" i="10"/>
  <c r="F245" i="10"/>
  <c r="E245" i="10"/>
  <c r="D245" i="10"/>
  <c r="M244" i="10"/>
  <c r="L244" i="10"/>
  <c r="K244" i="10"/>
  <c r="J244" i="10"/>
  <c r="I244" i="10"/>
  <c r="H244" i="10"/>
  <c r="G244" i="10"/>
  <c r="F244" i="10"/>
  <c r="E244" i="10"/>
  <c r="D244" i="10"/>
  <c r="M243" i="10"/>
  <c r="L243" i="10"/>
  <c r="K243" i="10"/>
  <c r="J243" i="10"/>
  <c r="I243" i="10"/>
  <c r="H243" i="10"/>
  <c r="G243" i="10"/>
  <c r="F243" i="10"/>
  <c r="E243" i="10"/>
  <c r="D243" i="10"/>
  <c r="M242" i="10"/>
  <c r="L242" i="10"/>
  <c r="K242" i="10"/>
  <c r="J242" i="10"/>
  <c r="I242" i="10"/>
  <c r="H242" i="10"/>
  <c r="G242" i="10"/>
  <c r="F242" i="10"/>
  <c r="E242" i="10"/>
  <c r="D242" i="10"/>
  <c r="M241" i="10"/>
  <c r="L241" i="10"/>
  <c r="K241" i="10"/>
  <c r="J241" i="10"/>
  <c r="I241" i="10"/>
  <c r="H241" i="10"/>
  <c r="G241" i="10"/>
  <c r="F241" i="10"/>
  <c r="E241" i="10"/>
  <c r="D241" i="10"/>
  <c r="M240" i="10"/>
  <c r="L240" i="10"/>
  <c r="K240" i="10"/>
  <c r="J240" i="10"/>
  <c r="I240" i="10"/>
  <c r="H240" i="10"/>
  <c r="G240" i="10"/>
  <c r="F240" i="10"/>
  <c r="E240" i="10"/>
  <c r="D240" i="10"/>
  <c r="M239" i="10"/>
  <c r="L239" i="10"/>
  <c r="K239" i="10"/>
  <c r="J239" i="10"/>
  <c r="I239" i="10"/>
  <c r="H239" i="10"/>
  <c r="G239" i="10"/>
  <c r="F239" i="10"/>
  <c r="E239" i="10"/>
  <c r="D239" i="10"/>
  <c r="M238" i="10"/>
  <c r="L238" i="10"/>
  <c r="K238" i="10"/>
  <c r="J238" i="10"/>
  <c r="I238" i="10"/>
  <c r="H238" i="10"/>
  <c r="G238" i="10"/>
  <c r="F238" i="10"/>
  <c r="E238" i="10"/>
  <c r="D238" i="10"/>
  <c r="M237" i="10"/>
  <c r="L237" i="10"/>
  <c r="K237" i="10"/>
  <c r="J237" i="10"/>
  <c r="I237" i="10"/>
  <c r="H237" i="10"/>
  <c r="G237" i="10"/>
  <c r="F237" i="10"/>
  <c r="E237" i="10"/>
  <c r="D237" i="10"/>
  <c r="M236" i="10"/>
  <c r="L236" i="10"/>
  <c r="K236" i="10"/>
  <c r="J236" i="10"/>
  <c r="I236" i="10"/>
  <c r="H236" i="10"/>
  <c r="G236" i="10"/>
  <c r="F236" i="10"/>
  <c r="E236" i="10"/>
  <c r="D236" i="10"/>
  <c r="M235" i="10"/>
  <c r="L235" i="10"/>
  <c r="K235" i="10"/>
  <c r="J235" i="10"/>
  <c r="I235" i="10"/>
  <c r="H235" i="10"/>
  <c r="G235" i="10"/>
  <c r="F235" i="10"/>
  <c r="E235" i="10"/>
  <c r="D235" i="10"/>
  <c r="M234" i="10"/>
  <c r="L234" i="10"/>
  <c r="K234" i="10"/>
  <c r="J234" i="10"/>
  <c r="I234" i="10"/>
  <c r="H234" i="10"/>
  <c r="G234" i="10"/>
  <c r="F234" i="10"/>
  <c r="E234" i="10"/>
  <c r="D234" i="10"/>
  <c r="M233" i="10"/>
  <c r="L233" i="10"/>
  <c r="K233" i="10"/>
  <c r="J233" i="10"/>
  <c r="I233" i="10"/>
  <c r="H233" i="10"/>
  <c r="G233" i="10"/>
  <c r="F233" i="10"/>
  <c r="E233" i="10"/>
  <c r="D233" i="10"/>
  <c r="M232" i="10"/>
  <c r="L232" i="10"/>
  <c r="K232" i="10"/>
  <c r="J232" i="10"/>
  <c r="I232" i="10"/>
  <c r="H232" i="10"/>
  <c r="G232" i="10"/>
  <c r="F232" i="10"/>
  <c r="E232" i="10"/>
  <c r="D232" i="10"/>
  <c r="M231" i="10"/>
  <c r="L231" i="10"/>
  <c r="K231" i="10"/>
  <c r="J231" i="10"/>
  <c r="I231" i="10"/>
  <c r="H231" i="10"/>
  <c r="G231" i="10"/>
  <c r="F231" i="10"/>
  <c r="E231" i="10"/>
  <c r="D231" i="10"/>
  <c r="M230" i="10"/>
  <c r="L230" i="10"/>
  <c r="K230" i="10"/>
  <c r="J230" i="10"/>
  <c r="I230" i="10"/>
  <c r="H230" i="10"/>
  <c r="G230" i="10"/>
  <c r="F230" i="10"/>
  <c r="E230" i="10"/>
  <c r="D230" i="10"/>
  <c r="M229" i="10"/>
  <c r="L229" i="10"/>
  <c r="K229" i="10"/>
  <c r="J229" i="10"/>
  <c r="I229" i="10"/>
  <c r="H229" i="10"/>
  <c r="G229" i="10"/>
  <c r="F229" i="10"/>
  <c r="E229" i="10"/>
  <c r="D229" i="10"/>
  <c r="M228" i="10"/>
  <c r="L228" i="10"/>
  <c r="K228" i="10"/>
  <c r="J228" i="10"/>
  <c r="I228" i="10"/>
  <c r="H228" i="10"/>
  <c r="G228" i="10"/>
  <c r="F228" i="10"/>
  <c r="E228" i="10"/>
  <c r="D228" i="10"/>
  <c r="M227" i="10"/>
  <c r="L227" i="10"/>
  <c r="K227" i="10"/>
  <c r="J227" i="10"/>
  <c r="I227" i="10"/>
  <c r="H227" i="10"/>
  <c r="G227" i="10"/>
  <c r="F227" i="10"/>
  <c r="E227" i="10"/>
  <c r="D227" i="10"/>
  <c r="M226" i="10"/>
  <c r="L226" i="10"/>
  <c r="K226" i="10"/>
  <c r="J226" i="10"/>
  <c r="I226" i="10"/>
  <c r="H226" i="10"/>
  <c r="G226" i="10"/>
  <c r="F226" i="10"/>
  <c r="E226" i="10"/>
  <c r="D226" i="10"/>
  <c r="M225" i="10"/>
  <c r="L225" i="10"/>
  <c r="K225" i="10"/>
  <c r="J225" i="10"/>
  <c r="I225" i="10"/>
  <c r="H225" i="10"/>
  <c r="G225" i="10"/>
  <c r="F225" i="10"/>
  <c r="E225" i="10"/>
  <c r="D225" i="10"/>
  <c r="M224" i="10"/>
  <c r="L224" i="10"/>
  <c r="K224" i="10"/>
  <c r="J224" i="10"/>
  <c r="I224" i="10"/>
  <c r="H224" i="10"/>
  <c r="G224" i="10"/>
  <c r="F224" i="10"/>
  <c r="E224" i="10"/>
  <c r="D224" i="10"/>
  <c r="M223" i="10"/>
  <c r="L223" i="10"/>
  <c r="K223" i="10"/>
  <c r="J223" i="10"/>
  <c r="I223" i="10"/>
  <c r="H223" i="10"/>
  <c r="G223" i="10"/>
  <c r="F223" i="10"/>
  <c r="E223" i="10"/>
  <c r="D223" i="10"/>
  <c r="M222" i="10"/>
  <c r="L222" i="10"/>
  <c r="K222" i="10"/>
  <c r="J222" i="10"/>
  <c r="I222" i="10"/>
  <c r="H222" i="10"/>
  <c r="G222" i="10"/>
  <c r="F222" i="10"/>
  <c r="E222" i="10"/>
  <c r="D222" i="10"/>
  <c r="M221" i="10"/>
  <c r="L221" i="10"/>
  <c r="K221" i="10"/>
  <c r="J221" i="10"/>
  <c r="I221" i="10"/>
  <c r="H221" i="10"/>
  <c r="G221" i="10"/>
  <c r="F221" i="10"/>
  <c r="E221" i="10"/>
  <c r="D221" i="10"/>
  <c r="M220" i="10"/>
  <c r="L220" i="10"/>
  <c r="K220" i="10"/>
  <c r="J220" i="10"/>
  <c r="I220" i="10"/>
  <c r="H220" i="10"/>
  <c r="G220" i="10"/>
  <c r="F220" i="10"/>
  <c r="E220" i="10"/>
  <c r="D220" i="10"/>
  <c r="M219" i="10"/>
  <c r="L219" i="10"/>
  <c r="K219" i="10"/>
  <c r="J219" i="10"/>
  <c r="I219" i="10"/>
  <c r="H219" i="10"/>
  <c r="G219" i="10"/>
  <c r="F219" i="10"/>
  <c r="E219" i="10"/>
  <c r="D219" i="10"/>
  <c r="M218" i="10"/>
  <c r="L218" i="10"/>
  <c r="K218" i="10"/>
  <c r="J218" i="10"/>
  <c r="I218" i="10"/>
  <c r="H218" i="10"/>
  <c r="G218" i="10"/>
  <c r="F218" i="10"/>
  <c r="E218" i="10"/>
  <c r="D218" i="10"/>
  <c r="M217" i="10"/>
  <c r="L217" i="10"/>
  <c r="K217" i="10"/>
  <c r="J217" i="10"/>
  <c r="I217" i="10"/>
  <c r="H217" i="10"/>
  <c r="G217" i="10"/>
  <c r="F217" i="10"/>
  <c r="E217" i="10"/>
  <c r="D217" i="10"/>
  <c r="M216" i="10"/>
  <c r="L216" i="10"/>
  <c r="K216" i="10"/>
  <c r="J216" i="10"/>
  <c r="I216" i="10"/>
  <c r="H216" i="10"/>
  <c r="G216" i="10"/>
  <c r="F216" i="10"/>
  <c r="E216" i="10"/>
  <c r="D216" i="10"/>
  <c r="M215" i="10"/>
  <c r="L215" i="10"/>
  <c r="K215" i="10"/>
  <c r="J215" i="10"/>
  <c r="I215" i="10"/>
  <c r="H215" i="10"/>
  <c r="G215" i="10"/>
  <c r="F215" i="10"/>
  <c r="E215" i="10"/>
  <c r="D215" i="10"/>
  <c r="M214" i="10"/>
  <c r="L214" i="10"/>
  <c r="K214" i="10"/>
  <c r="J214" i="10"/>
  <c r="I214" i="10"/>
  <c r="H214" i="10"/>
  <c r="G214" i="10"/>
  <c r="F214" i="10"/>
  <c r="E214" i="10"/>
  <c r="D214" i="10"/>
  <c r="M213" i="10"/>
  <c r="L213" i="10"/>
  <c r="K213" i="10"/>
  <c r="J213" i="10"/>
  <c r="I213" i="10"/>
  <c r="H213" i="10"/>
  <c r="G213" i="10"/>
  <c r="F213" i="10"/>
  <c r="E213" i="10"/>
  <c r="D213" i="10"/>
  <c r="M212" i="10"/>
  <c r="L212" i="10"/>
  <c r="K212" i="10"/>
  <c r="J212" i="10"/>
  <c r="I212" i="10"/>
  <c r="H212" i="10"/>
  <c r="G212" i="10"/>
  <c r="F212" i="10"/>
  <c r="E212" i="10"/>
  <c r="D212" i="10"/>
  <c r="M211" i="10"/>
  <c r="L211" i="10"/>
  <c r="K211" i="10"/>
  <c r="J211" i="10"/>
  <c r="I211" i="10"/>
  <c r="H211" i="10"/>
  <c r="G211" i="10"/>
  <c r="F211" i="10"/>
  <c r="E211" i="10"/>
  <c r="D211" i="10"/>
  <c r="M210" i="10"/>
  <c r="L210" i="10"/>
  <c r="K210" i="10"/>
  <c r="J210" i="10"/>
  <c r="I210" i="10"/>
  <c r="H210" i="10"/>
  <c r="G210" i="10"/>
  <c r="F210" i="10"/>
  <c r="E210" i="10"/>
  <c r="D210" i="10"/>
  <c r="M209" i="10"/>
  <c r="L209" i="10"/>
  <c r="K209" i="10"/>
  <c r="J209" i="10"/>
  <c r="I209" i="10"/>
  <c r="H209" i="10"/>
  <c r="G209" i="10"/>
  <c r="F209" i="10"/>
  <c r="E209" i="10"/>
  <c r="D209" i="10"/>
  <c r="M208" i="10"/>
  <c r="L208" i="10"/>
  <c r="K208" i="10"/>
  <c r="J208" i="10"/>
  <c r="I208" i="10"/>
  <c r="H208" i="10"/>
  <c r="G208" i="10"/>
  <c r="F208" i="10"/>
  <c r="E208" i="10"/>
  <c r="D208" i="10"/>
  <c r="M207" i="10"/>
  <c r="L207" i="10"/>
  <c r="K207" i="10"/>
  <c r="J207" i="10"/>
  <c r="I207" i="10"/>
  <c r="H207" i="10"/>
  <c r="G207" i="10"/>
  <c r="F207" i="10"/>
  <c r="E207" i="10"/>
  <c r="D207" i="10"/>
  <c r="M206" i="10"/>
  <c r="L206" i="10"/>
  <c r="K206" i="10"/>
  <c r="J206" i="10"/>
  <c r="I206" i="10"/>
  <c r="H206" i="10"/>
  <c r="G206" i="10"/>
  <c r="F206" i="10"/>
  <c r="E206" i="10"/>
  <c r="D206" i="10"/>
  <c r="M205" i="10"/>
  <c r="L205" i="10"/>
  <c r="K205" i="10"/>
  <c r="J205" i="10"/>
  <c r="I205" i="10"/>
  <c r="H205" i="10"/>
  <c r="G205" i="10"/>
  <c r="F205" i="10"/>
  <c r="E205" i="10"/>
  <c r="D205" i="10"/>
  <c r="M204" i="10"/>
  <c r="L204" i="10"/>
  <c r="K204" i="10"/>
  <c r="J204" i="10"/>
  <c r="I204" i="10"/>
  <c r="H204" i="10"/>
  <c r="G204" i="10"/>
  <c r="F204" i="10"/>
  <c r="E204" i="10"/>
  <c r="D204" i="10"/>
  <c r="M203" i="10"/>
  <c r="L203" i="10"/>
  <c r="K203" i="10"/>
  <c r="J203" i="10"/>
  <c r="I203" i="10"/>
  <c r="H203" i="10"/>
  <c r="G203" i="10"/>
  <c r="F203" i="10"/>
  <c r="E203" i="10"/>
  <c r="D203" i="10"/>
  <c r="M202" i="10"/>
  <c r="L202" i="10"/>
  <c r="K202" i="10"/>
  <c r="J202" i="10"/>
  <c r="I202" i="10"/>
  <c r="H202" i="10"/>
  <c r="G202" i="10"/>
  <c r="F202" i="10"/>
  <c r="E202" i="10"/>
  <c r="D202" i="10"/>
  <c r="M201" i="10"/>
  <c r="L201" i="10"/>
  <c r="K201" i="10"/>
  <c r="J201" i="10"/>
  <c r="I201" i="10"/>
  <c r="H201" i="10"/>
  <c r="G201" i="10"/>
  <c r="F201" i="10"/>
  <c r="E201" i="10"/>
  <c r="D201" i="10"/>
  <c r="M200" i="10"/>
  <c r="L200" i="10"/>
  <c r="K200" i="10"/>
  <c r="J200" i="10"/>
  <c r="I200" i="10"/>
  <c r="H200" i="10"/>
  <c r="G200" i="10"/>
  <c r="F200" i="10"/>
  <c r="E200" i="10"/>
  <c r="D200" i="10"/>
  <c r="M199" i="10"/>
  <c r="L199" i="10"/>
  <c r="K199" i="10"/>
  <c r="J199" i="10"/>
  <c r="I199" i="10"/>
  <c r="H199" i="10"/>
  <c r="G199" i="10"/>
  <c r="F199" i="10"/>
  <c r="E199" i="10"/>
  <c r="D199" i="10"/>
  <c r="M198" i="10"/>
  <c r="L198" i="10"/>
  <c r="K198" i="10"/>
  <c r="J198" i="10"/>
  <c r="I198" i="10"/>
  <c r="H198" i="10"/>
  <c r="G198" i="10"/>
  <c r="F198" i="10"/>
  <c r="E198" i="10"/>
  <c r="D198" i="10"/>
  <c r="M197" i="10"/>
  <c r="L197" i="10"/>
  <c r="K197" i="10"/>
  <c r="J197" i="10"/>
  <c r="I197" i="10"/>
  <c r="H197" i="10"/>
  <c r="G197" i="10"/>
  <c r="F197" i="10"/>
  <c r="E197" i="10"/>
  <c r="D197" i="10"/>
  <c r="M196" i="10"/>
  <c r="L196" i="10"/>
  <c r="K196" i="10"/>
  <c r="J196" i="10"/>
  <c r="I196" i="10"/>
  <c r="H196" i="10"/>
  <c r="G196" i="10"/>
  <c r="F196" i="10"/>
  <c r="E196" i="10"/>
  <c r="D196" i="10"/>
  <c r="M195" i="10"/>
  <c r="L195" i="10"/>
  <c r="K195" i="10"/>
  <c r="J195" i="10"/>
  <c r="I195" i="10"/>
  <c r="H195" i="10"/>
  <c r="G195" i="10"/>
  <c r="F195" i="10"/>
  <c r="E195" i="10"/>
  <c r="D195" i="10"/>
  <c r="M194" i="10"/>
  <c r="L194" i="10"/>
  <c r="K194" i="10"/>
  <c r="J194" i="10"/>
  <c r="I194" i="10"/>
  <c r="H194" i="10"/>
  <c r="G194" i="10"/>
  <c r="F194" i="10"/>
  <c r="E194" i="10"/>
  <c r="D194" i="10"/>
  <c r="M193" i="10"/>
  <c r="L193" i="10"/>
  <c r="K193" i="10"/>
  <c r="J193" i="10"/>
  <c r="I193" i="10"/>
  <c r="H193" i="10"/>
  <c r="G193" i="10"/>
  <c r="F193" i="10"/>
  <c r="E193" i="10"/>
  <c r="D193" i="10"/>
  <c r="M192" i="10"/>
  <c r="L192" i="10"/>
  <c r="K192" i="10"/>
  <c r="J192" i="10"/>
  <c r="I192" i="10"/>
  <c r="H192" i="10"/>
  <c r="G192" i="10"/>
  <c r="F192" i="10"/>
  <c r="E192" i="10"/>
  <c r="D192" i="10"/>
  <c r="M191" i="10"/>
  <c r="L191" i="10"/>
  <c r="K191" i="10"/>
  <c r="J191" i="10"/>
  <c r="I191" i="10"/>
  <c r="H191" i="10"/>
  <c r="G191" i="10"/>
  <c r="F191" i="10"/>
  <c r="E191" i="10"/>
  <c r="D191" i="10"/>
  <c r="M190" i="10"/>
  <c r="L190" i="10"/>
  <c r="K190" i="10"/>
  <c r="J190" i="10"/>
  <c r="I190" i="10"/>
  <c r="H190" i="10"/>
  <c r="G190" i="10"/>
  <c r="F190" i="10"/>
  <c r="E190" i="10"/>
  <c r="D190" i="10"/>
  <c r="M189" i="10"/>
  <c r="L189" i="10"/>
  <c r="K189" i="10"/>
  <c r="J189" i="10"/>
  <c r="I189" i="10"/>
  <c r="H189" i="10"/>
  <c r="G189" i="10"/>
  <c r="F189" i="10"/>
  <c r="E189" i="10"/>
  <c r="D189" i="10"/>
  <c r="M188" i="10"/>
  <c r="L188" i="10"/>
  <c r="K188" i="10"/>
  <c r="J188" i="10"/>
  <c r="I188" i="10"/>
  <c r="H188" i="10"/>
  <c r="G188" i="10"/>
  <c r="F188" i="10"/>
  <c r="E188" i="10"/>
  <c r="D188" i="10"/>
  <c r="M187" i="10"/>
  <c r="L187" i="10"/>
  <c r="K187" i="10"/>
  <c r="J187" i="10"/>
  <c r="I187" i="10"/>
  <c r="H187" i="10"/>
  <c r="G187" i="10"/>
  <c r="F187" i="10"/>
  <c r="E187" i="10"/>
  <c r="D187" i="10"/>
  <c r="M186" i="10"/>
  <c r="L186" i="10"/>
  <c r="K186" i="10"/>
  <c r="J186" i="10"/>
  <c r="I186" i="10"/>
  <c r="H186" i="10"/>
  <c r="G186" i="10"/>
  <c r="F186" i="10"/>
  <c r="E186" i="10"/>
  <c r="D186" i="10"/>
  <c r="M184" i="10"/>
  <c r="L184" i="10"/>
  <c r="K184" i="10"/>
  <c r="J184" i="10"/>
  <c r="I184" i="10"/>
  <c r="H184" i="10"/>
  <c r="G184" i="10"/>
  <c r="F184" i="10"/>
  <c r="E184" i="10"/>
  <c r="D184" i="10"/>
  <c r="M183" i="10"/>
  <c r="L183" i="10"/>
  <c r="K183" i="10"/>
  <c r="J183" i="10"/>
  <c r="I183" i="10"/>
  <c r="H183" i="10"/>
  <c r="G183" i="10"/>
  <c r="F183" i="10"/>
  <c r="E183" i="10"/>
  <c r="D183" i="10"/>
  <c r="M182" i="10"/>
  <c r="L182" i="10"/>
  <c r="K182" i="10"/>
  <c r="J182" i="10"/>
  <c r="I182" i="10"/>
  <c r="H182" i="10"/>
  <c r="G182" i="10"/>
  <c r="F182" i="10"/>
  <c r="E182" i="10"/>
  <c r="D182" i="10"/>
  <c r="M181" i="10"/>
  <c r="L181" i="10"/>
  <c r="K181" i="10"/>
  <c r="J181" i="10"/>
  <c r="I181" i="10"/>
  <c r="H181" i="10"/>
  <c r="G181" i="10"/>
  <c r="F181" i="10"/>
  <c r="E181" i="10"/>
  <c r="D181" i="10"/>
  <c r="M180" i="10"/>
  <c r="L180" i="10"/>
  <c r="K180" i="10"/>
  <c r="J180" i="10"/>
  <c r="I180" i="10"/>
  <c r="H180" i="10"/>
  <c r="G180" i="10"/>
  <c r="F180" i="10"/>
  <c r="E180" i="10"/>
  <c r="D180" i="10"/>
  <c r="M179" i="10"/>
  <c r="L179" i="10"/>
  <c r="K179" i="10"/>
  <c r="J179" i="10"/>
  <c r="I179" i="10"/>
  <c r="H179" i="10"/>
  <c r="G179" i="10"/>
  <c r="F179" i="10"/>
  <c r="E179" i="10"/>
  <c r="D179" i="10"/>
  <c r="M178" i="10"/>
  <c r="L178" i="10"/>
  <c r="K178" i="10"/>
  <c r="J178" i="10"/>
  <c r="I178" i="10"/>
  <c r="H178" i="10"/>
  <c r="G178" i="10"/>
  <c r="F178" i="10"/>
  <c r="E178" i="10"/>
  <c r="D178" i="10"/>
  <c r="M177" i="10"/>
  <c r="L177" i="10"/>
  <c r="K177" i="10"/>
  <c r="J177" i="10"/>
  <c r="I177" i="10"/>
  <c r="H177" i="10"/>
  <c r="G177" i="10"/>
  <c r="F177" i="10"/>
  <c r="E177" i="10"/>
  <c r="D177" i="10"/>
  <c r="M176" i="10"/>
  <c r="L176" i="10"/>
  <c r="K176" i="10"/>
  <c r="J176" i="10"/>
  <c r="I176" i="10"/>
  <c r="H176" i="10"/>
  <c r="G176" i="10"/>
  <c r="F176" i="10"/>
  <c r="E176" i="10"/>
  <c r="D176" i="10"/>
  <c r="M175" i="10"/>
  <c r="L175" i="10"/>
  <c r="K175" i="10"/>
  <c r="J175" i="10"/>
  <c r="I175" i="10"/>
  <c r="H175" i="10"/>
  <c r="G175" i="10"/>
  <c r="F175" i="10"/>
  <c r="E175" i="10"/>
  <c r="D175" i="10"/>
  <c r="M174" i="10"/>
  <c r="L174" i="10"/>
  <c r="K174" i="10"/>
  <c r="J174" i="10"/>
  <c r="I174" i="10"/>
  <c r="H174" i="10"/>
  <c r="G174" i="10"/>
  <c r="F174" i="10"/>
  <c r="E174" i="10"/>
  <c r="D174" i="10"/>
  <c r="M173" i="10"/>
  <c r="L173" i="10"/>
  <c r="K173" i="10"/>
  <c r="J173" i="10"/>
  <c r="I173" i="10"/>
  <c r="H173" i="10"/>
  <c r="G173" i="10"/>
  <c r="F173" i="10"/>
  <c r="E173" i="10"/>
  <c r="D173" i="10"/>
  <c r="M172" i="10"/>
  <c r="L172" i="10"/>
  <c r="K172" i="10"/>
  <c r="J172" i="10"/>
  <c r="I172" i="10"/>
  <c r="H172" i="10"/>
  <c r="G172" i="10"/>
  <c r="F172" i="10"/>
  <c r="E172" i="10"/>
  <c r="D172" i="10"/>
  <c r="M171" i="10"/>
  <c r="L171" i="10"/>
  <c r="K171" i="10"/>
  <c r="J171" i="10"/>
  <c r="I171" i="10"/>
  <c r="H171" i="10"/>
  <c r="G171" i="10"/>
  <c r="F171" i="10"/>
  <c r="E171" i="10"/>
  <c r="D171" i="10"/>
  <c r="M170" i="10"/>
  <c r="L170" i="10"/>
  <c r="K170" i="10"/>
  <c r="J170" i="10"/>
  <c r="I170" i="10"/>
  <c r="H170" i="10"/>
  <c r="G170" i="10"/>
  <c r="F170" i="10"/>
  <c r="E170" i="10"/>
  <c r="D170" i="10"/>
  <c r="M168" i="10"/>
  <c r="L168" i="10"/>
  <c r="K168" i="10"/>
  <c r="J168" i="10"/>
  <c r="I168" i="10"/>
  <c r="H168" i="10"/>
  <c r="G168" i="10"/>
  <c r="F168" i="10"/>
  <c r="E168" i="10"/>
  <c r="D168" i="10"/>
  <c r="M166" i="10"/>
  <c r="L166" i="10"/>
  <c r="K166" i="10"/>
  <c r="J166" i="10"/>
  <c r="I166" i="10"/>
  <c r="H166" i="10"/>
  <c r="G166" i="10"/>
  <c r="F166" i="10"/>
  <c r="E166" i="10"/>
  <c r="D166" i="10"/>
  <c r="M165" i="10"/>
  <c r="L165" i="10"/>
  <c r="K165" i="10"/>
  <c r="J165" i="10"/>
  <c r="I165" i="10"/>
  <c r="H165" i="10"/>
  <c r="G165" i="10"/>
  <c r="F165" i="10"/>
  <c r="E165" i="10"/>
  <c r="D165" i="10"/>
  <c r="M163" i="10"/>
  <c r="L163" i="10"/>
  <c r="K163" i="10"/>
  <c r="J163" i="10"/>
  <c r="I163" i="10"/>
  <c r="H163" i="10"/>
  <c r="G163" i="10"/>
  <c r="F163" i="10"/>
  <c r="E163" i="10"/>
  <c r="D163" i="10"/>
  <c r="M162" i="10"/>
  <c r="L162" i="10"/>
  <c r="K162" i="10"/>
  <c r="J162" i="10"/>
  <c r="I162" i="10"/>
  <c r="H162" i="10"/>
  <c r="G162" i="10"/>
  <c r="F162" i="10"/>
  <c r="E162" i="10"/>
  <c r="D162" i="10"/>
  <c r="M161" i="10"/>
  <c r="L161" i="10"/>
  <c r="K161" i="10"/>
  <c r="J161" i="10"/>
  <c r="I161" i="10"/>
  <c r="H161" i="10"/>
  <c r="G161" i="10"/>
  <c r="F161" i="10"/>
  <c r="E161" i="10"/>
  <c r="D161" i="10"/>
  <c r="M160" i="10"/>
  <c r="L160" i="10"/>
  <c r="K160" i="10"/>
  <c r="J160" i="10"/>
  <c r="I160" i="10"/>
  <c r="H160" i="10"/>
  <c r="G160" i="10"/>
  <c r="F160" i="10"/>
  <c r="E160" i="10"/>
  <c r="D160" i="10"/>
  <c r="M159" i="10"/>
  <c r="L159" i="10"/>
  <c r="K159" i="10"/>
  <c r="J159" i="10"/>
  <c r="I159" i="10"/>
  <c r="H159" i="10"/>
  <c r="G159" i="10"/>
  <c r="F159" i="10"/>
  <c r="E159" i="10"/>
  <c r="D159" i="10"/>
  <c r="M158" i="10"/>
  <c r="L158" i="10"/>
  <c r="K158" i="10"/>
  <c r="J158" i="10"/>
  <c r="I158" i="10"/>
  <c r="H158" i="10"/>
  <c r="G158" i="10"/>
  <c r="F158" i="10"/>
  <c r="E158" i="10"/>
  <c r="D158" i="10"/>
  <c r="M157" i="10"/>
  <c r="L157" i="10"/>
  <c r="K157" i="10"/>
  <c r="J157" i="10"/>
  <c r="I157" i="10"/>
  <c r="H157" i="10"/>
  <c r="G157" i="10"/>
  <c r="F157" i="10"/>
  <c r="E157" i="10"/>
  <c r="D157" i="10"/>
  <c r="M156" i="10"/>
  <c r="L156" i="10"/>
  <c r="K156" i="10"/>
  <c r="J156" i="10"/>
  <c r="I156" i="10"/>
  <c r="H156" i="10"/>
  <c r="G156" i="10"/>
  <c r="F156" i="10"/>
  <c r="E156" i="10"/>
  <c r="D156" i="10"/>
  <c r="M155" i="10"/>
  <c r="L155" i="10"/>
  <c r="K155" i="10"/>
  <c r="J155" i="10"/>
  <c r="I155" i="10"/>
  <c r="H155" i="10"/>
  <c r="G155" i="10"/>
  <c r="F155" i="10"/>
  <c r="E155" i="10"/>
  <c r="D155" i="10"/>
  <c r="M154" i="10"/>
  <c r="L154" i="10"/>
  <c r="K154" i="10"/>
  <c r="J154" i="10"/>
  <c r="I154" i="10"/>
  <c r="H154" i="10"/>
  <c r="G154" i="10"/>
  <c r="F154" i="10"/>
  <c r="E154" i="10"/>
  <c r="D154" i="10"/>
  <c r="M153" i="10"/>
  <c r="L153" i="10"/>
  <c r="K153" i="10"/>
  <c r="J153" i="10"/>
  <c r="I153" i="10"/>
  <c r="H153" i="10"/>
  <c r="G153" i="10"/>
  <c r="F153" i="10"/>
  <c r="E153" i="10"/>
  <c r="D153" i="10"/>
  <c r="M152" i="10"/>
  <c r="L152" i="10"/>
  <c r="K152" i="10"/>
  <c r="J152" i="10"/>
  <c r="I152" i="10"/>
  <c r="H152" i="10"/>
  <c r="G152" i="10"/>
  <c r="F152" i="10"/>
  <c r="E152" i="10"/>
  <c r="D152" i="10"/>
  <c r="M151" i="10"/>
  <c r="L151" i="10"/>
  <c r="K151" i="10"/>
  <c r="J151" i="10"/>
  <c r="I151" i="10"/>
  <c r="H151" i="10"/>
  <c r="G151" i="10"/>
  <c r="F151" i="10"/>
  <c r="E151" i="10"/>
  <c r="D151" i="10"/>
  <c r="M150" i="10"/>
  <c r="L150" i="10"/>
  <c r="K150" i="10"/>
  <c r="J150" i="10"/>
  <c r="I150" i="10"/>
  <c r="H150" i="10"/>
  <c r="G150" i="10"/>
  <c r="F150" i="10"/>
  <c r="E150" i="10"/>
  <c r="D150" i="10"/>
  <c r="M149" i="10"/>
  <c r="L149" i="10"/>
  <c r="K149" i="10"/>
  <c r="J149" i="10"/>
  <c r="I149" i="10"/>
  <c r="H149" i="10"/>
  <c r="G149" i="10"/>
  <c r="F149" i="10"/>
  <c r="E149" i="10"/>
  <c r="D149" i="10"/>
  <c r="M148" i="10"/>
  <c r="L148" i="10"/>
  <c r="K148" i="10"/>
  <c r="J148" i="10"/>
  <c r="I148" i="10"/>
  <c r="H148" i="10"/>
  <c r="G148" i="10"/>
  <c r="F148" i="10"/>
  <c r="E148" i="10"/>
  <c r="D148" i="10"/>
  <c r="M147" i="10"/>
  <c r="L147" i="10"/>
  <c r="K147" i="10"/>
  <c r="J147" i="10"/>
  <c r="I147" i="10"/>
  <c r="H147" i="10"/>
  <c r="G147" i="10"/>
  <c r="F147" i="10"/>
  <c r="E147" i="10"/>
  <c r="D147" i="10"/>
  <c r="M146" i="10"/>
  <c r="L146" i="10"/>
  <c r="K146" i="10"/>
  <c r="J146" i="10"/>
  <c r="I146" i="10"/>
  <c r="H146" i="10"/>
  <c r="G146" i="10"/>
  <c r="F146" i="10"/>
  <c r="E146" i="10"/>
  <c r="D146" i="10"/>
  <c r="M145" i="10"/>
  <c r="L145" i="10"/>
  <c r="K145" i="10"/>
  <c r="J145" i="10"/>
  <c r="I145" i="10"/>
  <c r="H145" i="10"/>
  <c r="G145" i="10"/>
  <c r="F145" i="10"/>
  <c r="E145" i="10"/>
  <c r="D145" i="10"/>
  <c r="M144" i="10"/>
  <c r="L144" i="10"/>
  <c r="K144" i="10"/>
  <c r="J144" i="10"/>
  <c r="I144" i="10"/>
  <c r="H144" i="10"/>
  <c r="G144" i="10"/>
  <c r="F144" i="10"/>
  <c r="E144" i="10"/>
  <c r="D144" i="10"/>
  <c r="M143" i="10"/>
  <c r="L143" i="10"/>
  <c r="K143" i="10"/>
  <c r="J143" i="10"/>
  <c r="I143" i="10"/>
  <c r="H143" i="10"/>
  <c r="G143" i="10"/>
  <c r="F143" i="10"/>
  <c r="E143" i="10"/>
  <c r="D143" i="10"/>
  <c r="M142" i="10"/>
  <c r="L142" i="10"/>
  <c r="K142" i="10"/>
  <c r="J142" i="10"/>
  <c r="I142" i="10"/>
  <c r="H142" i="10"/>
  <c r="G142" i="10"/>
  <c r="F142" i="10"/>
  <c r="E142" i="10"/>
  <c r="D142" i="10"/>
  <c r="M141" i="10"/>
  <c r="L141" i="10"/>
  <c r="K141" i="10"/>
  <c r="J141" i="10"/>
  <c r="I141" i="10"/>
  <c r="H141" i="10"/>
  <c r="G141" i="10"/>
  <c r="F141" i="10"/>
  <c r="E141" i="10"/>
  <c r="D141" i="10"/>
  <c r="M139" i="10"/>
  <c r="L139" i="10"/>
  <c r="K139" i="10"/>
  <c r="J139" i="10"/>
  <c r="I139" i="10"/>
  <c r="H139" i="10"/>
  <c r="G139" i="10"/>
  <c r="F139" i="10"/>
  <c r="E139" i="10"/>
  <c r="D139" i="10"/>
  <c r="M138" i="10"/>
  <c r="L138" i="10"/>
  <c r="K138" i="10"/>
  <c r="J138" i="10"/>
  <c r="I138" i="10"/>
  <c r="H138" i="10"/>
  <c r="G138" i="10"/>
  <c r="F138" i="10"/>
  <c r="E138" i="10"/>
  <c r="D138" i="10"/>
  <c r="M137" i="10"/>
  <c r="L137" i="10"/>
  <c r="K137" i="10"/>
  <c r="J137" i="10"/>
  <c r="I137" i="10"/>
  <c r="H137" i="10"/>
  <c r="G137" i="10"/>
  <c r="F137" i="10"/>
  <c r="E137" i="10"/>
  <c r="D137" i="10"/>
  <c r="M136" i="10"/>
  <c r="L136" i="10"/>
  <c r="K136" i="10"/>
  <c r="J136" i="10"/>
  <c r="I136" i="10"/>
  <c r="H136" i="10"/>
  <c r="G136" i="10"/>
  <c r="F136" i="10"/>
  <c r="E136" i="10"/>
  <c r="D136" i="10"/>
  <c r="M135" i="10"/>
  <c r="L135" i="10"/>
  <c r="K135" i="10"/>
  <c r="J135" i="10"/>
  <c r="I135" i="10"/>
  <c r="H135" i="10"/>
  <c r="G135" i="10"/>
  <c r="F135" i="10"/>
  <c r="E135" i="10"/>
  <c r="D135" i="10"/>
  <c r="M134" i="10"/>
  <c r="L134" i="10"/>
  <c r="K134" i="10"/>
  <c r="J134" i="10"/>
  <c r="I134" i="10"/>
  <c r="H134" i="10"/>
  <c r="G134" i="10"/>
  <c r="F134" i="10"/>
  <c r="E134" i="10"/>
  <c r="D134" i="10"/>
  <c r="M133" i="10"/>
  <c r="L133" i="10"/>
  <c r="K133" i="10"/>
  <c r="J133" i="10"/>
  <c r="I133" i="10"/>
  <c r="H133" i="10"/>
  <c r="G133" i="10"/>
  <c r="F133" i="10"/>
  <c r="E133" i="10"/>
  <c r="D133" i="10"/>
  <c r="M132" i="10"/>
  <c r="L132" i="10"/>
  <c r="K132" i="10"/>
  <c r="J132" i="10"/>
  <c r="I132" i="10"/>
  <c r="H132" i="10"/>
  <c r="G132" i="10"/>
  <c r="F132" i="10"/>
  <c r="E132" i="10"/>
  <c r="D132" i="10"/>
  <c r="M131" i="10"/>
  <c r="L131" i="10"/>
  <c r="K131" i="10"/>
  <c r="J131" i="10"/>
  <c r="I131" i="10"/>
  <c r="H131" i="10"/>
  <c r="G131" i="10"/>
  <c r="F131" i="10"/>
  <c r="E131" i="10"/>
  <c r="D131" i="10"/>
  <c r="M130" i="10"/>
  <c r="L130" i="10"/>
  <c r="K130" i="10"/>
  <c r="J130" i="10"/>
  <c r="I130" i="10"/>
  <c r="H130" i="10"/>
  <c r="G130" i="10"/>
  <c r="F130" i="10"/>
  <c r="E130" i="10"/>
  <c r="D130" i="10"/>
  <c r="M129" i="10"/>
  <c r="L129" i="10"/>
  <c r="K129" i="10"/>
  <c r="J129" i="10"/>
  <c r="I129" i="10"/>
  <c r="H129" i="10"/>
  <c r="G129" i="10"/>
  <c r="F129" i="10"/>
  <c r="E129" i="10"/>
  <c r="D129" i="10"/>
  <c r="M128" i="10"/>
  <c r="L128" i="10"/>
  <c r="K128" i="10"/>
  <c r="J128" i="10"/>
  <c r="I128" i="10"/>
  <c r="H128" i="10"/>
  <c r="G128" i="10"/>
  <c r="F128" i="10"/>
  <c r="E128" i="10"/>
  <c r="D128" i="10"/>
  <c r="M127" i="10"/>
  <c r="L127" i="10"/>
  <c r="K127" i="10"/>
  <c r="J127" i="10"/>
  <c r="I127" i="10"/>
  <c r="H127" i="10"/>
  <c r="G127" i="10"/>
  <c r="F127" i="10"/>
  <c r="E127" i="10"/>
  <c r="D127" i="10"/>
  <c r="M126" i="10"/>
  <c r="L126" i="10"/>
  <c r="K126" i="10"/>
  <c r="J126" i="10"/>
  <c r="I126" i="10"/>
  <c r="H126" i="10"/>
  <c r="G126" i="10"/>
  <c r="F126" i="10"/>
  <c r="E126" i="10"/>
  <c r="D126" i="10"/>
  <c r="M125" i="10"/>
  <c r="L125" i="10"/>
  <c r="K125" i="10"/>
  <c r="J125" i="10"/>
  <c r="I125" i="10"/>
  <c r="H125" i="10"/>
  <c r="G125" i="10"/>
  <c r="F125" i="10"/>
  <c r="E125" i="10"/>
  <c r="D125" i="10"/>
  <c r="M124" i="10"/>
  <c r="L124" i="10"/>
  <c r="K124" i="10"/>
  <c r="J124" i="10"/>
  <c r="I124" i="10"/>
  <c r="H124" i="10"/>
  <c r="G124" i="10"/>
  <c r="F124" i="10"/>
  <c r="E124" i="10"/>
  <c r="D124" i="10"/>
  <c r="M123" i="10"/>
  <c r="L123" i="10"/>
  <c r="K123" i="10"/>
  <c r="J123" i="10"/>
  <c r="I123" i="10"/>
  <c r="H123" i="10"/>
  <c r="G123" i="10"/>
  <c r="F123" i="10"/>
  <c r="E123" i="10"/>
  <c r="D123" i="10"/>
  <c r="M122" i="10"/>
  <c r="L122" i="10"/>
  <c r="K122" i="10"/>
  <c r="J122" i="10"/>
  <c r="I122" i="10"/>
  <c r="H122" i="10"/>
  <c r="G122" i="10"/>
  <c r="F122" i="10"/>
  <c r="E122" i="10"/>
  <c r="D122" i="10"/>
  <c r="M121" i="10"/>
  <c r="L121" i="10"/>
  <c r="K121" i="10"/>
  <c r="J121" i="10"/>
  <c r="I121" i="10"/>
  <c r="H121" i="10"/>
  <c r="G121" i="10"/>
  <c r="F121" i="10"/>
  <c r="E121" i="10"/>
  <c r="D121" i="10"/>
  <c r="M120" i="10"/>
  <c r="L120" i="10"/>
  <c r="K120" i="10"/>
  <c r="J120" i="10"/>
  <c r="I120" i="10"/>
  <c r="H120" i="10"/>
  <c r="G120" i="10"/>
  <c r="F120" i="10"/>
  <c r="E120" i="10"/>
  <c r="D120" i="10"/>
  <c r="M119" i="10"/>
  <c r="L119" i="10"/>
  <c r="K119" i="10"/>
  <c r="J119" i="10"/>
  <c r="I119" i="10"/>
  <c r="H119" i="10"/>
  <c r="G119" i="10"/>
  <c r="F119" i="10"/>
  <c r="E119" i="10"/>
  <c r="D119" i="10"/>
  <c r="M118" i="10"/>
  <c r="L118" i="10"/>
  <c r="K118" i="10"/>
  <c r="J118" i="10"/>
  <c r="I118" i="10"/>
  <c r="H118" i="10"/>
  <c r="G118" i="10"/>
  <c r="F118" i="10"/>
  <c r="E118" i="10"/>
  <c r="D118" i="10"/>
  <c r="M117" i="10"/>
  <c r="L117" i="10"/>
  <c r="K117" i="10"/>
  <c r="J117" i="10"/>
  <c r="I117" i="10"/>
  <c r="H117" i="10"/>
  <c r="G117" i="10"/>
  <c r="F117" i="10"/>
  <c r="E117" i="10"/>
  <c r="D117" i="10"/>
  <c r="M115" i="10"/>
  <c r="L115" i="10"/>
  <c r="K115" i="10"/>
  <c r="J115" i="10"/>
  <c r="I115" i="10"/>
  <c r="H115" i="10"/>
  <c r="G115" i="10"/>
  <c r="F115" i="10"/>
  <c r="E115" i="10"/>
  <c r="D115" i="10"/>
  <c r="M114" i="10"/>
  <c r="L114" i="10"/>
  <c r="K114" i="10"/>
  <c r="J114" i="10"/>
  <c r="I114" i="10"/>
  <c r="H114" i="10"/>
  <c r="G114" i="10"/>
  <c r="F114" i="10"/>
  <c r="E114" i="10"/>
  <c r="D114" i="10"/>
  <c r="M113" i="10"/>
  <c r="L113" i="10"/>
  <c r="K113" i="10"/>
  <c r="J113" i="10"/>
  <c r="I113" i="10"/>
  <c r="H113" i="10"/>
  <c r="G113" i="10"/>
  <c r="F113" i="10"/>
  <c r="E113" i="10"/>
  <c r="D113" i="10"/>
  <c r="M112" i="10"/>
  <c r="L112" i="10"/>
  <c r="K112" i="10"/>
  <c r="J112" i="10"/>
  <c r="I112" i="10"/>
  <c r="H112" i="10"/>
  <c r="G112" i="10"/>
  <c r="F112" i="10"/>
  <c r="E112" i="10"/>
  <c r="D112" i="10"/>
  <c r="M111" i="10"/>
  <c r="L111" i="10"/>
  <c r="K111" i="10"/>
  <c r="J111" i="10"/>
  <c r="I111" i="10"/>
  <c r="H111" i="10"/>
  <c r="G111" i="10"/>
  <c r="F111" i="10"/>
  <c r="E111" i="10"/>
  <c r="D111" i="10"/>
  <c r="M110" i="10"/>
  <c r="L110" i="10"/>
  <c r="K110" i="10"/>
  <c r="J110" i="10"/>
  <c r="I110" i="10"/>
  <c r="H110" i="10"/>
  <c r="G110" i="10"/>
  <c r="F110" i="10"/>
  <c r="E110" i="10"/>
  <c r="D110" i="10"/>
  <c r="M109" i="10"/>
  <c r="L109" i="10"/>
  <c r="K109" i="10"/>
  <c r="J109" i="10"/>
  <c r="I109" i="10"/>
  <c r="H109" i="10"/>
  <c r="G109" i="10"/>
  <c r="F109" i="10"/>
  <c r="E109" i="10"/>
  <c r="D109" i="10"/>
  <c r="M108" i="10"/>
  <c r="L108" i="10"/>
  <c r="K108" i="10"/>
  <c r="J108" i="10"/>
  <c r="I108" i="10"/>
  <c r="H108" i="10"/>
  <c r="G108" i="10"/>
  <c r="F108" i="10"/>
  <c r="E108" i="10"/>
  <c r="D108" i="10"/>
  <c r="M107" i="10"/>
  <c r="L107" i="10"/>
  <c r="K107" i="10"/>
  <c r="J107" i="10"/>
  <c r="I107" i="10"/>
  <c r="H107" i="10"/>
  <c r="G107" i="10"/>
  <c r="F107" i="10"/>
  <c r="E107" i="10"/>
  <c r="D107" i="10"/>
  <c r="M106" i="10"/>
  <c r="L106" i="10"/>
  <c r="K106" i="10"/>
  <c r="J106" i="10"/>
  <c r="I106" i="10"/>
  <c r="H106" i="10"/>
  <c r="G106" i="10"/>
  <c r="F106" i="10"/>
  <c r="E106" i="10"/>
  <c r="D106" i="10"/>
  <c r="M105" i="10"/>
  <c r="L105" i="10"/>
  <c r="K105" i="10"/>
  <c r="J105" i="10"/>
  <c r="I105" i="10"/>
  <c r="H105" i="10"/>
  <c r="G105" i="10"/>
  <c r="F105" i="10"/>
  <c r="E105" i="10"/>
  <c r="D105" i="10"/>
  <c r="M104" i="10"/>
  <c r="L104" i="10"/>
  <c r="K104" i="10"/>
  <c r="J104" i="10"/>
  <c r="I104" i="10"/>
  <c r="H104" i="10"/>
  <c r="G104" i="10"/>
  <c r="F104" i="10"/>
  <c r="E104" i="10"/>
  <c r="D104" i="10"/>
  <c r="M103" i="10"/>
  <c r="L103" i="10"/>
  <c r="K103" i="10"/>
  <c r="J103" i="10"/>
  <c r="I103" i="10"/>
  <c r="H103" i="10"/>
  <c r="G103" i="10"/>
  <c r="F103" i="10"/>
  <c r="E103" i="10"/>
  <c r="D103" i="10"/>
  <c r="M81" i="10"/>
  <c r="L81" i="10"/>
  <c r="K81" i="10"/>
  <c r="J81" i="10"/>
  <c r="I81" i="10"/>
  <c r="H81" i="10"/>
  <c r="G81" i="10"/>
  <c r="F81" i="10"/>
  <c r="E81" i="10"/>
  <c r="D81" i="10"/>
  <c r="M80" i="10"/>
  <c r="L80" i="10"/>
  <c r="K80" i="10"/>
  <c r="J80" i="10"/>
  <c r="I80" i="10"/>
  <c r="H80" i="10"/>
  <c r="G80" i="10"/>
  <c r="F80" i="10"/>
  <c r="E80" i="10"/>
  <c r="D80" i="10"/>
  <c r="M79" i="10"/>
  <c r="L79" i="10"/>
  <c r="K79" i="10"/>
  <c r="J79" i="10"/>
  <c r="I79" i="10"/>
  <c r="H79" i="10"/>
  <c r="G79" i="10"/>
  <c r="F79" i="10"/>
  <c r="E79" i="10"/>
  <c r="D79" i="10"/>
  <c r="M78" i="10"/>
  <c r="L78" i="10"/>
  <c r="K78" i="10"/>
  <c r="J78" i="10"/>
  <c r="I78" i="10"/>
  <c r="H78" i="10"/>
  <c r="G78" i="10"/>
  <c r="F78" i="10"/>
  <c r="E78" i="10"/>
  <c r="D78" i="10"/>
  <c r="M77" i="10"/>
  <c r="L77" i="10"/>
  <c r="K77" i="10"/>
  <c r="J77" i="10"/>
  <c r="I77" i="10"/>
  <c r="H77" i="10"/>
  <c r="G77" i="10"/>
  <c r="F77" i="10"/>
  <c r="E77" i="10"/>
  <c r="D77" i="10"/>
  <c r="M76" i="10"/>
  <c r="L76" i="10"/>
  <c r="K76" i="10"/>
  <c r="J76" i="10"/>
  <c r="I76" i="10"/>
  <c r="H76" i="10"/>
  <c r="G76" i="10"/>
  <c r="F76" i="10"/>
  <c r="E76" i="10"/>
  <c r="D76" i="10"/>
  <c r="M75" i="10"/>
  <c r="L75" i="10"/>
  <c r="K75" i="10"/>
  <c r="J75" i="10"/>
  <c r="I75" i="10"/>
  <c r="H75" i="10"/>
  <c r="G75" i="10"/>
  <c r="F75" i="10"/>
  <c r="E75" i="10"/>
  <c r="D75" i="10"/>
  <c r="M74" i="10"/>
  <c r="L74" i="10"/>
  <c r="K74" i="10"/>
  <c r="J74" i="10"/>
  <c r="I74" i="10"/>
  <c r="H74" i="10"/>
  <c r="G74" i="10"/>
  <c r="F74" i="10"/>
  <c r="E74" i="10"/>
  <c r="D74" i="10"/>
  <c r="M73" i="10"/>
  <c r="L73" i="10"/>
  <c r="K73" i="10"/>
  <c r="J73" i="10"/>
  <c r="I73" i="10"/>
  <c r="H73" i="10"/>
  <c r="G73" i="10"/>
  <c r="F73" i="10"/>
  <c r="E73" i="10"/>
  <c r="D73" i="10"/>
  <c r="M72" i="10"/>
  <c r="L72" i="10"/>
  <c r="K72" i="10"/>
  <c r="J72" i="10"/>
  <c r="I72" i="10"/>
  <c r="H72" i="10"/>
  <c r="G72" i="10"/>
  <c r="F72" i="10"/>
  <c r="E72" i="10"/>
  <c r="D72" i="10"/>
  <c r="M71" i="10"/>
  <c r="L71" i="10"/>
  <c r="K71" i="10"/>
  <c r="J71" i="10"/>
  <c r="I71" i="10"/>
  <c r="H71" i="10"/>
  <c r="G71" i="10"/>
  <c r="F71" i="10"/>
  <c r="E71" i="10"/>
  <c r="D71" i="10"/>
  <c r="M70" i="10"/>
  <c r="L70" i="10"/>
  <c r="K70" i="10"/>
  <c r="J70" i="10"/>
  <c r="I70" i="10"/>
  <c r="H70" i="10"/>
  <c r="G70" i="10"/>
  <c r="F70" i="10"/>
  <c r="E70" i="10"/>
  <c r="D70" i="10"/>
  <c r="M69" i="10"/>
  <c r="L69" i="10"/>
  <c r="K69" i="10"/>
  <c r="J69" i="10"/>
  <c r="I69" i="10"/>
  <c r="H69" i="10"/>
  <c r="G69" i="10"/>
  <c r="F69" i="10"/>
  <c r="E69" i="10"/>
  <c r="D69" i="10"/>
  <c r="M68" i="10"/>
  <c r="L68" i="10"/>
  <c r="K68" i="10"/>
  <c r="J68" i="10"/>
  <c r="I68" i="10"/>
  <c r="H68" i="10"/>
  <c r="G68" i="10"/>
  <c r="F68" i="10"/>
  <c r="E68" i="10"/>
  <c r="D68" i="10"/>
  <c r="M67" i="10"/>
  <c r="L67" i="10"/>
  <c r="K67" i="10"/>
  <c r="J67" i="10"/>
  <c r="I67" i="10"/>
  <c r="H67" i="10"/>
  <c r="G67" i="10"/>
  <c r="F67" i="10"/>
  <c r="E67" i="10"/>
  <c r="D67" i="10"/>
  <c r="M66" i="10"/>
  <c r="L66" i="10"/>
  <c r="K66" i="10"/>
  <c r="J66" i="10"/>
  <c r="I66" i="10"/>
  <c r="H66" i="10"/>
  <c r="G66" i="10"/>
  <c r="F66" i="10"/>
  <c r="E66" i="10"/>
  <c r="D66" i="10"/>
  <c r="M65" i="10"/>
  <c r="L65" i="10"/>
  <c r="K65" i="10"/>
  <c r="J65" i="10"/>
  <c r="I65" i="10"/>
  <c r="H65" i="10"/>
  <c r="G65" i="10"/>
  <c r="F65" i="10"/>
  <c r="E65" i="10"/>
  <c r="D65" i="10"/>
  <c r="M64" i="10"/>
  <c r="L64" i="10"/>
  <c r="K64" i="10"/>
  <c r="J64" i="10"/>
  <c r="I64" i="10"/>
  <c r="H64" i="10"/>
  <c r="G64" i="10"/>
  <c r="F64" i="10"/>
  <c r="E64" i="10"/>
  <c r="D64" i="10"/>
  <c r="M63" i="10"/>
  <c r="L63" i="10"/>
  <c r="K63" i="10"/>
  <c r="J63" i="10"/>
  <c r="I63" i="10"/>
  <c r="H63" i="10"/>
  <c r="G63" i="10"/>
  <c r="F63" i="10"/>
  <c r="E63" i="10"/>
  <c r="D63" i="10"/>
  <c r="M62" i="10"/>
  <c r="L62" i="10"/>
  <c r="K62" i="10"/>
  <c r="J62" i="10"/>
  <c r="I62" i="10"/>
  <c r="H62" i="10"/>
  <c r="G62" i="10"/>
  <c r="F62" i="10"/>
  <c r="E62" i="10"/>
  <c r="D62" i="10"/>
  <c r="M61" i="10"/>
  <c r="L61" i="10"/>
  <c r="K61" i="10"/>
  <c r="J61" i="10"/>
  <c r="I61" i="10"/>
  <c r="H61" i="10"/>
  <c r="G61" i="10"/>
  <c r="F61" i="10"/>
  <c r="E61" i="10"/>
  <c r="D61" i="10"/>
  <c r="M60" i="10"/>
  <c r="L60" i="10"/>
  <c r="K60" i="10"/>
  <c r="J60" i="10"/>
  <c r="I60" i="10"/>
  <c r="H60" i="10"/>
  <c r="G60" i="10"/>
  <c r="F60" i="10"/>
  <c r="E60" i="10"/>
  <c r="D60" i="10"/>
  <c r="M59" i="10"/>
  <c r="L59" i="10"/>
  <c r="K59" i="10"/>
  <c r="J59" i="10"/>
  <c r="I59" i="10"/>
  <c r="H59" i="10"/>
  <c r="G59" i="10"/>
  <c r="F59" i="10"/>
  <c r="E59" i="10"/>
  <c r="D59" i="10"/>
  <c r="M58" i="10"/>
  <c r="L58" i="10"/>
  <c r="K58" i="10"/>
  <c r="J58" i="10"/>
  <c r="I58" i="10"/>
  <c r="H58" i="10"/>
  <c r="G58" i="10"/>
  <c r="F58" i="10"/>
  <c r="E58" i="10"/>
  <c r="D58" i="10"/>
  <c r="M57" i="10"/>
  <c r="L57" i="10"/>
  <c r="K57" i="10"/>
  <c r="J57" i="10"/>
  <c r="I57" i="10"/>
  <c r="H57" i="10"/>
  <c r="G57" i="10"/>
  <c r="F57" i="10"/>
  <c r="E57" i="10"/>
  <c r="D57" i="10"/>
  <c r="M56" i="10"/>
  <c r="L56" i="10"/>
  <c r="K56" i="10"/>
  <c r="J56" i="10"/>
  <c r="I56" i="10"/>
  <c r="H56" i="10"/>
  <c r="G56" i="10"/>
  <c r="F56" i="10"/>
  <c r="E56" i="10"/>
  <c r="D56" i="10"/>
  <c r="M55" i="10"/>
  <c r="L55" i="10"/>
  <c r="K55" i="10"/>
  <c r="J55" i="10"/>
  <c r="I55" i="10"/>
  <c r="H55" i="10"/>
  <c r="G55" i="10"/>
  <c r="F55" i="10"/>
  <c r="E55" i="10"/>
  <c r="D55" i="10"/>
  <c r="M54" i="10"/>
  <c r="L54" i="10"/>
  <c r="K54" i="10"/>
  <c r="J54" i="10"/>
  <c r="I54" i="10"/>
  <c r="H54" i="10"/>
  <c r="G54" i="10"/>
  <c r="F54" i="10"/>
  <c r="E54" i="10"/>
  <c r="D54" i="10"/>
  <c r="M53" i="10"/>
  <c r="L53" i="10"/>
  <c r="K53" i="10"/>
  <c r="J53" i="10"/>
  <c r="I53" i="10"/>
  <c r="H53" i="10"/>
  <c r="G53" i="10"/>
  <c r="F53" i="10"/>
  <c r="E53" i="10"/>
  <c r="D53" i="10"/>
  <c r="M52" i="10"/>
  <c r="L52" i="10"/>
  <c r="K52" i="10"/>
  <c r="J52" i="10"/>
  <c r="I52" i="10"/>
  <c r="H52" i="10"/>
  <c r="G52" i="10"/>
  <c r="F52" i="10"/>
  <c r="E52" i="10"/>
  <c r="D52" i="10"/>
  <c r="M51" i="10"/>
  <c r="L51" i="10"/>
  <c r="K51" i="10"/>
  <c r="J51" i="10"/>
  <c r="I51" i="10"/>
  <c r="H51" i="10"/>
  <c r="G51" i="10"/>
  <c r="F51" i="10"/>
  <c r="E51" i="10"/>
  <c r="D51" i="10"/>
  <c r="M50" i="10"/>
  <c r="L50" i="10"/>
  <c r="K50" i="10"/>
  <c r="J50" i="10"/>
  <c r="I50" i="10"/>
  <c r="H50" i="10"/>
  <c r="G50" i="10"/>
  <c r="F50" i="10"/>
  <c r="E50" i="10"/>
  <c r="D50" i="10"/>
  <c r="M49" i="10"/>
  <c r="L49" i="10"/>
  <c r="K49" i="10"/>
  <c r="J49" i="10"/>
  <c r="I49" i="10"/>
  <c r="H49" i="10"/>
  <c r="G49" i="10"/>
  <c r="F49" i="10"/>
  <c r="E49" i="10"/>
  <c r="D49" i="10"/>
  <c r="M48" i="10"/>
  <c r="L48" i="10"/>
  <c r="K48" i="10"/>
  <c r="J48" i="10"/>
  <c r="I48" i="10"/>
  <c r="H48" i="10"/>
  <c r="G48" i="10"/>
  <c r="F48" i="10"/>
  <c r="E48" i="10"/>
  <c r="D48" i="10"/>
  <c r="M47" i="10"/>
  <c r="L47" i="10"/>
  <c r="K47" i="10"/>
  <c r="J47" i="10"/>
  <c r="I47" i="10"/>
  <c r="H47" i="10"/>
  <c r="G47" i="10"/>
  <c r="F47" i="10"/>
  <c r="E47" i="10"/>
  <c r="D47" i="10"/>
  <c r="M45" i="10"/>
  <c r="L45" i="10"/>
  <c r="K45" i="10"/>
  <c r="J45" i="10"/>
  <c r="I45" i="10"/>
  <c r="H45" i="10"/>
  <c r="G45" i="10"/>
  <c r="F45" i="10"/>
  <c r="E45" i="10"/>
  <c r="D45" i="10"/>
  <c r="M44" i="10"/>
  <c r="L44" i="10"/>
  <c r="K44" i="10"/>
  <c r="J44" i="10"/>
  <c r="I44" i="10"/>
  <c r="H44" i="10"/>
  <c r="G44" i="10"/>
  <c r="F44" i="10"/>
  <c r="E44" i="10"/>
  <c r="D44" i="10"/>
  <c r="M43" i="10"/>
  <c r="L43" i="10"/>
  <c r="K43" i="10"/>
  <c r="J43" i="10"/>
  <c r="I43" i="10"/>
  <c r="H43" i="10"/>
  <c r="G43" i="10"/>
  <c r="F43" i="10"/>
  <c r="E43" i="10"/>
  <c r="D43" i="10"/>
  <c r="M42" i="10"/>
  <c r="L42" i="10"/>
  <c r="K42" i="10"/>
  <c r="J42" i="10"/>
  <c r="I42" i="10"/>
  <c r="H42" i="10"/>
  <c r="G42" i="10"/>
  <c r="F42" i="10"/>
  <c r="E42" i="10"/>
  <c r="D42" i="10"/>
  <c r="M41" i="10"/>
  <c r="L41" i="10"/>
  <c r="K41" i="10"/>
  <c r="J41" i="10"/>
  <c r="I41" i="10"/>
  <c r="H41" i="10"/>
  <c r="G41" i="10"/>
  <c r="F41" i="10"/>
  <c r="E41" i="10"/>
  <c r="D41" i="10"/>
  <c r="M40" i="10"/>
  <c r="L40" i="10"/>
  <c r="K40" i="10"/>
  <c r="J40" i="10"/>
  <c r="I40" i="10"/>
  <c r="H40" i="10"/>
  <c r="G40" i="10"/>
  <c r="F40" i="10"/>
  <c r="E40" i="10"/>
  <c r="D40" i="10"/>
  <c r="M39" i="10"/>
  <c r="L39" i="10"/>
  <c r="K39" i="10"/>
  <c r="J39" i="10"/>
  <c r="I39" i="10"/>
  <c r="H39" i="10"/>
  <c r="G39" i="10"/>
  <c r="F39" i="10"/>
  <c r="E39" i="10"/>
  <c r="D39" i="10"/>
  <c r="M38" i="10"/>
  <c r="L38" i="10"/>
  <c r="K38" i="10"/>
  <c r="J38" i="10"/>
  <c r="I38" i="10"/>
  <c r="H38" i="10"/>
  <c r="G38" i="10"/>
  <c r="F38" i="10"/>
  <c r="E38" i="10"/>
  <c r="D38" i="10"/>
  <c r="M37" i="10"/>
  <c r="L37" i="10"/>
  <c r="K37" i="10"/>
  <c r="J37" i="10"/>
  <c r="I37" i="10"/>
  <c r="H37" i="10"/>
  <c r="G37" i="10"/>
  <c r="F37" i="10"/>
  <c r="E37" i="10"/>
  <c r="D37" i="10"/>
  <c r="M36" i="10"/>
  <c r="L36" i="10"/>
  <c r="K36" i="10"/>
  <c r="J36" i="10"/>
  <c r="I36" i="10"/>
  <c r="H36" i="10"/>
  <c r="G36" i="10"/>
  <c r="F36" i="10"/>
  <c r="E36" i="10"/>
  <c r="D36" i="10"/>
  <c r="M35" i="10"/>
  <c r="L35" i="10"/>
  <c r="K35" i="10"/>
  <c r="J35" i="10"/>
  <c r="I35" i="10"/>
  <c r="H35" i="10"/>
  <c r="G35" i="10"/>
  <c r="F35" i="10"/>
  <c r="E35" i="10"/>
  <c r="D35" i="10"/>
  <c r="M34" i="10"/>
  <c r="L34" i="10"/>
  <c r="K34" i="10"/>
  <c r="J34" i="10"/>
  <c r="I34" i="10"/>
  <c r="H34" i="10"/>
  <c r="G34" i="10"/>
  <c r="F34" i="10"/>
  <c r="E34" i="10"/>
  <c r="D34" i="10"/>
  <c r="M33" i="10"/>
  <c r="L33" i="10"/>
  <c r="K33" i="10"/>
  <c r="J33" i="10"/>
  <c r="I33" i="10"/>
  <c r="H33" i="10"/>
  <c r="G33" i="10"/>
  <c r="F33" i="10"/>
  <c r="E33" i="10"/>
  <c r="D33" i="10"/>
  <c r="K32" i="10"/>
  <c r="I32" i="10"/>
  <c r="G32" i="10"/>
  <c r="E32" i="10"/>
  <c r="AA81" i="10"/>
  <c r="AA80" i="10"/>
  <c r="AA79" i="10"/>
  <c r="AA78" i="10"/>
  <c r="AA77" i="10"/>
  <c r="AA76" i="10"/>
  <c r="AA75" i="10"/>
  <c r="AA74" i="10"/>
  <c r="AA73" i="10"/>
  <c r="AA72" i="10"/>
  <c r="AA71" i="10"/>
  <c r="AA70" i="10"/>
  <c r="AA69" i="10"/>
  <c r="AA68" i="10"/>
  <c r="AA67" i="10"/>
  <c r="AA66" i="10"/>
  <c r="AA65" i="10"/>
  <c r="AA64" i="10"/>
  <c r="AA63" i="10"/>
  <c r="AA62" i="10"/>
  <c r="AA61" i="10"/>
  <c r="AA60" i="10"/>
  <c r="AA59" i="10"/>
  <c r="AA58" i="10"/>
  <c r="AA57" i="10"/>
  <c r="AA56" i="10"/>
  <c r="AA55" i="10"/>
  <c r="AA54" i="10"/>
  <c r="AA53" i="10"/>
  <c r="AA52" i="10"/>
  <c r="AA51" i="10"/>
  <c r="AA50" i="10"/>
  <c r="AA49" i="10"/>
  <c r="AA48" i="10"/>
  <c r="AA47" i="10"/>
  <c r="W45" i="10"/>
  <c r="W44" i="10"/>
  <c r="W43" i="10"/>
  <c r="W42" i="10"/>
  <c r="W41" i="10"/>
  <c r="W40" i="10"/>
  <c r="W39" i="10"/>
  <c r="W38" i="10"/>
  <c r="W37" i="10"/>
  <c r="W36" i="10"/>
  <c r="W35" i="10"/>
  <c r="W34" i="10"/>
  <c r="W33" i="10"/>
  <c r="W32" i="10"/>
  <c r="M32" i="10"/>
  <c r="L32" i="10"/>
  <c r="J32" i="10"/>
  <c r="H32" i="10"/>
  <c r="F32" i="10"/>
  <c r="D32" i="10"/>
  <c r="I26" i="10"/>
  <c r="H26" i="10"/>
  <c r="G26" i="10"/>
  <c r="F26" i="10"/>
  <c r="E26" i="10"/>
  <c r="D26" i="10"/>
  <c r="I16" i="10"/>
  <c r="H16" i="10"/>
  <c r="G16" i="10"/>
  <c r="F16" i="10"/>
  <c r="E16" i="10"/>
  <c r="D16" i="10"/>
  <c r="W96" i="10" s="1"/>
  <c r="I21" i="10"/>
  <c r="H21" i="10"/>
  <c r="G21" i="10"/>
  <c r="F21" i="10"/>
  <c r="E21" i="10"/>
  <c r="D21" i="10"/>
  <c r="I19" i="10"/>
  <c r="H19" i="10"/>
  <c r="G19" i="10"/>
  <c r="F19" i="10"/>
  <c r="E19" i="10"/>
  <c r="D19" i="10"/>
  <c r="I18" i="10"/>
  <c r="H18" i="10"/>
  <c r="G18" i="10"/>
  <c r="F18" i="10"/>
  <c r="E18" i="10"/>
  <c r="D18" i="10"/>
  <c r="I15" i="10"/>
  <c r="H15" i="10"/>
  <c r="G15" i="10"/>
  <c r="F15" i="10"/>
  <c r="E15" i="10"/>
  <c r="D15" i="10"/>
  <c r="W81" i="10" s="1"/>
  <c r="H2" i="11"/>
  <c r="D2" i="11"/>
  <c r="E2" i="11" s="1"/>
  <c r="H3" i="11"/>
  <c r="H4" i="11"/>
  <c r="H5" i="11"/>
  <c r="H6" i="11"/>
  <c r="H7" i="11"/>
  <c r="H8" i="11"/>
  <c r="H9" i="11"/>
  <c r="H10" i="11"/>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52" i="13"/>
  <c r="N51" i="13"/>
  <c r="N50" i="13"/>
  <c r="N49" i="13"/>
  <c r="N48" i="13"/>
  <c r="N47" i="13"/>
  <c r="N46" i="13"/>
  <c r="N45" i="13"/>
  <c r="N44" i="13"/>
  <c r="N43" i="13"/>
  <c r="N42" i="13"/>
  <c r="N41" i="13"/>
  <c r="N40" i="13"/>
  <c r="N39" i="13"/>
  <c r="N3" i="13"/>
  <c r="N4" i="13"/>
  <c r="N5" i="13"/>
  <c r="N6" i="13"/>
  <c r="N7" i="13"/>
  <c r="N8" i="13"/>
  <c r="A37" i="13"/>
  <c r="A38" i="13"/>
  <c r="A53"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 i="13"/>
  <c r="Q751" i="13"/>
  <c r="Q750" i="13"/>
  <c r="Q749" i="13"/>
  <c r="Q748" i="13"/>
  <c r="Q747" i="13"/>
  <c r="Q746" i="13"/>
  <c r="Q745" i="13"/>
  <c r="Q744" i="13"/>
  <c r="Q743" i="13"/>
  <c r="Q742" i="13"/>
  <c r="Q741" i="13"/>
  <c r="Q740" i="13"/>
  <c r="Q739" i="13"/>
  <c r="Q738" i="13"/>
  <c r="Q737" i="13"/>
  <c r="Q736" i="13"/>
  <c r="Q735" i="13"/>
  <c r="Q734" i="13"/>
  <c r="Q733" i="13"/>
  <c r="Q732" i="13"/>
  <c r="Q731" i="13"/>
  <c r="Q730" i="13"/>
  <c r="Q729" i="13"/>
  <c r="Q728" i="13"/>
  <c r="Q727" i="13"/>
  <c r="Q726" i="13"/>
  <c r="Q725" i="13"/>
  <c r="Q724" i="13"/>
  <c r="Q723" i="13"/>
  <c r="Q722" i="13"/>
  <c r="Q721" i="13"/>
  <c r="Q720" i="13"/>
  <c r="Q719" i="13"/>
  <c r="Q718" i="13"/>
  <c r="Q717" i="13"/>
  <c r="Q716" i="13"/>
  <c r="Q715" i="13"/>
  <c r="Q714" i="13"/>
  <c r="Q713" i="13"/>
  <c r="Q712" i="13"/>
  <c r="Q711" i="13"/>
  <c r="Q710" i="13"/>
  <c r="Q709" i="13"/>
  <c r="Q708" i="13"/>
  <c r="Q707" i="13"/>
  <c r="Q706" i="13"/>
  <c r="Q705" i="13"/>
  <c r="Q704" i="13"/>
  <c r="Q703" i="13"/>
  <c r="Q702" i="13"/>
  <c r="Q701" i="13"/>
  <c r="Q700" i="13"/>
  <c r="Q699" i="13"/>
  <c r="Q698" i="13"/>
  <c r="Q697" i="13"/>
  <c r="Q696" i="13"/>
  <c r="Q695" i="13"/>
  <c r="Q694" i="13"/>
  <c r="Q693" i="13"/>
  <c r="Q692" i="13"/>
  <c r="Q691" i="13"/>
  <c r="Q690" i="13"/>
  <c r="Q689" i="13"/>
  <c r="Q688" i="13"/>
  <c r="Q687" i="13"/>
  <c r="Q686" i="13"/>
  <c r="Q685" i="13"/>
  <c r="Q684" i="13"/>
  <c r="Q683" i="13"/>
  <c r="Q682" i="13"/>
  <c r="Q681" i="13"/>
  <c r="Q680" i="13"/>
  <c r="Q679" i="13"/>
  <c r="Q678" i="13"/>
  <c r="Q677" i="13"/>
  <c r="Q676" i="13"/>
  <c r="Q675" i="13"/>
  <c r="Q674" i="13"/>
  <c r="Q673" i="13"/>
  <c r="Q672" i="13"/>
  <c r="Q671" i="13"/>
  <c r="Q670" i="13"/>
  <c r="Q669" i="13"/>
  <c r="Q668" i="13"/>
  <c r="Q667" i="13"/>
  <c r="Q666" i="13"/>
  <c r="Q665" i="13"/>
  <c r="Q664" i="13"/>
  <c r="Q663" i="13"/>
  <c r="Q662" i="13"/>
  <c r="Q661" i="13"/>
  <c r="Q660" i="13"/>
  <c r="Q659" i="13"/>
  <c r="Q658" i="13"/>
  <c r="Q657" i="13"/>
  <c r="Q656" i="13"/>
  <c r="Q655" i="13"/>
  <c r="Q654" i="13"/>
  <c r="Q653" i="13"/>
  <c r="Q652" i="13"/>
  <c r="Q651" i="13"/>
  <c r="Q650" i="13"/>
  <c r="Q649" i="13"/>
  <c r="Q648" i="13"/>
  <c r="Q647" i="13"/>
  <c r="Q646" i="13"/>
  <c r="Q645" i="13"/>
  <c r="Q644" i="13"/>
  <c r="Q643" i="13"/>
  <c r="Q642" i="13"/>
  <c r="Q641" i="13"/>
  <c r="Q640" i="13"/>
  <c r="Q639" i="13"/>
  <c r="Q638" i="13"/>
  <c r="Q637" i="13"/>
  <c r="Q636" i="13"/>
  <c r="Q635" i="13"/>
  <c r="Q634" i="13"/>
  <c r="Q633" i="13"/>
  <c r="Q632" i="13"/>
  <c r="Q631" i="13"/>
  <c r="Q630" i="13"/>
  <c r="Q629" i="13"/>
  <c r="Q628" i="13"/>
  <c r="Q627" i="13"/>
  <c r="Q626" i="13"/>
  <c r="Q625" i="13"/>
  <c r="Q624" i="13"/>
  <c r="Q623" i="13"/>
  <c r="Q622" i="13"/>
  <c r="Q621" i="13"/>
  <c r="Q620" i="13"/>
  <c r="Q619" i="13"/>
  <c r="Q618" i="13"/>
  <c r="Q617" i="13"/>
  <c r="Q616" i="13"/>
  <c r="Q615" i="13"/>
  <c r="Q614" i="13"/>
  <c r="Q613" i="13"/>
  <c r="Q612" i="13"/>
  <c r="Q611" i="13"/>
  <c r="Q610" i="13"/>
  <c r="Q609" i="13"/>
  <c r="Q608" i="13"/>
  <c r="Q607" i="13"/>
  <c r="Q606" i="13"/>
  <c r="Q605" i="13"/>
  <c r="Q604" i="13"/>
  <c r="Q603" i="13"/>
  <c r="Q602" i="13"/>
  <c r="Q601" i="13"/>
  <c r="Q600" i="13"/>
  <c r="Q599" i="13"/>
  <c r="Q598" i="13"/>
  <c r="Q597" i="13"/>
  <c r="Q596" i="13"/>
  <c r="Q595" i="13"/>
  <c r="Q594" i="13"/>
  <c r="Q593" i="13"/>
  <c r="Q592" i="13"/>
  <c r="Q591" i="13"/>
  <c r="Q590" i="13"/>
  <c r="Q589" i="13"/>
  <c r="Q588" i="13"/>
  <c r="Q587" i="13"/>
  <c r="Q586" i="13"/>
  <c r="Q585" i="13"/>
  <c r="Q584" i="13"/>
  <c r="Q583" i="13"/>
  <c r="Q582" i="13"/>
  <c r="Q581" i="13"/>
  <c r="Q580" i="13"/>
  <c r="Q579" i="13"/>
  <c r="Q578" i="13"/>
  <c r="Q577" i="13"/>
  <c r="Q576" i="13"/>
  <c r="Q575" i="13"/>
  <c r="Q574" i="13"/>
  <c r="S573" i="13"/>
  <c r="Q573" i="13"/>
  <c r="S572" i="13"/>
  <c r="Q572" i="13"/>
  <c r="S571" i="13"/>
  <c r="Q571" i="13"/>
  <c r="S570" i="13"/>
  <c r="Q570" i="13"/>
  <c r="S569" i="13"/>
  <c r="Q569" i="13"/>
  <c r="S568" i="13"/>
  <c r="Q568" i="13"/>
  <c r="S567" i="13"/>
  <c r="Q567" i="13"/>
  <c r="S566" i="13"/>
  <c r="Q566" i="13"/>
  <c r="S565" i="13"/>
  <c r="Q565" i="13"/>
  <c r="S564" i="13"/>
  <c r="Q564" i="13"/>
  <c r="S563" i="13"/>
  <c r="Q563" i="13"/>
  <c r="S562" i="13"/>
  <c r="Q562" i="13"/>
  <c r="S561" i="13"/>
  <c r="Q561" i="13"/>
  <c r="S560" i="13"/>
  <c r="Q560" i="13"/>
  <c r="S559" i="13"/>
  <c r="Q559" i="13"/>
  <c r="S558" i="13"/>
  <c r="Q558" i="13"/>
  <c r="S557" i="13"/>
  <c r="Q557" i="13"/>
  <c r="S556" i="13"/>
  <c r="Q556" i="13"/>
  <c r="S555" i="13"/>
  <c r="Q555" i="13"/>
  <c r="S554" i="13"/>
  <c r="Q554" i="13"/>
  <c r="S553" i="13"/>
  <c r="Q553" i="13"/>
  <c r="S552" i="13"/>
  <c r="Q552" i="13"/>
  <c r="S551" i="13"/>
  <c r="Q551" i="13"/>
  <c r="S550" i="13"/>
  <c r="Q550" i="13"/>
  <c r="S549" i="13"/>
  <c r="Q549" i="13"/>
  <c r="S548" i="13"/>
  <c r="Q548" i="13"/>
  <c r="S547" i="13"/>
  <c r="Q547" i="13"/>
  <c r="S546" i="13"/>
  <c r="Q546" i="13"/>
  <c r="S545" i="13"/>
  <c r="Q545" i="13"/>
  <c r="S544" i="13"/>
  <c r="Q544" i="13"/>
  <c r="S543" i="13"/>
  <c r="Q543" i="13"/>
  <c r="S542" i="13"/>
  <c r="Q542" i="13"/>
  <c r="S541" i="13"/>
  <c r="Q541" i="13"/>
  <c r="S540" i="13"/>
  <c r="Q540" i="13"/>
  <c r="S539" i="13"/>
  <c r="Q539" i="13"/>
  <c r="S538" i="13"/>
  <c r="Q538" i="13"/>
  <c r="S537" i="13"/>
  <c r="Q537" i="13"/>
  <c r="S536" i="13"/>
  <c r="Q536" i="13"/>
  <c r="S535" i="13"/>
  <c r="Q535" i="13"/>
  <c r="S534" i="13"/>
  <c r="Q534" i="13"/>
  <c r="S533" i="13"/>
  <c r="Q533" i="13"/>
  <c r="S532" i="13"/>
  <c r="Q532" i="13"/>
  <c r="S531" i="13"/>
  <c r="Q531" i="13"/>
  <c r="S530" i="13"/>
  <c r="Q530" i="13"/>
  <c r="S529" i="13"/>
  <c r="Q529" i="13"/>
  <c r="Q528" i="13"/>
  <c r="S527" i="13"/>
  <c r="Q527" i="13"/>
  <c r="S526" i="13"/>
  <c r="Q526" i="13"/>
  <c r="S525" i="13"/>
  <c r="Q525" i="13"/>
  <c r="S524" i="13"/>
  <c r="Q524" i="13"/>
  <c r="S523" i="13"/>
  <c r="Q523" i="13"/>
  <c r="S522" i="13"/>
  <c r="Q522" i="13"/>
  <c r="S521" i="13"/>
  <c r="Q521" i="13"/>
  <c r="S520" i="13"/>
  <c r="Q520" i="13"/>
  <c r="S519" i="13"/>
  <c r="Q519" i="13"/>
  <c r="S518" i="13"/>
  <c r="Q518" i="13"/>
  <c r="S517" i="13"/>
  <c r="Q517" i="13"/>
  <c r="S516" i="13"/>
  <c r="Q516" i="13"/>
  <c r="S515" i="13"/>
  <c r="Q515" i="13"/>
  <c r="S514" i="13"/>
  <c r="Q514" i="13"/>
  <c r="S513" i="13"/>
  <c r="Q513" i="13"/>
  <c r="S512" i="13"/>
  <c r="Q512" i="13"/>
  <c r="S511" i="13"/>
  <c r="Q511" i="13"/>
  <c r="S510" i="13"/>
  <c r="Q510" i="13"/>
  <c r="S509" i="13"/>
  <c r="Q509" i="13"/>
  <c r="S508" i="13"/>
  <c r="Q508" i="13"/>
  <c r="S507" i="13"/>
  <c r="Q507" i="13"/>
  <c r="S506" i="13"/>
  <c r="Q506" i="13"/>
  <c r="S505" i="13"/>
  <c r="Q505" i="13"/>
  <c r="S504" i="13"/>
  <c r="Q504" i="13"/>
  <c r="S503" i="13"/>
  <c r="Q503" i="13"/>
  <c r="S502" i="13"/>
  <c r="Q502" i="13"/>
  <c r="S501" i="13"/>
  <c r="Q501" i="13"/>
  <c r="S500" i="13"/>
  <c r="Q500" i="13"/>
  <c r="S499" i="13"/>
  <c r="Q499" i="13"/>
  <c r="S498" i="13"/>
  <c r="Q498" i="13"/>
  <c r="S497" i="13"/>
  <c r="Q497" i="13"/>
  <c r="S496" i="13"/>
  <c r="Q496" i="13"/>
  <c r="S495" i="13"/>
  <c r="Q495" i="13"/>
  <c r="S494" i="13"/>
  <c r="Q494" i="13"/>
  <c r="S493" i="13"/>
  <c r="Q493" i="13"/>
  <c r="S492" i="13"/>
  <c r="Q492" i="13"/>
  <c r="S491" i="13"/>
  <c r="Q491" i="13"/>
  <c r="S490" i="13"/>
  <c r="Q490" i="13"/>
  <c r="S489" i="13"/>
  <c r="Q489" i="13"/>
  <c r="S488" i="13"/>
  <c r="Q488" i="13"/>
  <c r="Q487" i="13"/>
  <c r="S486" i="13"/>
  <c r="Q486" i="13"/>
  <c r="S485" i="13"/>
  <c r="Q485" i="13"/>
  <c r="S484" i="13"/>
  <c r="Q484" i="13"/>
  <c r="S483" i="13"/>
  <c r="Q483" i="13"/>
  <c r="S482" i="13"/>
  <c r="Q482" i="13"/>
  <c r="S481" i="13"/>
  <c r="Q481" i="13"/>
  <c r="S480" i="13"/>
  <c r="Q480" i="13"/>
  <c r="S479" i="13"/>
  <c r="Q479" i="13"/>
  <c r="S478" i="13"/>
  <c r="Q478" i="13"/>
  <c r="S477" i="13"/>
  <c r="Q477" i="13"/>
  <c r="Q476" i="13"/>
  <c r="Q475" i="13"/>
  <c r="Q474" i="13"/>
  <c r="Q473" i="13"/>
  <c r="Q472" i="13"/>
  <c r="Q471" i="13"/>
  <c r="Q470" i="13"/>
  <c r="Q469" i="13"/>
  <c r="Q468" i="13"/>
  <c r="Q467" i="13"/>
  <c r="Q466" i="13"/>
  <c r="Q465" i="13"/>
  <c r="Q464" i="13"/>
  <c r="Q463" i="13"/>
  <c r="Q462" i="13"/>
  <c r="Q461" i="13"/>
  <c r="Q460" i="13"/>
  <c r="Q459" i="13"/>
  <c r="Q458" i="13"/>
  <c r="Q457" i="13"/>
  <c r="Q456" i="13"/>
  <c r="Q455" i="13"/>
  <c r="Q454" i="13"/>
  <c r="Q453" i="13"/>
  <c r="Q452" i="13"/>
  <c r="Q451" i="13"/>
  <c r="Q450" i="13"/>
  <c r="Q449" i="13"/>
  <c r="Q448" i="13"/>
  <c r="Q447" i="13"/>
  <c r="Q446" i="13"/>
  <c r="Q445" i="13"/>
  <c r="Q444" i="13"/>
  <c r="Q443" i="13"/>
  <c r="Q442" i="13"/>
  <c r="Q441" i="13"/>
  <c r="Q440" i="13"/>
  <c r="Q439" i="13"/>
  <c r="Q438" i="13"/>
  <c r="Q437" i="13"/>
  <c r="Q436" i="13"/>
  <c r="Q435" i="13"/>
  <c r="Q434" i="13"/>
  <c r="Q433" i="13"/>
  <c r="Q432" i="13"/>
  <c r="Q431" i="13"/>
  <c r="Q430" i="13"/>
  <c r="Q429" i="13"/>
  <c r="Q428" i="13"/>
  <c r="Q427" i="13"/>
  <c r="Q426" i="13"/>
  <c r="Q425" i="13"/>
  <c r="Q424" i="13"/>
  <c r="Q423" i="13"/>
  <c r="Q422" i="13"/>
  <c r="Q421" i="13"/>
  <c r="Q420" i="13"/>
  <c r="Q419" i="13"/>
  <c r="Q418" i="13"/>
  <c r="Q417" i="13"/>
  <c r="Q416" i="13"/>
  <c r="Q415" i="13"/>
  <c r="Q414" i="13"/>
  <c r="Q413" i="13"/>
  <c r="Q412" i="13"/>
  <c r="Q411" i="13"/>
  <c r="Q410" i="13"/>
  <c r="Q409" i="13"/>
  <c r="Q408" i="13"/>
  <c r="Q407" i="13"/>
  <c r="Q406" i="13"/>
  <c r="Q405" i="13"/>
  <c r="Q404" i="13"/>
  <c r="Q403" i="13"/>
  <c r="Q402" i="13"/>
  <c r="Q401" i="13"/>
  <c r="Q400" i="13"/>
  <c r="Q399" i="13"/>
  <c r="Q398" i="13"/>
  <c r="Q397" i="13"/>
  <c r="Q396" i="13"/>
  <c r="Q395" i="13"/>
  <c r="Q394" i="13"/>
  <c r="Q393" i="13"/>
  <c r="Q392" i="13"/>
  <c r="Q391" i="13"/>
  <c r="Q390" i="13"/>
  <c r="Q389" i="13"/>
  <c r="Q388" i="13"/>
  <c r="Q387" i="13"/>
  <c r="Q386" i="13"/>
  <c r="Q385" i="13"/>
  <c r="Q384" i="13"/>
  <c r="Q383" i="13"/>
  <c r="Q382" i="13"/>
  <c r="Q381" i="13"/>
  <c r="Q380" i="13"/>
  <c r="Q379" i="13"/>
  <c r="Q378" i="13"/>
  <c r="Q377" i="13"/>
  <c r="Q376" i="13"/>
  <c r="Q375" i="13"/>
  <c r="Q374" i="13"/>
  <c r="Q373" i="13"/>
  <c r="Q372" i="13"/>
  <c r="Q371" i="13"/>
  <c r="Q370" i="13"/>
  <c r="Q369" i="13"/>
  <c r="Q368" i="13"/>
  <c r="Q367" i="13"/>
  <c r="Q366" i="13"/>
  <c r="Q365" i="13"/>
  <c r="Q364" i="13"/>
  <c r="Q363" i="13"/>
  <c r="Q362" i="13"/>
  <c r="Q361" i="13"/>
  <c r="Q360" i="13"/>
  <c r="Q359" i="13"/>
  <c r="Q358" i="13"/>
  <c r="Q357" i="13"/>
  <c r="Q356" i="13"/>
  <c r="Q355" i="13"/>
  <c r="Q354" i="13"/>
  <c r="Q353" i="13"/>
  <c r="Q352" i="13"/>
  <c r="Q351" i="13"/>
  <c r="Q350" i="13"/>
  <c r="Q349" i="13"/>
  <c r="Q348" i="13"/>
  <c r="Q347" i="13"/>
  <c r="Q346" i="13"/>
  <c r="Q345" i="13"/>
  <c r="Q344" i="13"/>
  <c r="Q343" i="13"/>
  <c r="Q342" i="13"/>
  <c r="Q341" i="13"/>
  <c r="Q340" i="13"/>
  <c r="Q339" i="13"/>
  <c r="Q338" i="13"/>
  <c r="Q337" i="13"/>
  <c r="Q336" i="13"/>
  <c r="Q335" i="13"/>
  <c r="Q334" i="13"/>
  <c r="Q333" i="13"/>
  <c r="Q332" i="13"/>
  <c r="Q331" i="13"/>
  <c r="Q330" i="13"/>
  <c r="Q329" i="13"/>
  <c r="Q328" i="13"/>
  <c r="Q327" i="13"/>
  <c r="Q326" i="13"/>
  <c r="Q325" i="13"/>
  <c r="Q324" i="13"/>
  <c r="Q323" i="13"/>
  <c r="Q322" i="13"/>
  <c r="Q321" i="13"/>
  <c r="Q320" i="13"/>
  <c r="Q319" i="13"/>
  <c r="Q318" i="13"/>
  <c r="Q317" i="13"/>
  <c r="Q316" i="13"/>
  <c r="Q315" i="13"/>
  <c r="Q314" i="13"/>
  <c r="Q313" i="13"/>
  <c r="Q312" i="13"/>
  <c r="Q311" i="13"/>
  <c r="Q310" i="13"/>
  <c r="Q309" i="13"/>
  <c r="Q308" i="13"/>
  <c r="Q307" i="13"/>
  <c r="Q306" i="13"/>
  <c r="Q305" i="13"/>
  <c r="Q304" i="13"/>
  <c r="Q303" i="13"/>
  <c r="Q302" i="13"/>
  <c r="Q301" i="13"/>
  <c r="Q300" i="13"/>
  <c r="Q299" i="13"/>
  <c r="Q298" i="13"/>
  <c r="Q297" i="13"/>
  <c r="Q296" i="13"/>
  <c r="Q295" i="13"/>
  <c r="Q294" i="13"/>
  <c r="Q293" i="13"/>
  <c r="Q292" i="13"/>
  <c r="Q291" i="13"/>
  <c r="Q290" i="13"/>
  <c r="Q289" i="13"/>
  <c r="Q288" i="13"/>
  <c r="Q287" i="13"/>
  <c r="Q286" i="13"/>
  <c r="Q285" i="13"/>
  <c r="Q284" i="13"/>
  <c r="Q283" i="13"/>
  <c r="Q282" i="13"/>
  <c r="Q281" i="13"/>
  <c r="Q280" i="13"/>
  <c r="Q279" i="13"/>
  <c r="Q278" i="13"/>
  <c r="Q277" i="13"/>
  <c r="Q276" i="13"/>
  <c r="Q275" i="13"/>
  <c r="Q274" i="13"/>
  <c r="Q273" i="13"/>
  <c r="Q272" i="13"/>
  <c r="Q271" i="13"/>
  <c r="Q270" i="13"/>
  <c r="Q269" i="13"/>
  <c r="Q268" i="13"/>
  <c r="Q267" i="13"/>
  <c r="Q266" i="13"/>
  <c r="Q265" i="13"/>
  <c r="Q264" i="13"/>
  <c r="Q263" i="13"/>
  <c r="Q262" i="13"/>
  <c r="Q261" i="13"/>
  <c r="Q260" i="13"/>
  <c r="Q259" i="13"/>
  <c r="Q258" i="13"/>
  <c r="Q257" i="13"/>
  <c r="Q256" i="13"/>
  <c r="Q255" i="13"/>
  <c r="Q254" i="13"/>
  <c r="Q253" i="13"/>
  <c r="Q252" i="13"/>
  <c r="Q251" i="13"/>
  <c r="Q250" i="13"/>
  <c r="Q249" i="13"/>
  <c r="Q248" i="13"/>
  <c r="Q247" i="13"/>
  <c r="Q246" i="13"/>
  <c r="Q245" i="13"/>
  <c r="Q244" i="13"/>
  <c r="Q243" i="13"/>
  <c r="Q242" i="13"/>
  <c r="Q241" i="13"/>
  <c r="Q240" i="13"/>
  <c r="Q239" i="13"/>
  <c r="Q238" i="13"/>
  <c r="Q237" i="13"/>
  <c r="Q236" i="13"/>
  <c r="Q235" i="13"/>
  <c r="Q234" i="13"/>
  <c r="Q233" i="13"/>
  <c r="Q232" i="13"/>
  <c r="Q231" i="13"/>
  <c r="Q230" i="13"/>
  <c r="Q229" i="13"/>
  <c r="Q228" i="13"/>
  <c r="Q227" i="13"/>
  <c r="Q226" i="13"/>
  <c r="Q225" i="13"/>
  <c r="Q224" i="13"/>
  <c r="Q223" i="13"/>
  <c r="Q222" i="13"/>
  <c r="Q221" i="13"/>
  <c r="Q220" i="13"/>
  <c r="Q219" i="13"/>
  <c r="Q218" i="13"/>
  <c r="Q217" i="13"/>
  <c r="Q216" i="13"/>
  <c r="Q215" i="13"/>
  <c r="Q214" i="13"/>
  <c r="Q213" i="13"/>
  <c r="Q212" i="13"/>
  <c r="Q211" i="13"/>
  <c r="Q210" i="13"/>
  <c r="Q209" i="13"/>
  <c r="Q208" i="13"/>
  <c r="Q207" i="13"/>
  <c r="Q206" i="13"/>
  <c r="Q205" i="13"/>
  <c r="Q204" i="13"/>
  <c r="Q203" i="13"/>
  <c r="Q202" i="13"/>
  <c r="Q201" i="13"/>
  <c r="Q200" i="13"/>
  <c r="Q199" i="13"/>
  <c r="Q198" i="13"/>
  <c r="Q197" i="13"/>
  <c r="Q196" i="13"/>
  <c r="Q195" i="13"/>
  <c r="Q194" i="13"/>
  <c r="Q193" i="13"/>
  <c r="Q192" i="13"/>
  <c r="Q191" i="13"/>
  <c r="Q190" i="13"/>
  <c r="Q189" i="13"/>
  <c r="Q188" i="13"/>
  <c r="Q187" i="13"/>
  <c r="Q186" i="13"/>
  <c r="Q185" i="13"/>
  <c r="Q184" i="13"/>
  <c r="Q183" i="13"/>
  <c r="Q182" i="13"/>
  <c r="Q181" i="13"/>
  <c r="Q180" i="13"/>
  <c r="Q179" i="13"/>
  <c r="Q178" i="13"/>
  <c r="Q177" i="13"/>
  <c r="Q176" i="13"/>
  <c r="Q175" i="13"/>
  <c r="Q174" i="13"/>
  <c r="Q173" i="13"/>
  <c r="Q172" i="13"/>
  <c r="Q171" i="13"/>
  <c r="Q170" i="13"/>
  <c r="Q169" i="13"/>
  <c r="Q168" i="13"/>
  <c r="Q167" i="13"/>
  <c r="Q166" i="13"/>
  <c r="Q165" i="13"/>
  <c r="Q164" i="13"/>
  <c r="Q163" i="13"/>
  <c r="Q162" i="13"/>
  <c r="Q161" i="13"/>
  <c r="Q160" i="13"/>
  <c r="Q159" i="13"/>
  <c r="Q158" i="13"/>
  <c r="Q157" i="13"/>
  <c r="Q156" i="13"/>
  <c r="Q155" i="13"/>
  <c r="Q154" i="13"/>
  <c r="Q153" i="13"/>
  <c r="Q152" i="13"/>
  <c r="Q151" i="13"/>
  <c r="Q150" i="13"/>
  <c r="Q149" i="13"/>
  <c r="Q148" i="13"/>
  <c r="Q147" i="13"/>
  <c r="Q146" i="13"/>
  <c r="Q145" i="13"/>
  <c r="Q144" i="13"/>
  <c r="Q143" i="13"/>
  <c r="Q142" i="13"/>
  <c r="Q141" i="13"/>
  <c r="Q140" i="13"/>
  <c r="Q139" i="13"/>
  <c r="Q138" i="13"/>
  <c r="Q137" i="13"/>
  <c r="Q136" i="13"/>
  <c r="Q135" i="13"/>
  <c r="Q134" i="13"/>
  <c r="Q133" i="13"/>
  <c r="Q132" i="13"/>
  <c r="Q131" i="13"/>
  <c r="Q130" i="13"/>
  <c r="Q129" i="13"/>
  <c r="Q128" i="13"/>
  <c r="Q127" i="13"/>
  <c r="Q126" i="13"/>
  <c r="Q125" i="13"/>
  <c r="Q124" i="13"/>
  <c r="Q123" i="13"/>
  <c r="Q122" i="13"/>
  <c r="Q121" i="13"/>
  <c r="Q120" i="13"/>
  <c r="Q119" i="13"/>
  <c r="Q118" i="13"/>
  <c r="Q117" i="13"/>
  <c r="Q116" i="13"/>
  <c r="Q115" i="13"/>
  <c r="Q114" i="13"/>
  <c r="Q113" i="13"/>
  <c r="Q112" i="13"/>
  <c r="Q111" i="13"/>
  <c r="Q110" i="13"/>
  <c r="Q109" i="13"/>
  <c r="Q108" i="13"/>
  <c r="Q107" i="13"/>
  <c r="Q106" i="13"/>
  <c r="Q105" i="13"/>
  <c r="Q104" i="13"/>
  <c r="Q103" i="13"/>
  <c r="Q102" i="13"/>
  <c r="Q101" i="13"/>
  <c r="Q100" i="13"/>
  <c r="Q99" i="13"/>
  <c r="Q98" i="13"/>
  <c r="Q97" i="13"/>
  <c r="Q96" i="13"/>
  <c r="Q95" i="13"/>
  <c r="Q94" i="13"/>
  <c r="Q93" i="13"/>
  <c r="Q92" i="13"/>
  <c r="Q91" i="13"/>
  <c r="Q90" i="13"/>
  <c r="Q89" i="13"/>
  <c r="Q88" i="13"/>
  <c r="Q87" i="13"/>
  <c r="Q86" i="13"/>
  <c r="Q85" i="13"/>
  <c r="Q84" i="13"/>
  <c r="Q83" i="13"/>
  <c r="Q82" i="13"/>
  <c r="Q81" i="13"/>
  <c r="Q80" i="13"/>
  <c r="Q79" i="13"/>
  <c r="Q78" i="13"/>
  <c r="Q77" i="13"/>
  <c r="Q76" i="13"/>
  <c r="Q75" i="13"/>
  <c r="Q74" i="13"/>
  <c r="Q73" i="13"/>
  <c r="Q72" i="13"/>
  <c r="Q71" i="13"/>
  <c r="Q70" i="13"/>
  <c r="Q69" i="13"/>
  <c r="Q68" i="13"/>
  <c r="Q67" i="13"/>
  <c r="Q66" i="13"/>
  <c r="Q65" i="13"/>
  <c r="Q64" i="13"/>
  <c r="Q63" i="13"/>
  <c r="Q62" i="13"/>
  <c r="Q61" i="13"/>
  <c r="Q60" i="13"/>
  <c r="Q59" i="13"/>
  <c r="Q58" i="13"/>
  <c r="Q57" i="13"/>
  <c r="Q56" i="13"/>
  <c r="Q55" i="13"/>
  <c r="Q54" i="13"/>
  <c r="Q53" i="13"/>
  <c r="Q52" i="13"/>
  <c r="Q51" i="13"/>
  <c r="Q50" i="13"/>
  <c r="Q49" i="13"/>
  <c r="Q48" i="13"/>
  <c r="Q47" i="13"/>
  <c r="Q46" i="13"/>
  <c r="Q45" i="13"/>
  <c r="Q44" i="13"/>
  <c r="Q43" i="13"/>
  <c r="Q42" i="13"/>
  <c r="Q41" i="13"/>
  <c r="Q40" i="13"/>
  <c r="Q39" i="13"/>
  <c r="Q38" i="13"/>
  <c r="Q37" i="13"/>
  <c r="Q36" i="13"/>
  <c r="Q35" i="13"/>
  <c r="Q34" i="13"/>
  <c r="Q33" i="13"/>
  <c r="Q32" i="13"/>
  <c r="Q31" i="13"/>
  <c r="Q30" i="13"/>
  <c r="Q29" i="13"/>
  <c r="Q28" i="13"/>
  <c r="Q27" i="13"/>
  <c r="Q26" i="13"/>
  <c r="Q25" i="13"/>
  <c r="Q24" i="13"/>
  <c r="Q23" i="13"/>
  <c r="Q22" i="13"/>
  <c r="Q21" i="13"/>
  <c r="Q20" i="13"/>
  <c r="Q19" i="13"/>
  <c r="Q18" i="13"/>
  <c r="Q17" i="13"/>
  <c r="Q16" i="13"/>
  <c r="Q15" i="13"/>
  <c r="Q14" i="13"/>
  <c r="Q13" i="13"/>
  <c r="Q12" i="13"/>
  <c r="Q11" i="13"/>
  <c r="Q10" i="13"/>
  <c r="Q9" i="13"/>
  <c r="Q8" i="13"/>
  <c r="Q7" i="13"/>
  <c r="Q6" i="13"/>
  <c r="Q5" i="13"/>
  <c r="Q4" i="13"/>
  <c r="Q3" i="13"/>
  <c r="Q2" i="13"/>
  <c r="R78" i="12"/>
  <c r="S78" i="12"/>
  <c r="T78" i="12"/>
  <c r="R79" i="12"/>
  <c r="S79" i="12"/>
  <c r="T79" i="12"/>
  <c r="T81" i="12"/>
  <c r="S81" i="12"/>
  <c r="R81" i="12"/>
  <c r="R82" i="12"/>
  <c r="S82" i="12"/>
  <c r="T82" i="12"/>
  <c r="R83" i="12"/>
  <c r="S83" i="12"/>
  <c r="T83" i="12"/>
  <c r="R84" i="12"/>
  <c r="S84" i="12"/>
  <c r="T84" i="12"/>
  <c r="R85" i="12"/>
  <c r="S85" i="12"/>
  <c r="T85" i="12"/>
  <c r="R86" i="12"/>
  <c r="S86" i="12"/>
  <c r="T86" i="12"/>
  <c r="R87" i="12"/>
  <c r="S87" i="12"/>
  <c r="T87" i="12"/>
  <c r="R88" i="12"/>
  <c r="S88" i="12"/>
  <c r="T88" i="12"/>
  <c r="R89" i="12"/>
  <c r="S89" i="12"/>
  <c r="T89" i="12"/>
  <c r="R90" i="12"/>
  <c r="S90" i="12"/>
  <c r="T90" i="12"/>
  <c r="R91" i="12"/>
  <c r="S91" i="12"/>
  <c r="T91" i="12"/>
  <c r="R17" i="12"/>
  <c r="R18" i="12"/>
  <c r="R19" i="12"/>
  <c r="S17" i="12"/>
  <c r="T17" i="12"/>
  <c r="S18" i="12"/>
  <c r="T18" i="12"/>
  <c r="S19" i="12"/>
  <c r="T19" i="12"/>
  <c r="R20" i="12"/>
  <c r="S20" i="12"/>
  <c r="T20" i="12"/>
  <c r="R21" i="12"/>
  <c r="S21" i="12"/>
  <c r="T21" i="12"/>
  <c r="R22" i="12"/>
  <c r="S22" i="12"/>
  <c r="T22" i="12"/>
  <c r="R23" i="12"/>
  <c r="S23" i="12"/>
  <c r="T23" i="12"/>
  <c r="R24" i="12"/>
  <c r="S24" i="12"/>
  <c r="T24" i="12"/>
  <c r="R25" i="12"/>
  <c r="S25" i="12"/>
  <c r="T25" i="12"/>
  <c r="R26" i="12"/>
  <c r="S26" i="12"/>
  <c r="T26" i="12"/>
  <c r="R27" i="12"/>
  <c r="S27" i="12"/>
  <c r="T27" i="12"/>
  <c r="R28" i="12"/>
  <c r="S28" i="12"/>
  <c r="T28" i="12"/>
  <c r="R29" i="12"/>
  <c r="S30" i="12"/>
  <c r="T29" i="12"/>
  <c r="S80" i="12"/>
  <c r="S77" i="12"/>
  <c r="S76" i="12"/>
  <c r="S75" i="12"/>
  <c r="S74" i="12"/>
  <c r="S73" i="12"/>
  <c r="S72" i="12"/>
  <c r="S71" i="12"/>
  <c r="S70" i="12"/>
  <c r="S69" i="12"/>
  <c r="S68" i="12"/>
  <c r="S67" i="12"/>
  <c r="S66" i="12"/>
  <c r="S65" i="12"/>
  <c r="S64" i="12"/>
  <c r="S63" i="12"/>
  <c r="S62" i="12"/>
  <c r="S61" i="12"/>
  <c r="S60" i="12"/>
  <c r="S59" i="12"/>
  <c r="S58" i="12"/>
  <c r="S57" i="12"/>
  <c r="S56" i="12"/>
  <c r="S55" i="12"/>
  <c r="S54" i="12"/>
  <c r="S53" i="12"/>
  <c r="S52" i="12"/>
  <c r="S51" i="12"/>
  <c r="S50" i="12"/>
  <c r="S49" i="12"/>
  <c r="S48" i="12"/>
  <c r="S47" i="12"/>
  <c r="S46" i="12"/>
  <c r="S45" i="12"/>
  <c r="S44" i="12"/>
  <c r="S43" i="12"/>
  <c r="S42" i="12"/>
  <c r="S41" i="12"/>
  <c r="S40" i="12"/>
  <c r="S39" i="12"/>
  <c r="S38" i="12"/>
  <c r="S37" i="12"/>
  <c r="S36" i="12"/>
  <c r="S35" i="12"/>
  <c r="S34" i="12"/>
  <c r="S33" i="12"/>
  <c r="S32" i="12"/>
  <c r="S31" i="12"/>
  <c r="S29" i="12"/>
  <c r="U300" i="12"/>
  <c r="T300" i="12"/>
  <c r="S300" i="12"/>
  <c r="R300" i="12"/>
  <c r="U299" i="12"/>
  <c r="T299" i="12"/>
  <c r="S299" i="12"/>
  <c r="R299" i="12"/>
  <c r="U298" i="12"/>
  <c r="T298" i="12"/>
  <c r="S298" i="12"/>
  <c r="R298" i="12"/>
  <c r="U297" i="12"/>
  <c r="T297" i="12"/>
  <c r="S297" i="12"/>
  <c r="R297" i="12"/>
  <c r="U296" i="12"/>
  <c r="T296" i="12"/>
  <c r="S296" i="12"/>
  <c r="R296" i="12"/>
  <c r="U295" i="12"/>
  <c r="T295" i="12"/>
  <c r="S295" i="12"/>
  <c r="R295" i="12"/>
  <c r="U294" i="12"/>
  <c r="T294" i="12"/>
  <c r="S294" i="12"/>
  <c r="R294" i="12"/>
  <c r="U293" i="12"/>
  <c r="T293" i="12"/>
  <c r="S293" i="12"/>
  <c r="R293" i="12"/>
  <c r="U292" i="12"/>
  <c r="T292" i="12"/>
  <c r="S292" i="12"/>
  <c r="R292" i="12"/>
  <c r="U291" i="12"/>
  <c r="T291" i="12"/>
  <c r="S291" i="12"/>
  <c r="R291" i="12"/>
  <c r="U290" i="12"/>
  <c r="T290" i="12"/>
  <c r="S290" i="12"/>
  <c r="R290" i="12"/>
  <c r="U289" i="12"/>
  <c r="T289" i="12"/>
  <c r="S289" i="12"/>
  <c r="R289" i="12"/>
  <c r="U288" i="12"/>
  <c r="T288" i="12"/>
  <c r="S288" i="12"/>
  <c r="R288" i="12"/>
  <c r="U287" i="12"/>
  <c r="T287" i="12"/>
  <c r="S287" i="12"/>
  <c r="R287" i="12"/>
  <c r="U286" i="12"/>
  <c r="T286" i="12"/>
  <c r="S286" i="12"/>
  <c r="R286" i="12"/>
  <c r="U285" i="12"/>
  <c r="T285" i="12"/>
  <c r="S285" i="12"/>
  <c r="R285" i="12"/>
  <c r="U284" i="12"/>
  <c r="T284" i="12"/>
  <c r="S284" i="12"/>
  <c r="R284" i="12"/>
  <c r="U283" i="12"/>
  <c r="T283" i="12"/>
  <c r="S283" i="12"/>
  <c r="R283" i="12"/>
  <c r="U282" i="12"/>
  <c r="T282" i="12"/>
  <c r="S282" i="12"/>
  <c r="R282" i="12"/>
  <c r="U281" i="12"/>
  <c r="T281" i="12"/>
  <c r="S281" i="12"/>
  <c r="R281" i="12"/>
  <c r="U280" i="12"/>
  <c r="T280" i="12"/>
  <c r="S280" i="12"/>
  <c r="R280" i="12"/>
  <c r="U279" i="12"/>
  <c r="T279" i="12"/>
  <c r="S279" i="12"/>
  <c r="R279" i="12"/>
  <c r="U278" i="12"/>
  <c r="T278" i="12"/>
  <c r="S278" i="12"/>
  <c r="R278" i="12"/>
  <c r="U277" i="12"/>
  <c r="T277" i="12"/>
  <c r="S277" i="12"/>
  <c r="R277" i="12"/>
  <c r="U276" i="12"/>
  <c r="T276" i="12"/>
  <c r="S276" i="12"/>
  <c r="R276" i="12"/>
  <c r="U275" i="12"/>
  <c r="T275" i="12"/>
  <c r="S275" i="12"/>
  <c r="R275" i="12"/>
  <c r="U274" i="12"/>
  <c r="T274" i="12"/>
  <c r="S274" i="12"/>
  <c r="R274" i="12"/>
  <c r="U273" i="12"/>
  <c r="T273" i="12"/>
  <c r="S273" i="12"/>
  <c r="R273" i="12"/>
  <c r="U272" i="12"/>
  <c r="T272" i="12"/>
  <c r="S272" i="12"/>
  <c r="R272" i="12"/>
  <c r="U271" i="12"/>
  <c r="T271" i="12"/>
  <c r="S271" i="12"/>
  <c r="R271" i="12"/>
  <c r="U270" i="12"/>
  <c r="T270" i="12"/>
  <c r="S270" i="12"/>
  <c r="R270" i="12"/>
  <c r="U269" i="12"/>
  <c r="T269" i="12"/>
  <c r="S269" i="12"/>
  <c r="R269" i="12"/>
  <c r="U268" i="12"/>
  <c r="T268" i="12"/>
  <c r="S268" i="12"/>
  <c r="R268" i="12"/>
  <c r="U267" i="12"/>
  <c r="T267" i="12"/>
  <c r="S267" i="12"/>
  <c r="R267" i="12"/>
  <c r="U266" i="12"/>
  <c r="T266" i="12"/>
  <c r="S266" i="12"/>
  <c r="R266" i="12"/>
  <c r="U265" i="12"/>
  <c r="T265" i="12"/>
  <c r="S265" i="12"/>
  <c r="R265" i="12"/>
  <c r="U264" i="12"/>
  <c r="T264" i="12"/>
  <c r="S264" i="12"/>
  <c r="R264" i="12"/>
  <c r="U263" i="12"/>
  <c r="T263" i="12"/>
  <c r="S263" i="12"/>
  <c r="R263" i="12"/>
  <c r="U262" i="12"/>
  <c r="T262" i="12"/>
  <c r="S262" i="12"/>
  <c r="R262" i="12"/>
  <c r="U261" i="12"/>
  <c r="T261" i="12"/>
  <c r="S261" i="12"/>
  <c r="R261" i="12"/>
  <c r="U260" i="12"/>
  <c r="T260" i="12"/>
  <c r="S260" i="12"/>
  <c r="R260" i="12"/>
  <c r="U259" i="12"/>
  <c r="T259" i="12"/>
  <c r="S259" i="12"/>
  <c r="R259" i="12"/>
  <c r="U258" i="12"/>
  <c r="T258" i="12"/>
  <c r="S258" i="12"/>
  <c r="R258" i="12"/>
  <c r="U257" i="12"/>
  <c r="T257" i="12"/>
  <c r="S257" i="12"/>
  <c r="R257" i="12"/>
  <c r="U256" i="12"/>
  <c r="T256" i="12"/>
  <c r="S256" i="12"/>
  <c r="R256" i="12"/>
  <c r="U255" i="12"/>
  <c r="T255" i="12"/>
  <c r="S255" i="12"/>
  <c r="R255" i="12"/>
  <c r="U254" i="12"/>
  <c r="T254" i="12"/>
  <c r="S254" i="12"/>
  <c r="R254" i="12"/>
  <c r="U253" i="12"/>
  <c r="T253" i="12"/>
  <c r="S253" i="12"/>
  <c r="R253" i="12"/>
  <c r="U252" i="12"/>
  <c r="T252" i="12"/>
  <c r="S252" i="12"/>
  <c r="R252" i="12"/>
  <c r="U251" i="12"/>
  <c r="T251" i="12"/>
  <c r="S251" i="12"/>
  <c r="R251" i="12"/>
  <c r="U250" i="12"/>
  <c r="T250" i="12"/>
  <c r="S250" i="12"/>
  <c r="R250" i="12"/>
  <c r="U249" i="12"/>
  <c r="T249" i="12"/>
  <c r="S249" i="12"/>
  <c r="R249" i="12"/>
  <c r="U248" i="12"/>
  <c r="T248" i="12"/>
  <c r="S248" i="12"/>
  <c r="R248" i="12"/>
  <c r="U247" i="12"/>
  <c r="T247" i="12"/>
  <c r="S247" i="12"/>
  <c r="R247" i="12"/>
  <c r="U246" i="12"/>
  <c r="T246" i="12"/>
  <c r="S246" i="12"/>
  <c r="R246" i="12"/>
  <c r="U245" i="12"/>
  <c r="T245" i="12"/>
  <c r="S245" i="12"/>
  <c r="R245" i="12"/>
  <c r="U244" i="12"/>
  <c r="T244" i="12"/>
  <c r="S244" i="12"/>
  <c r="R244" i="12"/>
  <c r="U243" i="12"/>
  <c r="T243" i="12"/>
  <c r="S243" i="12"/>
  <c r="R243" i="12"/>
  <c r="U242" i="12"/>
  <c r="T242" i="12"/>
  <c r="S242" i="12"/>
  <c r="R242" i="12"/>
  <c r="U241" i="12"/>
  <c r="T241" i="12"/>
  <c r="S241" i="12"/>
  <c r="R241" i="12"/>
  <c r="U240" i="12"/>
  <c r="T240" i="12"/>
  <c r="S240" i="12"/>
  <c r="R240" i="12"/>
  <c r="U239" i="12"/>
  <c r="T239" i="12"/>
  <c r="S239" i="12"/>
  <c r="R239" i="12"/>
  <c r="U238" i="12"/>
  <c r="T238" i="12"/>
  <c r="S238" i="12"/>
  <c r="R238" i="12"/>
  <c r="U237" i="12"/>
  <c r="T237" i="12"/>
  <c r="S237" i="12"/>
  <c r="R237" i="12"/>
  <c r="U236" i="12"/>
  <c r="T236" i="12"/>
  <c r="S236" i="12"/>
  <c r="R236" i="12"/>
  <c r="U235" i="12"/>
  <c r="T235" i="12"/>
  <c r="S235" i="12"/>
  <c r="R235" i="12"/>
  <c r="U234" i="12"/>
  <c r="T234" i="12"/>
  <c r="S234" i="12"/>
  <c r="R234" i="12"/>
  <c r="U233" i="12"/>
  <c r="T233" i="12"/>
  <c r="S233" i="12"/>
  <c r="R233" i="12"/>
  <c r="U232" i="12"/>
  <c r="T232" i="12"/>
  <c r="S232" i="12"/>
  <c r="R232" i="12"/>
  <c r="U231" i="12"/>
  <c r="T231" i="12"/>
  <c r="S231" i="12"/>
  <c r="R231" i="12"/>
  <c r="U230" i="12"/>
  <c r="T230" i="12"/>
  <c r="S230" i="12"/>
  <c r="R230" i="12"/>
  <c r="U229" i="12"/>
  <c r="T229" i="12"/>
  <c r="S229" i="12"/>
  <c r="R229" i="12"/>
  <c r="U228" i="12"/>
  <c r="T228" i="12"/>
  <c r="S228" i="12"/>
  <c r="R228" i="12"/>
  <c r="U227" i="12"/>
  <c r="T227" i="12"/>
  <c r="S227" i="12"/>
  <c r="R227" i="12"/>
  <c r="U226" i="12"/>
  <c r="T226" i="12"/>
  <c r="S226" i="12"/>
  <c r="R226" i="12"/>
  <c r="U225" i="12"/>
  <c r="T225" i="12"/>
  <c r="S225" i="12"/>
  <c r="R225" i="12"/>
  <c r="U224" i="12"/>
  <c r="T224" i="12"/>
  <c r="S224" i="12"/>
  <c r="R224" i="12"/>
  <c r="U223" i="12"/>
  <c r="T223" i="12"/>
  <c r="S223" i="12"/>
  <c r="R223" i="12"/>
  <c r="U222" i="12"/>
  <c r="T222" i="12"/>
  <c r="S222" i="12"/>
  <c r="R222" i="12"/>
  <c r="U221" i="12"/>
  <c r="T221" i="12"/>
  <c r="S221" i="12"/>
  <c r="R221" i="12"/>
  <c r="U220" i="12"/>
  <c r="T220" i="12"/>
  <c r="S220" i="12"/>
  <c r="R220" i="12"/>
  <c r="U219" i="12"/>
  <c r="T219" i="12"/>
  <c r="S219" i="12"/>
  <c r="R219" i="12"/>
  <c r="U218" i="12"/>
  <c r="T218" i="12"/>
  <c r="S218" i="12"/>
  <c r="R218" i="12"/>
  <c r="U217" i="12"/>
  <c r="T217" i="12"/>
  <c r="S217" i="12"/>
  <c r="R217" i="12"/>
  <c r="U216" i="12"/>
  <c r="T216" i="12"/>
  <c r="S216" i="12"/>
  <c r="R216" i="12"/>
  <c r="U215" i="12"/>
  <c r="T215" i="12"/>
  <c r="S215" i="12"/>
  <c r="R215" i="12"/>
  <c r="U214" i="12"/>
  <c r="T214" i="12"/>
  <c r="S214" i="12"/>
  <c r="R214" i="12"/>
  <c r="U213" i="12"/>
  <c r="T213" i="12"/>
  <c r="S213" i="12"/>
  <c r="R213" i="12"/>
  <c r="U212" i="12"/>
  <c r="T212" i="12"/>
  <c r="S212" i="12"/>
  <c r="R212" i="12"/>
  <c r="U211" i="12"/>
  <c r="T211" i="12"/>
  <c r="S211" i="12"/>
  <c r="R211" i="12"/>
  <c r="U210" i="12"/>
  <c r="T210" i="12"/>
  <c r="S210" i="12"/>
  <c r="R210" i="12"/>
  <c r="U209" i="12"/>
  <c r="T209" i="12"/>
  <c r="S209" i="12"/>
  <c r="R209" i="12"/>
  <c r="U208" i="12"/>
  <c r="T208" i="12"/>
  <c r="S208" i="12"/>
  <c r="R208" i="12"/>
  <c r="U207" i="12"/>
  <c r="T207" i="12"/>
  <c r="S207" i="12"/>
  <c r="R207" i="12"/>
  <c r="U206" i="12"/>
  <c r="T206" i="12"/>
  <c r="S206" i="12"/>
  <c r="R206" i="12"/>
  <c r="U205" i="12"/>
  <c r="T205" i="12"/>
  <c r="S205" i="12"/>
  <c r="R205" i="12"/>
  <c r="U204" i="12"/>
  <c r="T204" i="12"/>
  <c r="S204" i="12"/>
  <c r="R204" i="12"/>
  <c r="U203" i="12"/>
  <c r="T203" i="12"/>
  <c r="S203" i="12"/>
  <c r="R203" i="12"/>
  <c r="U202" i="12"/>
  <c r="T202" i="12"/>
  <c r="S202" i="12"/>
  <c r="R202" i="12"/>
  <c r="U201" i="12"/>
  <c r="T201" i="12"/>
  <c r="S201" i="12"/>
  <c r="R201" i="12"/>
  <c r="U200" i="12"/>
  <c r="T200" i="12"/>
  <c r="S200" i="12"/>
  <c r="R200" i="12"/>
  <c r="U199" i="12"/>
  <c r="T199" i="12"/>
  <c r="S199" i="12"/>
  <c r="R199" i="12"/>
  <c r="U198" i="12"/>
  <c r="T198" i="12"/>
  <c r="S198" i="12"/>
  <c r="R198" i="12"/>
  <c r="U197" i="12"/>
  <c r="T197" i="12"/>
  <c r="S197" i="12"/>
  <c r="R197" i="12"/>
  <c r="U196" i="12"/>
  <c r="T196" i="12"/>
  <c r="S196" i="12"/>
  <c r="R196" i="12"/>
  <c r="U195" i="12"/>
  <c r="T195" i="12"/>
  <c r="S195" i="12"/>
  <c r="R195" i="12"/>
  <c r="U194" i="12"/>
  <c r="T194" i="12"/>
  <c r="S194" i="12"/>
  <c r="R194" i="12"/>
  <c r="U193" i="12"/>
  <c r="T193" i="12"/>
  <c r="S193" i="12"/>
  <c r="R193" i="12"/>
  <c r="U192" i="12"/>
  <c r="T192" i="12"/>
  <c r="S192" i="12"/>
  <c r="R192" i="12"/>
  <c r="U191" i="12"/>
  <c r="T191" i="12"/>
  <c r="S191" i="12"/>
  <c r="R191" i="12"/>
  <c r="U190" i="12"/>
  <c r="T190" i="12"/>
  <c r="S190" i="12"/>
  <c r="R190" i="12"/>
  <c r="U189" i="12"/>
  <c r="T189" i="12"/>
  <c r="S189" i="12"/>
  <c r="R189" i="12"/>
  <c r="U188" i="12"/>
  <c r="T188" i="12"/>
  <c r="S188" i="12"/>
  <c r="R188" i="12"/>
  <c r="U187" i="12"/>
  <c r="T187" i="12"/>
  <c r="S187" i="12"/>
  <c r="R187" i="12"/>
  <c r="U186" i="12"/>
  <c r="T186" i="12"/>
  <c r="S186" i="12"/>
  <c r="R186" i="12"/>
  <c r="U185" i="12"/>
  <c r="T185" i="12"/>
  <c r="S185" i="12"/>
  <c r="R185" i="12"/>
  <c r="U184" i="12"/>
  <c r="T184" i="12"/>
  <c r="S184" i="12"/>
  <c r="R184" i="12"/>
  <c r="U183" i="12"/>
  <c r="T183" i="12"/>
  <c r="S183" i="12"/>
  <c r="R183" i="12"/>
  <c r="U182" i="12"/>
  <c r="T182" i="12"/>
  <c r="S182" i="12"/>
  <c r="R182" i="12"/>
  <c r="U181" i="12"/>
  <c r="T181" i="12"/>
  <c r="S181" i="12"/>
  <c r="R181" i="12"/>
  <c r="U180" i="12"/>
  <c r="T180" i="12"/>
  <c r="S180" i="12"/>
  <c r="R180" i="12"/>
  <c r="U179" i="12"/>
  <c r="T179" i="12"/>
  <c r="S179" i="12"/>
  <c r="R179" i="12"/>
  <c r="U178" i="12"/>
  <c r="T178" i="12"/>
  <c r="S178" i="12"/>
  <c r="R178" i="12"/>
  <c r="U177" i="12"/>
  <c r="T177" i="12"/>
  <c r="S177" i="12"/>
  <c r="R177" i="12"/>
  <c r="U176" i="12"/>
  <c r="T176" i="12"/>
  <c r="S176" i="12"/>
  <c r="R176" i="12"/>
  <c r="U175" i="12"/>
  <c r="T175" i="12"/>
  <c r="S175" i="12"/>
  <c r="R175" i="12"/>
  <c r="U174" i="12"/>
  <c r="T174" i="12"/>
  <c r="S174" i="12"/>
  <c r="R174" i="12"/>
  <c r="U173" i="12"/>
  <c r="T173" i="12"/>
  <c r="S173" i="12"/>
  <c r="R173" i="12"/>
  <c r="U172" i="12"/>
  <c r="T172" i="12"/>
  <c r="S172" i="12"/>
  <c r="R172" i="12"/>
  <c r="U171" i="12"/>
  <c r="T171" i="12"/>
  <c r="S171" i="12"/>
  <c r="R171" i="12"/>
  <c r="U170" i="12"/>
  <c r="T170" i="12"/>
  <c r="S170" i="12"/>
  <c r="R170" i="12"/>
  <c r="U169" i="12"/>
  <c r="T169" i="12"/>
  <c r="S169" i="12"/>
  <c r="R169" i="12"/>
  <c r="U168" i="12"/>
  <c r="T168" i="12"/>
  <c r="S168" i="12"/>
  <c r="R168" i="12"/>
  <c r="U167" i="12"/>
  <c r="T167" i="12"/>
  <c r="S167" i="12"/>
  <c r="R167" i="12"/>
  <c r="U166" i="12"/>
  <c r="T166" i="12"/>
  <c r="S166" i="12"/>
  <c r="R166" i="12"/>
  <c r="U165" i="12"/>
  <c r="T165" i="12"/>
  <c r="S165" i="12"/>
  <c r="R165" i="12"/>
  <c r="U164" i="12"/>
  <c r="T164" i="12"/>
  <c r="S164" i="12"/>
  <c r="R164" i="12"/>
  <c r="U163" i="12"/>
  <c r="T163" i="12"/>
  <c r="S163" i="12"/>
  <c r="R163" i="12"/>
  <c r="U162" i="12"/>
  <c r="T162" i="12"/>
  <c r="S162" i="12"/>
  <c r="R162" i="12"/>
  <c r="U161" i="12"/>
  <c r="T161" i="12"/>
  <c r="S161" i="12"/>
  <c r="R161" i="12"/>
  <c r="U160" i="12"/>
  <c r="T160" i="12"/>
  <c r="S160" i="12"/>
  <c r="R160" i="12"/>
  <c r="U159" i="12"/>
  <c r="T159" i="12"/>
  <c r="S159" i="12"/>
  <c r="R159" i="12"/>
  <c r="U158" i="12"/>
  <c r="T158" i="12"/>
  <c r="S158" i="12"/>
  <c r="R158" i="12"/>
  <c r="U157" i="12"/>
  <c r="T157" i="12"/>
  <c r="S157" i="12"/>
  <c r="R157" i="12"/>
  <c r="U156" i="12"/>
  <c r="T156" i="12"/>
  <c r="S156" i="12"/>
  <c r="R156" i="12"/>
  <c r="U155" i="12"/>
  <c r="T155" i="12"/>
  <c r="S155" i="12"/>
  <c r="R155" i="12"/>
  <c r="U154" i="12"/>
  <c r="T154" i="12"/>
  <c r="S154" i="12"/>
  <c r="R154" i="12"/>
  <c r="U153" i="12"/>
  <c r="T153" i="12"/>
  <c r="S153" i="12"/>
  <c r="R153" i="12"/>
  <c r="U152" i="12"/>
  <c r="T152" i="12"/>
  <c r="S152" i="12"/>
  <c r="R152" i="12"/>
  <c r="U151" i="12"/>
  <c r="T151" i="12"/>
  <c r="S151" i="12"/>
  <c r="R151" i="12"/>
  <c r="U150" i="12"/>
  <c r="T150" i="12"/>
  <c r="S150" i="12"/>
  <c r="R150" i="12"/>
  <c r="U149" i="12"/>
  <c r="T149" i="12"/>
  <c r="S149" i="12"/>
  <c r="R149" i="12"/>
  <c r="U148" i="12"/>
  <c r="T148" i="12"/>
  <c r="S148" i="12"/>
  <c r="R148" i="12"/>
  <c r="U147" i="12"/>
  <c r="T147" i="12"/>
  <c r="S147" i="12"/>
  <c r="R147" i="12"/>
  <c r="U146" i="12"/>
  <c r="T146" i="12"/>
  <c r="S146" i="12"/>
  <c r="R146" i="12"/>
  <c r="U145" i="12"/>
  <c r="T145" i="12"/>
  <c r="S145" i="12"/>
  <c r="R145" i="12"/>
  <c r="U144" i="12"/>
  <c r="T144" i="12"/>
  <c r="S144" i="12"/>
  <c r="R144" i="12"/>
  <c r="U143" i="12"/>
  <c r="T143" i="12"/>
  <c r="S143" i="12"/>
  <c r="R143" i="12"/>
  <c r="U142" i="12"/>
  <c r="T142" i="12"/>
  <c r="S142" i="12"/>
  <c r="R142" i="12"/>
  <c r="U141" i="12"/>
  <c r="T141" i="12"/>
  <c r="S141" i="12"/>
  <c r="R141" i="12"/>
  <c r="U140" i="12"/>
  <c r="T140" i="12"/>
  <c r="S140" i="12"/>
  <c r="R140" i="12"/>
  <c r="U139" i="12"/>
  <c r="T139" i="12"/>
  <c r="S139" i="12"/>
  <c r="R139" i="12"/>
  <c r="U138" i="12"/>
  <c r="T138" i="12"/>
  <c r="S138" i="12"/>
  <c r="R138" i="12"/>
  <c r="U137" i="12"/>
  <c r="T137" i="12"/>
  <c r="S137" i="12"/>
  <c r="R137" i="12"/>
  <c r="U136" i="12"/>
  <c r="T136" i="12"/>
  <c r="S136" i="12"/>
  <c r="R136" i="12"/>
  <c r="U135" i="12"/>
  <c r="T135" i="12"/>
  <c r="S135" i="12"/>
  <c r="R135" i="12"/>
  <c r="U134" i="12"/>
  <c r="T134" i="12"/>
  <c r="S134" i="12"/>
  <c r="R134" i="12"/>
  <c r="U133" i="12"/>
  <c r="T133" i="12"/>
  <c r="S133" i="12"/>
  <c r="R133" i="12"/>
  <c r="U132" i="12"/>
  <c r="T132" i="12"/>
  <c r="S132" i="12"/>
  <c r="R132" i="12"/>
  <c r="U131" i="12"/>
  <c r="T131" i="12"/>
  <c r="S131" i="12"/>
  <c r="R131" i="12"/>
  <c r="U130" i="12"/>
  <c r="T130" i="12"/>
  <c r="S130" i="12"/>
  <c r="R130" i="12"/>
  <c r="U129" i="12"/>
  <c r="T129" i="12"/>
  <c r="S129" i="12"/>
  <c r="R129" i="12"/>
  <c r="U128" i="12"/>
  <c r="T128" i="12"/>
  <c r="S128" i="12"/>
  <c r="R128" i="12"/>
  <c r="U127" i="12"/>
  <c r="T127" i="12"/>
  <c r="S127" i="12"/>
  <c r="R127" i="12"/>
  <c r="U126" i="12"/>
  <c r="T126" i="12"/>
  <c r="S126" i="12"/>
  <c r="R126" i="12"/>
  <c r="U125" i="12"/>
  <c r="T125" i="12"/>
  <c r="S125" i="12"/>
  <c r="R125" i="12"/>
  <c r="U124" i="12"/>
  <c r="T124" i="12"/>
  <c r="S124" i="12"/>
  <c r="R124" i="12"/>
  <c r="U123" i="12"/>
  <c r="T123" i="12"/>
  <c r="S123" i="12"/>
  <c r="R123" i="12"/>
  <c r="U122" i="12"/>
  <c r="T122" i="12"/>
  <c r="S122" i="12"/>
  <c r="R122" i="12"/>
  <c r="U121" i="12"/>
  <c r="T121" i="12"/>
  <c r="S121" i="12"/>
  <c r="R121" i="12"/>
  <c r="U120" i="12"/>
  <c r="T120" i="12"/>
  <c r="S120" i="12"/>
  <c r="R120" i="12"/>
  <c r="U119" i="12"/>
  <c r="T119" i="12"/>
  <c r="S119" i="12"/>
  <c r="R119" i="12"/>
  <c r="U118" i="12"/>
  <c r="T118" i="12"/>
  <c r="S118" i="12"/>
  <c r="R118" i="12"/>
  <c r="U117" i="12"/>
  <c r="T117" i="12"/>
  <c r="S117" i="12"/>
  <c r="R117" i="12"/>
  <c r="U116" i="12"/>
  <c r="T116" i="12"/>
  <c r="S116" i="12"/>
  <c r="R116" i="12"/>
  <c r="U115" i="12"/>
  <c r="T115" i="12"/>
  <c r="S115" i="12"/>
  <c r="R115" i="12"/>
  <c r="U114" i="12"/>
  <c r="T114" i="12"/>
  <c r="S114" i="12"/>
  <c r="R114" i="12"/>
  <c r="U113" i="12"/>
  <c r="T113" i="12"/>
  <c r="S113" i="12"/>
  <c r="R113" i="12"/>
  <c r="U112" i="12"/>
  <c r="T112" i="12"/>
  <c r="S112" i="12"/>
  <c r="R112" i="12"/>
  <c r="U111" i="12"/>
  <c r="T111" i="12"/>
  <c r="S111" i="12"/>
  <c r="R111" i="12"/>
  <c r="U110" i="12"/>
  <c r="T110" i="12"/>
  <c r="S110" i="12"/>
  <c r="R110" i="12"/>
  <c r="U109" i="12"/>
  <c r="T109" i="12"/>
  <c r="S109" i="12"/>
  <c r="R109" i="12"/>
  <c r="U108" i="12"/>
  <c r="T108" i="12"/>
  <c r="S108" i="12"/>
  <c r="R108" i="12"/>
  <c r="U107" i="12"/>
  <c r="T107" i="12"/>
  <c r="S107" i="12"/>
  <c r="R107" i="12"/>
  <c r="U106" i="12"/>
  <c r="T106" i="12"/>
  <c r="S106" i="12"/>
  <c r="R106" i="12"/>
  <c r="U105" i="12"/>
  <c r="T105" i="12"/>
  <c r="S105" i="12"/>
  <c r="R105" i="12"/>
  <c r="U104" i="12"/>
  <c r="T104" i="12"/>
  <c r="S104" i="12"/>
  <c r="R104" i="12"/>
  <c r="U103" i="12"/>
  <c r="T103" i="12"/>
  <c r="S103" i="12"/>
  <c r="R103" i="12"/>
  <c r="U102" i="12"/>
  <c r="T102" i="12"/>
  <c r="S102" i="12"/>
  <c r="R102" i="12"/>
  <c r="U101" i="12"/>
  <c r="T101" i="12"/>
  <c r="S101" i="12"/>
  <c r="R101" i="12"/>
  <c r="U100" i="12"/>
  <c r="T100" i="12"/>
  <c r="S100" i="12"/>
  <c r="R100" i="12"/>
  <c r="U99" i="12"/>
  <c r="T99" i="12"/>
  <c r="S99" i="12"/>
  <c r="R99" i="12"/>
  <c r="U98" i="12"/>
  <c r="T98" i="12"/>
  <c r="S98" i="12"/>
  <c r="R98" i="12"/>
  <c r="U97" i="12"/>
  <c r="T97" i="12"/>
  <c r="S97" i="12"/>
  <c r="R97" i="12"/>
  <c r="U96" i="12"/>
  <c r="T96" i="12"/>
  <c r="S96" i="12"/>
  <c r="R96" i="12"/>
  <c r="U95" i="12"/>
  <c r="T95" i="12"/>
  <c r="S95" i="12"/>
  <c r="R95" i="12"/>
  <c r="U94" i="12"/>
  <c r="T94" i="12"/>
  <c r="S94" i="12"/>
  <c r="R94" i="12"/>
  <c r="U93" i="12"/>
  <c r="T93" i="12"/>
  <c r="S93" i="12"/>
  <c r="R93" i="12"/>
  <c r="U92" i="12"/>
  <c r="T92" i="12"/>
  <c r="S92" i="12"/>
  <c r="R92" i="12"/>
  <c r="U91" i="12"/>
  <c r="U90" i="12"/>
  <c r="U89" i="12"/>
  <c r="U88" i="12"/>
  <c r="U87" i="12"/>
  <c r="U86" i="12"/>
  <c r="U85" i="12"/>
  <c r="U84" i="12"/>
  <c r="U83" i="12"/>
  <c r="U82" i="12"/>
  <c r="U81" i="12"/>
  <c r="U80" i="12"/>
  <c r="T80" i="12"/>
  <c r="R80" i="12"/>
  <c r="U79" i="12"/>
  <c r="U78" i="12"/>
  <c r="U77" i="12"/>
  <c r="T77" i="12"/>
  <c r="R77" i="12"/>
  <c r="U76" i="12"/>
  <c r="T76" i="12"/>
  <c r="R76" i="12"/>
  <c r="U75" i="12"/>
  <c r="T75" i="12"/>
  <c r="R75" i="12"/>
  <c r="U74" i="12"/>
  <c r="T74" i="12"/>
  <c r="R74" i="12"/>
  <c r="U73" i="12"/>
  <c r="T73" i="12"/>
  <c r="R73" i="12"/>
  <c r="U72" i="12"/>
  <c r="T72" i="12"/>
  <c r="R72" i="12"/>
  <c r="U71" i="12"/>
  <c r="T71" i="12"/>
  <c r="R71" i="12"/>
  <c r="U70" i="12"/>
  <c r="T70" i="12"/>
  <c r="R70" i="12"/>
  <c r="U69" i="12"/>
  <c r="T69" i="12"/>
  <c r="R69" i="12"/>
  <c r="U68" i="12"/>
  <c r="T68" i="12"/>
  <c r="R68" i="12"/>
  <c r="U67" i="12"/>
  <c r="T67" i="12"/>
  <c r="R67" i="12"/>
  <c r="U66" i="12"/>
  <c r="T66" i="12"/>
  <c r="R66" i="12"/>
  <c r="U65" i="12"/>
  <c r="T65" i="12"/>
  <c r="R65" i="12"/>
  <c r="U64" i="12"/>
  <c r="T64" i="12"/>
  <c r="R64" i="12"/>
  <c r="U63" i="12"/>
  <c r="T63" i="12"/>
  <c r="R63" i="12"/>
  <c r="U62" i="12"/>
  <c r="T62" i="12"/>
  <c r="R62" i="12"/>
  <c r="U61" i="12"/>
  <c r="T61" i="12"/>
  <c r="R61" i="12"/>
  <c r="U60" i="12"/>
  <c r="T60" i="12"/>
  <c r="R60" i="12"/>
  <c r="U59" i="12"/>
  <c r="T59" i="12"/>
  <c r="R59" i="12"/>
  <c r="U58" i="12"/>
  <c r="T58" i="12"/>
  <c r="R58" i="12"/>
  <c r="U57" i="12"/>
  <c r="T57" i="12"/>
  <c r="R57" i="12"/>
  <c r="U56" i="12"/>
  <c r="T56" i="12"/>
  <c r="R56" i="12"/>
  <c r="U55" i="12"/>
  <c r="T55" i="12"/>
  <c r="R55" i="12"/>
  <c r="U54" i="12"/>
  <c r="T54" i="12"/>
  <c r="R54" i="12"/>
  <c r="U53" i="12"/>
  <c r="T53" i="12"/>
  <c r="R53" i="12"/>
  <c r="U52" i="12"/>
  <c r="T52" i="12"/>
  <c r="R52" i="12"/>
  <c r="U51" i="12"/>
  <c r="T51" i="12"/>
  <c r="R51" i="12"/>
  <c r="U50" i="12"/>
  <c r="T50" i="12"/>
  <c r="R50" i="12"/>
  <c r="U49" i="12"/>
  <c r="T49" i="12"/>
  <c r="R49" i="12"/>
  <c r="U48" i="12"/>
  <c r="T48" i="12"/>
  <c r="R48" i="12"/>
  <c r="U47" i="12"/>
  <c r="T47" i="12"/>
  <c r="R47" i="12"/>
  <c r="U46" i="12"/>
  <c r="T46" i="12"/>
  <c r="R46" i="12"/>
  <c r="U45" i="12"/>
  <c r="T45" i="12"/>
  <c r="R45" i="12"/>
  <c r="U44" i="12"/>
  <c r="T44" i="12"/>
  <c r="R44" i="12"/>
  <c r="U43" i="12"/>
  <c r="T43" i="12"/>
  <c r="R43" i="12"/>
  <c r="U42" i="12"/>
  <c r="T42" i="12"/>
  <c r="R42" i="12"/>
  <c r="U41" i="12"/>
  <c r="T41" i="12"/>
  <c r="R41" i="12"/>
  <c r="U40" i="12"/>
  <c r="T40" i="12"/>
  <c r="R40" i="12"/>
  <c r="U39" i="12"/>
  <c r="T39" i="12"/>
  <c r="R39" i="12"/>
  <c r="U38" i="12"/>
  <c r="T38" i="12"/>
  <c r="R38" i="12"/>
  <c r="U37" i="12"/>
  <c r="T37" i="12"/>
  <c r="R37" i="12"/>
  <c r="U36" i="12"/>
  <c r="T36" i="12"/>
  <c r="R36" i="12"/>
  <c r="U35" i="12"/>
  <c r="T35" i="12"/>
  <c r="R35" i="12"/>
  <c r="U34" i="12"/>
  <c r="T34" i="12"/>
  <c r="R34" i="12"/>
  <c r="U33" i="12"/>
  <c r="T33" i="12"/>
  <c r="R33" i="12"/>
  <c r="U32" i="12"/>
  <c r="T32" i="12"/>
  <c r="R32" i="12"/>
  <c r="U31" i="12"/>
  <c r="T31" i="12"/>
  <c r="R31" i="12"/>
  <c r="U30" i="12"/>
  <c r="T30" i="12"/>
  <c r="R30" i="12"/>
  <c r="U29" i="12"/>
  <c r="U28" i="12"/>
  <c r="U27" i="12"/>
  <c r="U26" i="12"/>
  <c r="U25" i="12"/>
  <c r="U24" i="12"/>
  <c r="U23" i="12"/>
  <c r="U22" i="12"/>
  <c r="U21" i="12"/>
  <c r="U20" i="12"/>
  <c r="U19" i="12"/>
  <c r="U18" i="12"/>
  <c r="U17" i="12"/>
  <c r="U16" i="12"/>
  <c r="T16" i="12"/>
  <c r="S16" i="12"/>
  <c r="R16" i="12"/>
  <c r="U15" i="12"/>
  <c r="T15" i="12"/>
  <c r="S15" i="12"/>
  <c r="R15" i="12"/>
  <c r="U14" i="12"/>
  <c r="T14" i="12"/>
  <c r="S14" i="12"/>
  <c r="R14" i="12"/>
  <c r="U13" i="12"/>
  <c r="T13" i="12"/>
  <c r="S13" i="12"/>
  <c r="R13" i="12"/>
  <c r="U12" i="12"/>
  <c r="T12" i="12"/>
  <c r="S12" i="12"/>
  <c r="R12" i="12"/>
  <c r="U11" i="12"/>
  <c r="T11" i="12"/>
  <c r="S11" i="12"/>
  <c r="R11" i="12"/>
  <c r="U10" i="12"/>
  <c r="T10" i="12"/>
  <c r="S10" i="12"/>
  <c r="R10" i="12"/>
  <c r="U9" i="12"/>
  <c r="T9" i="12"/>
  <c r="S9" i="12"/>
  <c r="R9" i="12"/>
  <c r="U8" i="12"/>
  <c r="T8" i="12"/>
  <c r="S8" i="12"/>
  <c r="R8" i="12"/>
  <c r="U7" i="12"/>
  <c r="T7" i="12"/>
  <c r="S7" i="12"/>
  <c r="R7" i="12"/>
  <c r="Q12" i="12"/>
  <c r="Q13" i="12"/>
  <c r="Q14" i="12"/>
  <c r="Q15" i="12"/>
  <c r="Q16" i="12"/>
  <c r="Q17" i="12"/>
  <c r="Q18" i="12"/>
  <c r="Q19" i="12"/>
  <c r="Q20" i="12"/>
  <c r="Q21" i="12"/>
  <c r="R301" i="12"/>
  <c r="S301" i="12"/>
  <c r="T301" i="12"/>
  <c r="U301" i="12"/>
  <c r="R302" i="12"/>
  <c r="S302" i="12"/>
  <c r="T302" i="12"/>
  <c r="U302" i="12"/>
  <c r="R303" i="12"/>
  <c r="S303" i="12"/>
  <c r="T303" i="12"/>
  <c r="U303" i="12"/>
  <c r="R304" i="12"/>
  <c r="S304" i="12"/>
  <c r="T304" i="12"/>
  <c r="U304" i="12"/>
  <c r="R305" i="12"/>
  <c r="S305" i="12"/>
  <c r="T305" i="12"/>
  <c r="U305" i="12"/>
  <c r="R306" i="12"/>
  <c r="S306" i="12"/>
  <c r="T306" i="12"/>
  <c r="U306" i="12"/>
  <c r="R307" i="12"/>
  <c r="S307" i="12"/>
  <c r="T307" i="12"/>
  <c r="U307" i="12"/>
  <c r="R308" i="12"/>
  <c r="S308" i="12"/>
  <c r="T308" i="12"/>
  <c r="U308" i="12"/>
  <c r="R309" i="12"/>
  <c r="S309" i="12"/>
  <c r="T309" i="12"/>
  <c r="U309" i="12"/>
  <c r="R310" i="12"/>
  <c r="S310" i="12"/>
  <c r="T310" i="12"/>
  <c r="U310" i="12"/>
  <c r="R311" i="12"/>
  <c r="S311" i="12"/>
  <c r="T311" i="12"/>
  <c r="U311" i="12"/>
  <c r="R312" i="12"/>
  <c r="S312" i="12"/>
  <c r="T312" i="12"/>
  <c r="U312" i="12"/>
  <c r="R313" i="12"/>
  <c r="S313" i="12"/>
  <c r="T313" i="12"/>
  <c r="U313" i="12"/>
  <c r="R314" i="12"/>
  <c r="S314" i="12"/>
  <c r="T314" i="12"/>
  <c r="U314" i="12"/>
  <c r="R315" i="12"/>
  <c r="S315" i="12"/>
  <c r="T315" i="12"/>
  <c r="U315" i="12"/>
  <c r="R316" i="12"/>
  <c r="S316" i="12"/>
  <c r="T316" i="12"/>
  <c r="U316" i="12"/>
  <c r="R317" i="12"/>
  <c r="S317" i="12"/>
  <c r="T317" i="12"/>
  <c r="U317" i="12"/>
  <c r="R318" i="12"/>
  <c r="S318" i="12"/>
  <c r="T318" i="12"/>
  <c r="U318" i="12"/>
  <c r="R319" i="12"/>
  <c r="S319" i="12"/>
  <c r="T319" i="12"/>
  <c r="U319" i="12"/>
  <c r="R320" i="12"/>
  <c r="S320" i="12"/>
  <c r="T320" i="12"/>
  <c r="U320" i="12"/>
  <c r="R321" i="12"/>
  <c r="S321" i="12"/>
  <c r="T321" i="12"/>
  <c r="U321" i="12"/>
  <c r="R322" i="12"/>
  <c r="S322" i="12"/>
  <c r="T322" i="12"/>
  <c r="U322" i="12"/>
  <c r="R323" i="12"/>
  <c r="S323" i="12"/>
  <c r="T323" i="12"/>
  <c r="U323" i="12"/>
  <c r="R324" i="12"/>
  <c r="S324" i="12"/>
  <c r="T324" i="12"/>
  <c r="U324" i="12"/>
  <c r="R325" i="12"/>
  <c r="S325" i="12"/>
  <c r="T325" i="12"/>
  <c r="U325" i="12"/>
  <c r="R326" i="12"/>
  <c r="S326" i="12"/>
  <c r="T326" i="12"/>
  <c r="U326" i="12"/>
  <c r="R327" i="12"/>
  <c r="S327" i="12"/>
  <c r="T327" i="12"/>
  <c r="U327" i="12"/>
  <c r="R328" i="12"/>
  <c r="S328" i="12"/>
  <c r="T328" i="12"/>
  <c r="U328" i="12"/>
  <c r="R329" i="12"/>
  <c r="S329" i="12"/>
  <c r="T329" i="12"/>
  <c r="U329" i="12"/>
  <c r="R330" i="12"/>
  <c r="S330" i="12"/>
  <c r="T330" i="12"/>
  <c r="U330" i="12"/>
  <c r="R331" i="12"/>
  <c r="S331" i="12"/>
  <c r="T331" i="12"/>
  <c r="U331" i="12"/>
  <c r="R332" i="12"/>
  <c r="S332" i="12"/>
  <c r="T332" i="12"/>
  <c r="U332" i="12"/>
  <c r="R333" i="12"/>
  <c r="S333" i="12"/>
  <c r="T333" i="12"/>
  <c r="U333" i="12"/>
  <c r="R334" i="12"/>
  <c r="S334" i="12"/>
  <c r="T334" i="12"/>
  <c r="U334" i="12"/>
  <c r="R335" i="12"/>
  <c r="S335" i="12"/>
  <c r="T335" i="12"/>
  <c r="U335" i="12"/>
  <c r="R336" i="12"/>
  <c r="S336" i="12"/>
  <c r="T336" i="12"/>
  <c r="U336" i="12"/>
  <c r="R337" i="12"/>
  <c r="S337" i="12"/>
  <c r="T337" i="12"/>
  <c r="U337" i="12"/>
  <c r="R338" i="12"/>
  <c r="S338" i="12"/>
  <c r="T338" i="12"/>
  <c r="U338" i="12"/>
  <c r="R339" i="12"/>
  <c r="S339" i="12"/>
  <c r="T339" i="12"/>
  <c r="U339" i="12"/>
  <c r="R340" i="12"/>
  <c r="S340" i="12"/>
  <c r="T340" i="12"/>
  <c r="U340" i="12"/>
  <c r="R341" i="12"/>
  <c r="S341" i="12"/>
  <c r="T341" i="12"/>
  <c r="U341" i="12"/>
  <c r="R342" i="12"/>
  <c r="S342" i="12"/>
  <c r="T342" i="12"/>
  <c r="U342" i="12"/>
  <c r="R343" i="12"/>
  <c r="S343" i="12"/>
  <c r="T343" i="12"/>
  <c r="U343" i="12"/>
  <c r="R344" i="12"/>
  <c r="S344" i="12"/>
  <c r="T344" i="12"/>
  <c r="U344" i="12"/>
  <c r="R345" i="12"/>
  <c r="S345" i="12"/>
  <c r="T345" i="12"/>
  <c r="U345" i="12"/>
  <c r="R346" i="12"/>
  <c r="S346" i="12"/>
  <c r="T346" i="12"/>
  <c r="U346" i="12"/>
  <c r="R347" i="12"/>
  <c r="S347" i="12"/>
  <c r="T347" i="12"/>
  <c r="U347" i="12"/>
  <c r="R348" i="12"/>
  <c r="S348" i="12"/>
  <c r="T348" i="12"/>
  <c r="U348" i="12"/>
  <c r="R349" i="12"/>
  <c r="S349" i="12"/>
  <c r="T349" i="12"/>
  <c r="U349" i="12"/>
  <c r="R350" i="12"/>
  <c r="S350" i="12"/>
  <c r="T350" i="12"/>
  <c r="U350" i="12"/>
  <c r="R351" i="12"/>
  <c r="S351" i="12"/>
  <c r="T351" i="12"/>
  <c r="U351" i="12"/>
  <c r="R352" i="12"/>
  <c r="S352" i="12"/>
  <c r="T352" i="12"/>
  <c r="U352" i="12"/>
  <c r="R353" i="12"/>
  <c r="S353" i="12"/>
  <c r="T353" i="12"/>
  <c r="U353" i="12"/>
  <c r="R354" i="12"/>
  <c r="S354" i="12"/>
  <c r="T354" i="12"/>
  <c r="U354" i="12"/>
  <c r="R355" i="12"/>
  <c r="S355" i="12"/>
  <c r="T355" i="12"/>
  <c r="U355" i="12"/>
  <c r="R356" i="12"/>
  <c r="S356" i="12"/>
  <c r="T356" i="12"/>
  <c r="U356" i="12"/>
  <c r="R357" i="12"/>
  <c r="S357" i="12"/>
  <c r="T357" i="12"/>
  <c r="U357" i="12"/>
  <c r="R358" i="12"/>
  <c r="S358" i="12"/>
  <c r="T358" i="12"/>
  <c r="U358" i="12"/>
  <c r="R359" i="12"/>
  <c r="S359" i="12"/>
  <c r="T359" i="12"/>
  <c r="U359" i="12"/>
  <c r="R360" i="12"/>
  <c r="S360" i="12"/>
  <c r="T360" i="12"/>
  <c r="U360" i="12"/>
  <c r="R361" i="12"/>
  <c r="S361" i="12"/>
  <c r="T361" i="12"/>
  <c r="U361" i="12"/>
  <c r="R362" i="12"/>
  <c r="S362" i="12"/>
  <c r="T362" i="12"/>
  <c r="U362" i="12"/>
  <c r="R363" i="12"/>
  <c r="S363" i="12"/>
  <c r="T363" i="12"/>
  <c r="U363" i="12"/>
  <c r="R364" i="12"/>
  <c r="S364" i="12"/>
  <c r="T364" i="12"/>
  <c r="U364" i="12"/>
  <c r="R365" i="12"/>
  <c r="S365" i="12"/>
  <c r="T365" i="12"/>
  <c r="U365" i="12"/>
  <c r="R366" i="12"/>
  <c r="S366" i="12"/>
  <c r="T366" i="12"/>
  <c r="U366" i="12"/>
  <c r="R367" i="12"/>
  <c r="S367" i="12"/>
  <c r="T367" i="12"/>
  <c r="U367" i="12"/>
  <c r="R368" i="12"/>
  <c r="S368" i="12"/>
  <c r="T368" i="12"/>
  <c r="U368" i="12"/>
  <c r="R369" i="12"/>
  <c r="S369" i="12"/>
  <c r="T369" i="12"/>
  <c r="U369" i="12"/>
  <c r="R370" i="12"/>
  <c r="S370" i="12"/>
  <c r="T370" i="12"/>
  <c r="U370" i="12"/>
  <c r="R371" i="12"/>
  <c r="S371" i="12"/>
  <c r="T371" i="12"/>
  <c r="U371" i="12"/>
  <c r="R372" i="12"/>
  <c r="S372" i="12"/>
  <c r="T372" i="12"/>
  <c r="U372" i="12"/>
  <c r="R373" i="12"/>
  <c r="S373" i="12"/>
  <c r="T373" i="12"/>
  <c r="U373" i="12"/>
  <c r="R374" i="12"/>
  <c r="S374" i="12"/>
  <c r="T374" i="12"/>
  <c r="U374" i="12"/>
  <c r="R375" i="12"/>
  <c r="S375" i="12"/>
  <c r="T375" i="12"/>
  <c r="U375" i="12"/>
  <c r="R376" i="12"/>
  <c r="S376" i="12"/>
  <c r="T376" i="12"/>
  <c r="U376" i="12"/>
  <c r="R377" i="12"/>
  <c r="S377" i="12"/>
  <c r="T377" i="12"/>
  <c r="U377" i="12"/>
  <c r="R378" i="12"/>
  <c r="S378" i="12"/>
  <c r="T378" i="12"/>
  <c r="U378" i="12"/>
  <c r="R379" i="12"/>
  <c r="S379" i="12"/>
  <c r="T379" i="12"/>
  <c r="U379" i="12"/>
  <c r="R380" i="12"/>
  <c r="S380" i="12"/>
  <c r="T380" i="12"/>
  <c r="U380" i="12"/>
  <c r="R381" i="12"/>
  <c r="S381" i="12"/>
  <c r="T381" i="12"/>
  <c r="U381" i="12"/>
  <c r="R382" i="12"/>
  <c r="S382" i="12"/>
  <c r="T382" i="12"/>
  <c r="U382" i="12"/>
  <c r="R383" i="12"/>
  <c r="S383" i="12"/>
  <c r="T383" i="12"/>
  <c r="U383" i="12"/>
  <c r="R384" i="12"/>
  <c r="S384" i="12"/>
  <c r="T384" i="12"/>
  <c r="U384" i="12"/>
  <c r="R385" i="12"/>
  <c r="S385" i="12"/>
  <c r="T385" i="12"/>
  <c r="U385" i="12"/>
  <c r="R386" i="12"/>
  <c r="S386" i="12"/>
  <c r="T386" i="12"/>
  <c r="U386" i="12"/>
  <c r="R387" i="12"/>
  <c r="S387" i="12"/>
  <c r="T387" i="12"/>
  <c r="U387" i="12"/>
  <c r="R388" i="12"/>
  <c r="S388" i="12"/>
  <c r="T388" i="12"/>
  <c r="U388" i="12"/>
  <c r="R389" i="12"/>
  <c r="S389" i="12"/>
  <c r="T389" i="12"/>
  <c r="U389" i="12"/>
  <c r="R390" i="12"/>
  <c r="S390" i="12"/>
  <c r="T390" i="12"/>
  <c r="U390" i="12"/>
  <c r="R391" i="12"/>
  <c r="S391" i="12"/>
  <c r="T391" i="12"/>
  <c r="U391" i="12"/>
  <c r="R392" i="12"/>
  <c r="S392" i="12"/>
  <c r="T392" i="12"/>
  <c r="U392" i="12"/>
  <c r="R393" i="12"/>
  <c r="S393" i="12"/>
  <c r="T393" i="12"/>
  <c r="U393" i="12"/>
  <c r="R394" i="12"/>
  <c r="S394" i="12"/>
  <c r="T394" i="12"/>
  <c r="U394" i="12"/>
  <c r="R395" i="12"/>
  <c r="S395" i="12"/>
  <c r="T395" i="12"/>
  <c r="U395" i="12"/>
  <c r="R396" i="12"/>
  <c r="S396" i="12"/>
  <c r="T396" i="12"/>
  <c r="U396" i="12"/>
  <c r="R397" i="12"/>
  <c r="S397" i="12"/>
  <c r="T397" i="12"/>
  <c r="U397" i="12"/>
  <c r="R398" i="12"/>
  <c r="S398" i="12"/>
  <c r="T398" i="12"/>
  <c r="U398" i="12"/>
  <c r="R399" i="12"/>
  <c r="S399" i="12"/>
  <c r="T399" i="12"/>
  <c r="U399" i="12"/>
  <c r="R400" i="12"/>
  <c r="S400" i="12"/>
  <c r="T400" i="12"/>
  <c r="U400" i="12"/>
  <c r="R401" i="12"/>
  <c r="S401" i="12"/>
  <c r="T401" i="12"/>
  <c r="U401" i="12"/>
  <c r="R402" i="12"/>
  <c r="S402" i="12"/>
  <c r="T402" i="12"/>
  <c r="U402" i="12"/>
  <c r="R403" i="12"/>
  <c r="S403" i="12"/>
  <c r="T403" i="12"/>
  <c r="U403" i="12"/>
  <c r="R404" i="12"/>
  <c r="S404" i="12"/>
  <c r="T404" i="12"/>
  <c r="U404" i="12"/>
  <c r="R405" i="12"/>
  <c r="S405" i="12"/>
  <c r="T405" i="12"/>
  <c r="U405" i="12"/>
  <c r="R406" i="12"/>
  <c r="S406" i="12"/>
  <c r="T406" i="12"/>
  <c r="U406" i="12"/>
  <c r="R407" i="12"/>
  <c r="S407" i="12"/>
  <c r="T407" i="12"/>
  <c r="U407" i="12"/>
  <c r="R408" i="12"/>
  <c r="S408" i="12"/>
  <c r="T408" i="12"/>
  <c r="U408" i="12"/>
  <c r="R409" i="12"/>
  <c r="S409" i="12"/>
  <c r="T409" i="12"/>
  <c r="U409" i="12"/>
  <c r="R410" i="12"/>
  <c r="S410" i="12"/>
  <c r="T410" i="12"/>
  <c r="U410" i="12"/>
  <c r="R411" i="12"/>
  <c r="S411" i="12"/>
  <c r="T411" i="12"/>
  <c r="U411" i="12"/>
  <c r="R412" i="12"/>
  <c r="S412" i="12"/>
  <c r="T412" i="12"/>
  <c r="U412" i="12"/>
  <c r="R413" i="12"/>
  <c r="S413" i="12"/>
  <c r="T413" i="12"/>
  <c r="U413" i="12"/>
  <c r="R414" i="12"/>
  <c r="S414" i="12"/>
  <c r="T414" i="12"/>
  <c r="U414" i="12"/>
  <c r="R415" i="12"/>
  <c r="S415" i="12"/>
  <c r="T415" i="12"/>
  <c r="U415" i="12"/>
  <c r="R416" i="12"/>
  <c r="S416" i="12"/>
  <c r="T416" i="12"/>
  <c r="U416" i="12"/>
  <c r="R417" i="12"/>
  <c r="S417" i="12"/>
  <c r="T417" i="12"/>
  <c r="U417" i="12"/>
  <c r="R418" i="12"/>
  <c r="S418" i="12"/>
  <c r="T418" i="12"/>
  <c r="U418" i="12"/>
  <c r="R419" i="12"/>
  <c r="S419" i="12"/>
  <c r="T419" i="12"/>
  <c r="U419" i="12"/>
  <c r="R420" i="12"/>
  <c r="S420" i="12"/>
  <c r="T420" i="12"/>
  <c r="U420" i="12"/>
  <c r="R421" i="12"/>
  <c r="S421" i="12"/>
  <c r="T421" i="12"/>
  <c r="U421" i="12"/>
  <c r="R422" i="12"/>
  <c r="S422" i="12"/>
  <c r="T422" i="12"/>
  <c r="U422" i="12"/>
  <c r="R423" i="12"/>
  <c r="S423" i="12"/>
  <c r="T423" i="12"/>
  <c r="U423" i="12"/>
  <c r="R424" i="12"/>
  <c r="S424" i="12"/>
  <c r="T424" i="12"/>
  <c r="U424" i="12"/>
  <c r="R425" i="12"/>
  <c r="S425" i="12"/>
  <c r="T425" i="12"/>
  <c r="U425" i="12"/>
  <c r="R426" i="12"/>
  <c r="S426" i="12"/>
  <c r="T426" i="12"/>
  <c r="U426" i="12"/>
  <c r="R427" i="12"/>
  <c r="S427" i="12"/>
  <c r="T427" i="12"/>
  <c r="U427" i="12"/>
  <c r="R428" i="12"/>
  <c r="S428" i="12"/>
  <c r="T428" i="12"/>
  <c r="U428" i="12"/>
  <c r="R429" i="12"/>
  <c r="S429" i="12"/>
  <c r="T429" i="12"/>
  <c r="U429" i="12"/>
  <c r="R430" i="12"/>
  <c r="S430" i="12"/>
  <c r="T430" i="12"/>
  <c r="U430" i="12"/>
  <c r="R431" i="12"/>
  <c r="S431" i="12"/>
  <c r="T431" i="12"/>
  <c r="U431" i="12"/>
  <c r="R432" i="12"/>
  <c r="S432" i="12"/>
  <c r="T432" i="12"/>
  <c r="U432" i="12"/>
  <c r="R433" i="12"/>
  <c r="S433" i="12"/>
  <c r="T433" i="12"/>
  <c r="U433" i="12"/>
  <c r="R434" i="12"/>
  <c r="S434" i="12"/>
  <c r="T434" i="12"/>
  <c r="U434" i="12"/>
  <c r="R435" i="12"/>
  <c r="S435" i="12"/>
  <c r="T435" i="12"/>
  <c r="U435" i="12"/>
  <c r="R436" i="12"/>
  <c r="S436" i="12"/>
  <c r="T436" i="12"/>
  <c r="U436" i="12"/>
  <c r="R437" i="12"/>
  <c r="S437" i="12"/>
  <c r="T437" i="12"/>
  <c r="U437" i="12"/>
  <c r="R438" i="12"/>
  <c r="S438" i="12"/>
  <c r="T438" i="12"/>
  <c r="U438" i="12"/>
  <c r="R439" i="12"/>
  <c r="S439" i="12"/>
  <c r="T439" i="12"/>
  <c r="U439" i="12"/>
  <c r="R440" i="12"/>
  <c r="S440" i="12"/>
  <c r="T440" i="12"/>
  <c r="U440" i="12"/>
  <c r="R441" i="12"/>
  <c r="S441" i="12"/>
  <c r="T441" i="12"/>
  <c r="U441" i="12"/>
  <c r="R442" i="12"/>
  <c r="S442" i="12"/>
  <c r="T442" i="12"/>
  <c r="U442" i="12"/>
  <c r="R443" i="12"/>
  <c r="S443" i="12"/>
  <c r="T443" i="12"/>
  <c r="U443" i="12"/>
  <c r="R444" i="12"/>
  <c r="S444" i="12"/>
  <c r="T444" i="12"/>
  <c r="U444" i="12"/>
  <c r="R445" i="12"/>
  <c r="S445" i="12"/>
  <c r="T445" i="12"/>
  <c r="U445" i="12"/>
  <c r="R446" i="12"/>
  <c r="S446" i="12"/>
  <c r="T446" i="12"/>
  <c r="U446" i="12"/>
  <c r="R447" i="12"/>
  <c r="S447" i="12"/>
  <c r="T447" i="12"/>
  <c r="U447" i="12"/>
  <c r="R448" i="12"/>
  <c r="S448" i="12"/>
  <c r="T448" i="12"/>
  <c r="U448" i="12"/>
  <c r="R449" i="12"/>
  <c r="S449" i="12"/>
  <c r="T449" i="12"/>
  <c r="U449" i="12"/>
  <c r="R450" i="12"/>
  <c r="S450" i="12"/>
  <c r="T450" i="12"/>
  <c r="U450" i="12"/>
  <c r="R451" i="12"/>
  <c r="S451" i="12"/>
  <c r="T451" i="12"/>
  <c r="U451" i="12"/>
  <c r="R452" i="12"/>
  <c r="S452" i="12"/>
  <c r="T452" i="12"/>
  <c r="U452" i="12"/>
  <c r="R453" i="12"/>
  <c r="S453" i="12"/>
  <c r="T453" i="12"/>
  <c r="U453" i="12"/>
  <c r="R454" i="12"/>
  <c r="S454" i="12"/>
  <c r="T454" i="12"/>
  <c r="U454" i="12"/>
  <c r="Q91" i="12"/>
  <c r="Q90" i="12"/>
  <c r="Q89" i="12"/>
  <c r="Q88" i="12"/>
  <c r="Q87" i="12"/>
  <c r="Q86" i="12"/>
  <c r="Q85" i="12"/>
  <c r="Q84" i="12"/>
  <c r="Q83" i="12"/>
  <c r="Q82" i="12"/>
  <c r="Q81" i="12"/>
  <c r="Q80" i="12"/>
  <c r="Q79" i="12"/>
  <c r="Q78" i="12"/>
  <c r="Q77" i="12"/>
  <c r="Q76" i="12"/>
  <c r="Q75" i="12"/>
  <c r="Q74" i="12"/>
  <c r="Q73" i="12"/>
  <c r="Q72" i="12"/>
  <c r="A5" i="12"/>
  <c r="A90" i="12" s="1"/>
  <c r="Q37" i="12"/>
  <c r="Q38" i="12"/>
  <c r="Q39" i="12"/>
  <c r="Q40" i="12"/>
  <c r="Q41" i="12"/>
  <c r="Q32" i="12"/>
  <c r="Q33" i="12"/>
  <c r="Q34" i="12"/>
  <c r="Q35" i="12"/>
  <c r="Q36" i="12"/>
  <c r="Q8" i="12"/>
  <c r="Q9" i="12"/>
  <c r="Q10" i="12"/>
  <c r="Q11" i="12"/>
  <c r="Q22" i="12"/>
  <c r="Q23" i="12"/>
  <c r="Q24" i="12"/>
  <c r="Q25" i="12"/>
  <c r="Q26" i="12"/>
  <c r="Q27" i="12"/>
  <c r="Q28" i="12"/>
  <c r="Q29" i="12"/>
  <c r="Q30" i="12"/>
  <c r="Q31" i="12"/>
  <c r="Q42" i="12"/>
  <c r="Q43" i="12"/>
  <c r="Q44" i="12"/>
  <c r="Q45" i="12"/>
  <c r="Q46" i="12"/>
  <c r="Q47" i="12"/>
  <c r="Q48" i="12"/>
  <c r="Q49" i="12"/>
  <c r="Q50" i="12"/>
  <c r="Q51" i="12"/>
  <c r="Q52" i="12"/>
  <c r="Q53" i="12"/>
  <c r="Q54" i="12"/>
  <c r="Q55" i="12"/>
  <c r="Q56" i="12"/>
  <c r="Q57" i="12"/>
  <c r="Q58" i="12"/>
  <c r="Q59" i="12"/>
  <c r="Q60" i="12"/>
  <c r="Q61" i="12"/>
  <c r="Q62" i="12"/>
  <c r="Q63" i="12"/>
  <c r="Q64" i="12"/>
  <c r="Q65" i="12"/>
  <c r="Q66" i="12"/>
  <c r="Q67" i="12"/>
  <c r="Q68" i="12"/>
  <c r="Q69" i="12"/>
  <c r="Q70" i="12"/>
  <c r="Q71" i="12"/>
  <c r="Q7" i="12"/>
  <c r="A9" i="12"/>
  <c r="D35" i="11"/>
  <c r="G35" i="11" s="1"/>
  <c r="D34" i="11"/>
  <c r="D33" i="11"/>
  <c r="G33" i="11" s="1"/>
  <c r="D32" i="11"/>
  <c r="G32" i="11" s="1"/>
  <c r="D31" i="11"/>
  <c r="G31" i="11" s="1"/>
  <c r="D30" i="11"/>
  <c r="D29" i="11"/>
  <c r="G29" i="11" s="1"/>
  <c r="D28" i="11"/>
  <c r="G28" i="11" s="1"/>
  <c r="D27" i="11"/>
  <c r="G27" i="11" s="1"/>
  <c r="D26" i="11"/>
  <c r="D25" i="11"/>
  <c r="G25" i="11" s="1"/>
  <c r="D24" i="11"/>
  <c r="G24" i="11" s="1"/>
  <c r="D23" i="11"/>
  <c r="G23" i="11" s="1"/>
  <c r="D22" i="11"/>
  <c r="D21" i="11"/>
  <c r="G21" i="11" s="1"/>
  <c r="D20" i="11"/>
  <c r="G20" i="11" s="1"/>
  <c r="D19" i="11"/>
  <c r="G19" i="11" s="1"/>
  <c r="D18" i="11"/>
  <c r="D17" i="11"/>
  <c r="G17" i="11" s="1"/>
  <c r="D16" i="11"/>
  <c r="G16" i="11" s="1"/>
  <c r="D15" i="11"/>
  <c r="G15" i="11" s="1"/>
  <c r="D14" i="11"/>
  <c r="D13" i="11"/>
  <c r="G13" i="11" s="1"/>
  <c r="D12" i="11"/>
  <c r="G12" i="11" s="1"/>
  <c r="D11" i="11"/>
  <c r="G11" i="11" s="1"/>
  <c r="H11" i="11" s="1"/>
  <c r="D10" i="11"/>
  <c r="D9" i="11"/>
  <c r="D8" i="11"/>
  <c r="D7" i="11"/>
  <c r="D6" i="11"/>
  <c r="D5" i="11"/>
  <c r="D4" i="11"/>
  <c r="D3" i="11"/>
  <c r="F14" i="5"/>
  <c r="L16" i="5"/>
  <c r="L12" i="5"/>
  <c r="L14" i="5"/>
  <c r="L18" i="5" s="1"/>
  <c r="L22" i="5" s="1"/>
  <c r="A75" i="12"/>
  <c r="A79" i="12"/>
  <c r="A83" i="12"/>
  <c r="A87" i="12"/>
  <c r="A91" i="12"/>
  <c r="A74" i="12"/>
  <c r="A78" i="12"/>
  <c r="A82" i="12"/>
  <c r="A86" i="12"/>
  <c r="A7" i="12"/>
  <c r="A70" i="12"/>
  <c r="A68" i="12"/>
  <c r="A66" i="12"/>
  <c r="A64" i="12"/>
  <c r="A62" i="12"/>
  <c r="A60" i="12"/>
  <c r="A58" i="12"/>
  <c r="A56" i="12"/>
  <c r="A54" i="12"/>
  <c r="A52" i="12"/>
  <c r="A50" i="12"/>
  <c r="A48" i="12"/>
  <c r="A46" i="12"/>
  <c r="A44" i="12"/>
  <c r="A42" i="12"/>
  <c r="A40" i="12"/>
  <c r="A38" i="12"/>
  <c r="A36" i="12"/>
  <c r="A34" i="12"/>
  <c r="A32" i="12"/>
  <c r="A30" i="12"/>
  <c r="A28" i="12"/>
  <c r="A26" i="12"/>
  <c r="A24" i="12"/>
  <c r="A22" i="12"/>
  <c r="A20" i="12"/>
  <c r="A18" i="12"/>
  <c r="A16" i="12"/>
  <c r="A14" i="12"/>
  <c r="A12" i="12"/>
  <c r="A10" i="12"/>
  <c r="A8" i="12"/>
  <c r="A71" i="12"/>
  <c r="A69" i="12"/>
  <c r="A67" i="12"/>
  <c r="A65" i="12"/>
  <c r="A63" i="12"/>
  <c r="A61" i="12"/>
  <c r="A59" i="12"/>
  <c r="A57" i="12"/>
  <c r="A55" i="12"/>
  <c r="A53" i="12"/>
  <c r="A51" i="12"/>
  <c r="A49" i="12"/>
  <c r="A47" i="12"/>
  <c r="A45" i="12"/>
  <c r="A43" i="12"/>
  <c r="A41" i="12"/>
  <c r="A39" i="12"/>
  <c r="A37" i="12"/>
  <c r="A35" i="12"/>
  <c r="A33" i="12"/>
  <c r="A31" i="12"/>
  <c r="A29" i="12"/>
  <c r="A27" i="12"/>
  <c r="A25" i="12"/>
  <c r="A23" i="12"/>
  <c r="A21" i="12"/>
  <c r="A19" i="12"/>
  <c r="A17" i="12"/>
  <c r="A15" i="12"/>
  <c r="A13" i="12"/>
  <c r="A11" i="12"/>
  <c r="A89" i="12"/>
  <c r="A65" i="13"/>
  <c r="A63" i="13"/>
  <c r="A61" i="13"/>
  <c r="A59" i="13"/>
  <c r="A57" i="13"/>
  <c r="A55" i="13"/>
  <c r="A51" i="13"/>
  <c r="A49" i="13"/>
  <c r="A47" i="13"/>
  <c r="A45" i="13"/>
  <c r="A43" i="13"/>
  <c r="A41" i="13"/>
  <c r="A39" i="13"/>
  <c r="A35" i="13"/>
  <c r="A33" i="13"/>
  <c r="A31" i="13"/>
  <c r="A29" i="13"/>
  <c r="A27" i="13"/>
  <c r="A25" i="13"/>
  <c r="A23" i="13"/>
  <c r="A21" i="13"/>
  <c r="A19" i="13"/>
  <c r="A17" i="13"/>
  <c r="A15" i="13"/>
  <c r="A13" i="13"/>
  <c r="A11" i="13"/>
  <c r="A9" i="13"/>
  <c r="A7" i="13"/>
  <c r="A5" i="13"/>
  <c r="A3" i="13"/>
  <c r="A72" i="12"/>
  <c r="A76" i="12"/>
  <c r="A80" i="12"/>
  <c r="A84" i="12"/>
  <c r="A88" i="12"/>
  <c r="A2" i="13"/>
  <c r="A64" i="13"/>
  <c r="A62" i="13"/>
  <c r="A60" i="13"/>
  <c r="A58" i="13"/>
  <c r="A56" i="13"/>
  <c r="A54" i="13"/>
  <c r="A52" i="13"/>
  <c r="A50" i="13"/>
  <c r="A48" i="13"/>
  <c r="A46" i="13"/>
  <c r="A44" i="13"/>
  <c r="A42" i="13"/>
  <c r="A40" i="13"/>
  <c r="A36" i="13"/>
  <c r="A34" i="13"/>
  <c r="A32" i="13"/>
  <c r="A30" i="13"/>
  <c r="A28" i="13"/>
  <c r="A26" i="13"/>
  <c r="A24" i="13"/>
  <c r="A22" i="13"/>
  <c r="A20" i="13"/>
  <c r="A18" i="13"/>
  <c r="A16" i="13"/>
  <c r="A14" i="13"/>
  <c r="A12" i="13"/>
  <c r="A10" i="13"/>
  <c r="A8" i="13"/>
  <c r="A6" i="13"/>
  <c r="A73" i="12"/>
  <c r="A81" i="12"/>
  <c r="X14" i="12"/>
  <c r="X40" i="12"/>
  <c r="X17" i="12"/>
  <c r="F28" i="12"/>
  <c r="F74" i="12"/>
  <c r="X41" i="12"/>
  <c r="F39" i="12"/>
  <c r="X39" i="12"/>
  <c r="F69" i="12"/>
  <c r="F41" i="12"/>
  <c r="X11" i="12"/>
  <c r="F62" i="12"/>
  <c r="X12" i="12"/>
  <c r="F42" i="12"/>
  <c r="F86" i="12"/>
  <c r="F54" i="12"/>
  <c r="F27" i="12"/>
  <c r="F60" i="12"/>
  <c r="X9" i="12"/>
  <c r="F63" i="12"/>
  <c r="F13" i="12"/>
  <c r="X29" i="12"/>
  <c r="X28" i="12"/>
  <c r="F23" i="12"/>
  <c r="F84" i="12"/>
  <c r="F57" i="12"/>
  <c r="F52" i="12"/>
  <c r="F83" i="12"/>
  <c r="F46" i="12"/>
  <c r="F43" i="12"/>
  <c r="X36" i="12"/>
  <c r="X27" i="12"/>
  <c r="F35" i="12"/>
  <c r="X13" i="12"/>
  <c r="F66" i="12"/>
  <c r="F11" i="12"/>
  <c r="F72" i="12"/>
  <c r="F64" i="12"/>
  <c r="X26" i="12"/>
  <c r="F31" i="12"/>
  <c r="X30" i="12"/>
  <c r="F71" i="12"/>
  <c r="F65" i="12"/>
  <c r="F82" i="12"/>
  <c r="F25" i="12"/>
  <c r="F21" i="12"/>
  <c r="F44" i="12"/>
  <c r="F18" i="12"/>
  <c r="F88" i="12"/>
  <c r="F14" i="12"/>
  <c r="F34" i="12"/>
  <c r="F12" i="12"/>
  <c r="X35" i="12"/>
  <c r="F51" i="12"/>
  <c r="X38" i="12"/>
  <c r="F49" i="12"/>
  <c r="F40" i="12"/>
  <c r="X10" i="12"/>
  <c r="F90" i="12"/>
  <c r="F75" i="12"/>
  <c r="F29" i="12"/>
  <c r="X15" i="12"/>
  <c r="F37" i="12"/>
  <c r="F45" i="12"/>
  <c r="X37" i="12"/>
  <c r="F81" i="12"/>
  <c r="F30" i="12"/>
  <c r="F73" i="12"/>
  <c r="F78" i="12"/>
  <c r="X19" i="12"/>
  <c r="X42" i="12"/>
  <c r="F19" i="12"/>
  <c r="F56" i="12"/>
  <c r="F32" i="12"/>
  <c r="X23" i="12"/>
  <c r="F17" i="12"/>
  <c r="F47" i="12"/>
  <c r="X20" i="12"/>
  <c r="F55" i="12"/>
  <c r="F91" i="12"/>
  <c r="X25" i="12"/>
  <c r="F9" i="12"/>
  <c r="X21" i="12"/>
  <c r="X34" i="12"/>
  <c r="F87" i="12"/>
  <c r="F26" i="12"/>
  <c r="F16" i="12"/>
  <c r="X22" i="12"/>
  <c r="F79" i="12"/>
  <c r="X16" i="12"/>
  <c r="F59" i="12"/>
  <c r="F77" i="12"/>
  <c r="X32" i="12"/>
  <c r="F10" i="12"/>
  <c r="F67" i="12"/>
  <c r="X8" i="12"/>
  <c r="X33" i="12"/>
  <c r="F22" i="12"/>
  <c r="F15" i="12"/>
  <c r="X24" i="12"/>
  <c r="F80" i="12"/>
  <c r="F53" i="12"/>
  <c r="X7" i="12"/>
  <c r="F24" i="12"/>
  <c r="F8" i="12"/>
  <c r="F36" i="12"/>
  <c r="X31" i="12"/>
  <c r="F89" i="12"/>
  <c r="X18" i="12"/>
  <c r="F70" i="12"/>
  <c r="X43" i="12"/>
  <c r="F33" i="12"/>
  <c r="F85" i="12"/>
  <c r="F7" i="12"/>
  <c r="F76" i="12"/>
  <c r="F61" i="12"/>
  <c r="F58" i="12"/>
  <c r="F50" i="12"/>
  <c r="F48" i="12"/>
  <c r="F20" i="12"/>
  <c r="F68" i="12"/>
  <c r="F38" i="12"/>
  <c r="W83" i="10" l="1"/>
  <c r="W87" i="10"/>
  <c r="W98" i="10"/>
  <c r="W97" i="10"/>
  <c r="W84" i="10"/>
  <c r="W88" i="10"/>
  <c r="W92" i="10"/>
  <c r="W99" i="10"/>
  <c r="A4" i="13"/>
  <c r="W85" i="10"/>
  <c r="W89" i="10"/>
  <c r="W93" i="10"/>
  <c r="W183" i="10"/>
  <c r="W86" i="10"/>
  <c r="W90" i="10"/>
  <c r="W100" i="10"/>
  <c r="W169" i="10"/>
  <c r="W165" i="10"/>
  <c r="W171" i="10"/>
  <c r="W175" i="10"/>
  <c r="W179" i="10"/>
  <c r="W181" i="10"/>
  <c r="W186" i="10"/>
  <c r="W188" i="10"/>
  <c r="W166" i="10"/>
  <c r="W170" i="10"/>
  <c r="W172" i="10"/>
  <c r="W174" i="10"/>
  <c r="W176" i="10"/>
  <c r="W178" i="10"/>
  <c r="W180" i="10"/>
  <c r="W182" i="10"/>
  <c r="W184" i="10"/>
  <c r="W187" i="10"/>
  <c r="W101" i="10"/>
  <c r="W167" i="10"/>
  <c r="W185" i="10"/>
  <c r="W168" i="10"/>
  <c r="W173" i="10"/>
  <c r="W177" i="10"/>
  <c r="W164" i="10"/>
  <c r="W163" i="10"/>
  <c r="W112" i="10"/>
  <c r="W211" i="10"/>
  <c r="W139" i="10"/>
  <c r="W109" i="10"/>
  <c r="W113" i="10"/>
  <c r="W124" i="10"/>
  <c r="W136" i="10"/>
  <c r="W141" i="10"/>
  <c r="W145" i="10"/>
  <c r="W161" i="10"/>
  <c r="W192" i="10"/>
  <c r="W200" i="10"/>
  <c r="W204" i="10"/>
  <c r="W208" i="10"/>
  <c r="W212" i="10"/>
  <c r="W106" i="10"/>
  <c r="W110" i="10"/>
  <c r="W137" i="10"/>
  <c r="W142" i="10"/>
  <c r="W146" i="10"/>
  <c r="W162" i="10"/>
  <c r="W193" i="10"/>
  <c r="W201" i="10"/>
  <c r="W209"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103" i="10"/>
  <c r="W107" i="10"/>
  <c r="W111" i="10"/>
  <c r="W118" i="10"/>
  <c r="W122" i="10"/>
  <c r="W126" i="10"/>
  <c r="W130" i="10"/>
  <c r="W134" i="10"/>
  <c r="W138" i="10"/>
  <c r="W143" i="10"/>
  <c r="W147" i="10"/>
  <c r="W151" i="10"/>
  <c r="W155" i="10"/>
  <c r="W159" i="10"/>
  <c r="W190" i="10"/>
  <c r="W194" i="10"/>
  <c r="W198" i="10"/>
  <c r="W202" i="10"/>
  <c r="W206" i="10"/>
  <c r="W210" i="10"/>
  <c r="W105" i="10"/>
  <c r="W120" i="10"/>
  <c r="W128" i="10"/>
  <c r="W132" i="10"/>
  <c r="W149" i="10"/>
  <c r="W153" i="10"/>
  <c r="W157" i="10"/>
  <c r="W196" i="10"/>
  <c r="W114" i="10"/>
  <c r="W117" i="10"/>
  <c r="W121" i="10"/>
  <c r="W125" i="10"/>
  <c r="W129" i="10"/>
  <c r="W133" i="10"/>
  <c r="W150" i="10"/>
  <c r="W154" i="10"/>
  <c r="W158" i="10"/>
  <c r="W197" i="10"/>
  <c r="W205" i="10"/>
  <c r="W104" i="10"/>
  <c r="W108" i="10"/>
  <c r="W119" i="10"/>
  <c r="W123" i="10"/>
  <c r="W127" i="10"/>
  <c r="W131" i="10"/>
  <c r="W135" i="10"/>
  <c r="W144" i="10"/>
  <c r="W148" i="10"/>
  <c r="W152" i="10"/>
  <c r="W156" i="10"/>
  <c r="W160" i="10"/>
  <c r="W191" i="10"/>
  <c r="W195" i="10"/>
  <c r="W199" i="10"/>
  <c r="W203" i="10"/>
  <c r="W207" i="10"/>
  <c r="H13" i="11"/>
  <c r="H17" i="11"/>
  <c r="H21" i="11"/>
  <c r="H25" i="11"/>
  <c r="H29" i="11"/>
  <c r="H33" i="11"/>
  <c r="G34" i="11"/>
  <c r="H34" i="11" s="1"/>
  <c r="G30" i="11"/>
  <c r="H30" i="11" s="1"/>
  <c r="G26" i="11"/>
  <c r="H26" i="11" s="1"/>
  <c r="G22" i="11"/>
  <c r="H22" i="11" s="1"/>
  <c r="G18" i="11"/>
  <c r="H18" i="11" s="1"/>
  <c r="G14" i="11"/>
  <c r="H14" i="11" s="1"/>
  <c r="H16" i="11"/>
  <c r="H20" i="11"/>
  <c r="H24" i="11"/>
  <c r="H28" i="11"/>
  <c r="H32" i="11"/>
  <c r="H31" i="11"/>
  <c r="H19" i="11"/>
  <c r="E8" i="11"/>
  <c r="E7" i="11"/>
  <c r="H12" i="11"/>
  <c r="H23" i="11"/>
  <c r="H15" i="11"/>
  <c r="H35" i="11"/>
  <c r="H27" i="11"/>
  <c r="E4" i="11"/>
  <c r="E21" i="11"/>
  <c r="E35" i="11"/>
  <c r="E26" i="11"/>
  <c r="E24" i="11"/>
  <c r="E19" i="11"/>
  <c r="E6" i="11"/>
  <c r="E23" i="11"/>
  <c r="E31" i="11"/>
  <c r="E34" i="11"/>
  <c r="E10" i="11"/>
  <c r="E29" i="11"/>
  <c r="E25" i="11"/>
  <c r="E18" i="11"/>
  <c r="E11" i="11"/>
  <c r="E22" i="11"/>
  <c r="E16" i="11"/>
  <c r="E5" i="11"/>
  <c r="E3" i="11"/>
  <c r="E28" i="11"/>
  <c r="E13" i="11"/>
  <c r="E12" i="11"/>
  <c r="E27" i="11"/>
  <c r="E20" i="11"/>
  <c r="E15" i="11"/>
  <c r="E32" i="11"/>
  <c r="E9" i="11"/>
  <c r="E30" i="11"/>
  <c r="E14" i="11"/>
  <c r="A85" i="12"/>
  <c r="I11" i="11"/>
  <c r="L20" i="5"/>
  <c r="F12" i="5"/>
  <c r="E17" i="11"/>
  <c r="E33" i="11"/>
  <c r="A77" i="12"/>
  <c r="I13" i="11" l="1"/>
  <c r="I20" i="11"/>
  <c r="I14" i="11"/>
  <c r="I12" i="11"/>
  <c r="I16" i="11"/>
  <c r="I25" i="11"/>
  <c r="I32" i="11"/>
  <c r="I17" i="11"/>
  <c r="I23" i="11"/>
  <c r="I29" i="11"/>
  <c r="I18" i="11"/>
  <c r="I34" i="11"/>
  <c r="I26" i="11"/>
  <c r="I21" i="11"/>
  <c r="I33" i="11"/>
  <c r="I27" i="11"/>
  <c r="I35" i="11"/>
  <c r="I19" i="11"/>
  <c r="I22" i="11"/>
  <c r="I24" i="11"/>
  <c r="I28" i="11"/>
  <c r="I31" i="11"/>
  <c r="I30" i="11"/>
  <c r="I15" i="11"/>
</calcChain>
</file>

<file path=xl/comments1.xml><?xml version="1.0" encoding="utf-8"?>
<comments xmlns="http://schemas.openxmlformats.org/spreadsheetml/2006/main">
  <authors>
    <author>作者</author>
  </authors>
  <commentList>
    <comment ref="C19" authorId="0">
      <text>
        <r>
          <rPr>
            <b/>
            <sz val="9"/>
            <color indexed="81"/>
            <rFont val="細明體"/>
            <family val="3"/>
            <charset val="136"/>
          </rPr>
          <t>作者:</t>
        </r>
        <r>
          <rPr>
            <sz val="9"/>
            <color indexed="81"/>
            <rFont val="細明體"/>
            <family val="3"/>
            <charset val="136"/>
          </rPr>
          <t xml:space="preserve">
未來主線推出</t>
        </r>
      </text>
    </comment>
  </commentList>
</comments>
</file>

<file path=xl/comments2.xml><?xml version="1.0" encoding="utf-8"?>
<comments xmlns="http://schemas.openxmlformats.org/spreadsheetml/2006/main">
  <authors>
    <author>scozirge</author>
  </authors>
  <commentList>
    <comment ref="D11" authorId="0">
      <text>
        <r>
          <rPr>
            <b/>
            <sz val="9"/>
            <color indexed="81"/>
            <rFont val="新細明體"/>
            <family val="1"/>
            <charset val="136"/>
          </rPr>
          <t>scozirge:</t>
        </r>
        <r>
          <rPr>
            <sz val="9"/>
            <color indexed="81"/>
            <rFont val="新細明體"/>
            <family val="1"/>
            <charset val="136"/>
          </rPr>
          <t xml:space="preserve">
屬性相剋增加的增加/減少的傷害%數</t>
        </r>
      </text>
    </comment>
    <comment ref="D13" authorId="0">
      <text>
        <r>
          <rPr>
            <b/>
            <sz val="9"/>
            <color indexed="81"/>
            <rFont val="新細明體"/>
            <family val="1"/>
            <charset val="136"/>
          </rPr>
          <t>scozirge:</t>
        </r>
        <r>
          <rPr>
            <sz val="9"/>
            <color indexed="81"/>
            <rFont val="新細明體"/>
            <family val="1"/>
            <charset val="136"/>
          </rPr>
          <t xml:space="preserve">
最後的傷害都會乘上80%~100%</t>
        </r>
      </text>
    </comment>
    <comment ref="D15" authorId="0">
      <text>
        <r>
          <rPr>
            <b/>
            <sz val="9"/>
            <color indexed="81"/>
            <rFont val="新細明體"/>
            <family val="1"/>
            <charset val="136"/>
          </rPr>
          <t>scozirge:</t>
        </r>
        <r>
          <rPr>
            <sz val="9"/>
            <color indexed="81"/>
            <rFont val="新細明體"/>
            <family val="1"/>
            <charset val="136"/>
          </rPr>
          <t xml:space="preserve">
最低造成的傷害為攻擊的幾%</t>
        </r>
      </text>
    </comment>
  </commentList>
</comments>
</file>

<file path=xl/comments3.xml><?xml version="1.0" encoding="utf-8"?>
<comments xmlns="http://schemas.openxmlformats.org/spreadsheetml/2006/main">
  <authors>
    <author>作者</author>
  </authors>
  <commentList>
    <comment ref="B6" authorId="0">
      <text>
        <r>
          <rPr>
            <b/>
            <sz val="9"/>
            <color indexed="81"/>
            <rFont val="細明體"/>
            <family val="3"/>
            <charset val="136"/>
          </rPr>
          <t>作者:</t>
        </r>
        <r>
          <rPr>
            <sz val="9"/>
            <color indexed="81"/>
            <rFont val="細明體"/>
            <family val="3"/>
            <charset val="136"/>
          </rPr>
          <t xml:space="preserve">
一件裝備不會隨機到重複編號的附魔</t>
        </r>
      </text>
    </comment>
    <comment ref="E6" authorId="0">
      <text>
        <r>
          <rPr>
            <b/>
            <sz val="9"/>
            <color indexed="81"/>
            <rFont val="細明體"/>
            <family val="3"/>
            <charset val="136"/>
          </rPr>
          <t>作者:</t>
        </r>
        <r>
          <rPr>
            <sz val="9"/>
            <color indexed="81"/>
            <rFont val="細明體"/>
            <family val="3"/>
            <charset val="136"/>
          </rPr>
          <t xml:space="preserve">
填狀態ID</t>
        </r>
      </text>
    </comment>
    <comment ref="F6" authorId="0">
      <text>
        <r>
          <rPr>
            <b/>
            <sz val="9"/>
            <color indexed="81"/>
            <rFont val="Tahoma"/>
            <family val="2"/>
          </rPr>
          <t>作者:</t>
        </r>
        <r>
          <rPr>
            <sz val="9"/>
            <color indexed="81"/>
            <rFont val="Tahoma"/>
            <family val="2"/>
          </rPr>
          <t xml:space="preserve">
ID,</t>
        </r>
        <r>
          <rPr>
            <sz val="9"/>
            <color indexed="81"/>
            <rFont val="細明體"/>
            <family val="3"/>
            <charset val="136"/>
          </rPr>
          <t>數量</t>
        </r>
        <r>
          <rPr>
            <sz val="9"/>
            <color indexed="81"/>
            <rFont val="Tahoma"/>
            <family val="2"/>
          </rPr>
          <t>/ID,</t>
        </r>
        <r>
          <rPr>
            <sz val="9"/>
            <color indexed="81"/>
            <rFont val="細明體"/>
            <family val="3"/>
            <charset val="136"/>
          </rPr>
          <t>數量</t>
        </r>
        <r>
          <rPr>
            <sz val="9"/>
            <color indexed="81"/>
            <rFont val="Tahoma"/>
            <family val="2"/>
          </rPr>
          <t>….</t>
        </r>
      </text>
    </comment>
    <comment ref="G6" authorId="0">
      <text>
        <r>
          <rPr>
            <b/>
            <sz val="9"/>
            <color indexed="81"/>
            <rFont val="細明體"/>
            <family val="3"/>
            <charset val="136"/>
          </rPr>
          <t>作者:</t>
        </r>
        <r>
          <rPr>
            <sz val="9"/>
            <color indexed="81"/>
            <rFont val="細明體"/>
            <family val="3"/>
            <charset val="136"/>
          </rPr>
          <t xml:space="preserve">
全部的權重加總起來若為1000而編號1的強化權重為100，那隨機到編號1的附魔機率就為100/1000
※一件裝備不會隨機到重複編號的附魔</t>
        </r>
      </text>
    </comment>
  </commentList>
</comments>
</file>

<file path=xl/sharedStrings.xml><?xml version="1.0" encoding="utf-8"?>
<sst xmlns="http://schemas.openxmlformats.org/spreadsheetml/2006/main" count="2422" uniqueCount="1358">
  <si>
    <t>品階</t>
    <phoneticPr fontId="2" type="noConversion"/>
  </si>
  <si>
    <t>SSR</t>
  </si>
  <si>
    <t>N</t>
  </si>
  <si>
    <t>SR</t>
  </si>
  <si>
    <t>UR</t>
  </si>
  <si>
    <t>R</t>
  </si>
  <si>
    <t>帕修斯</t>
  </si>
  <si>
    <t>生命終值</t>
    <phoneticPr fontId="2" type="noConversion"/>
  </si>
  <si>
    <t>攻擊終值</t>
    <phoneticPr fontId="2" type="noConversion"/>
  </si>
  <si>
    <t>防禦終值</t>
    <phoneticPr fontId="2" type="noConversion"/>
  </si>
  <si>
    <t>速度終值</t>
    <phoneticPr fontId="2" type="noConversion"/>
  </si>
  <si>
    <t>移動終值</t>
    <phoneticPr fontId="2" type="noConversion"/>
  </si>
  <si>
    <t>傷害模擬(黃底部分為輸入數值)</t>
    <phoneticPr fontId="2" type="noConversion"/>
  </si>
  <si>
    <t>固定參數</t>
    <phoneticPr fontId="2" type="noConversion"/>
  </si>
  <si>
    <t>攻擊方</t>
    <phoneticPr fontId="2" type="noConversion"/>
  </si>
  <si>
    <t>防禦方</t>
    <phoneticPr fontId="2" type="noConversion"/>
  </si>
  <si>
    <t>結果</t>
    <phoneticPr fontId="2" type="noConversion"/>
  </si>
  <si>
    <t>屬性相剋倍率</t>
    <phoneticPr fontId="2" type="noConversion"/>
  </si>
  <si>
    <t>角色攻擊力</t>
    <phoneticPr fontId="2" type="noConversion"/>
  </si>
  <si>
    <t>總攻擊力</t>
    <phoneticPr fontId="2" type="noConversion"/>
  </si>
  <si>
    <t>防禦力</t>
    <phoneticPr fontId="2" type="noConversion"/>
  </si>
  <si>
    <t>屬性加成</t>
    <phoneticPr fontId="2" type="noConversion"/>
  </si>
  <si>
    <t>傷害浮動率</t>
    <phoneticPr fontId="2" type="noConversion"/>
  </si>
  <si>
    <t>屬性傷害</t>
    <phoneticPr fontId="2" type="noConversion"/>
  </si>
  <si>
    <t>對應屬性的抗性</t>
    <phoneticPr fontId="2" type="noConversion"/>
  </si>
  <si>
    <t>屬性相剋</t>
    <phoneticPr fontId="2" type="noConversion"/>
  </si>
  <si>
    <t>血量</t>
    <phoneticPr fontId="2" type="noConversion"/>
  </si>
  <si>
    <t>傷害浮動</t>
    <phoneticPr fontId="2" type="noConversion"/>
  </si>
  <si>
    <t>不相剋</t>
  </si>
  <si>
    <t>技能倍率</t>
    <phoneticPr fontId="2" type="noConversion"/>
  </si>
  <si>
    <t>實際傷害(不考慮傷害浮動)</t>
    <phoneticPr fontId="2" type="noConversion"/>
  </si>
  <si>
    <t>技能攻擊附加傷害</t>
  </si>
  <si>
    <t>實際傷害(傷害浮動)</t>
    <phoneticPr fontId="2" type="noConversion"/>
  </si>
  <si>
    <t>約幾次攻擊後會死亡</t>
    <phoneticPr fontId="2" type="noConversion"/>
  </si>
  <si>
    <t>傷害模擬</t>
    <phoneticPr fontId="2" type="noConversion"/>
  </si>
  <si>
    <t>鐵修斯</t>
  </si>
  <si>
    <t>齊格妮</t>
  </si>
  <si>
    <t>齊格飛</t>
  </si>
  <si>
    <t>貝奧武夫</t>
  </si>
  <si>
    <t>※黃底部分為自填區塊</t>
    <phoneticPr fontId="2" type="noConversion"/>
  </si>
  <si>
    <t>芬里爾</t>
  </si>
  <si>
    <t>最低傷害</t>
    <phoneticPr fontId="2" type="noConversion"/>
  </si>
  <si>
    <t>品階</t>
  </si>
  <si>
    <t>生命終值</t>
  </si>
  <si>
    <t>攻擊終值</t>
  </si>
  <si>
    <t>防禦終值</t>
  </si>
  <si>
    <t>速度終值</t>
  </si>
  <si>
    <t>移動終值</t>
  </si>
  <si>
    <t>暴擊終值</t>
  </si>
  <si>
    <t>海克力斯</t>
  </si>
  <si>
    <t>伊底帕斯</t>
  </si>
  <si>
    <t>齊格蒙</t>
  </si>
  <si>
    <t>海妖毒杯</t>
  </si>
  <si>
    <t>唱詩人魚</t>
  </si>
  <si>
    <t>斯媚惑海妖</t>
  </si>
  <si>
    <t>巨毒海獸</t>
  </si>
  <si>
    <t>大型海馬</t>
  </si>
  <si>
    <t>護身肩甲</t>
  </si>
  <si>
    <t>精工拴套</t>
  </si>
  <si>
    <t>湛藍水晶</t>
  </si>
  <si>
    <t>起源獸盔</t>
  </si>
  <si>
    <t>燃燒寶石</t>
  </si>
  <si>
    <t>撕裂惡叉</t>
  </si>
  <si>
    <t>斯萊布尼爾</t>
  </si>
  <si>
    <t>斯庫爾</t>
  </si>
  <si>
    <t>耶夢加得</t>
  </si>
  <si>
    <t>韋蘭的飛行翼</t>
  </si>
  <si>
    <t>格拉墨</t>
  </si>
  <si>
    <t>埃吉爾頭盔</t>
  </si>
  <si>
    <t>里迪爾劍</t>
  </si>
  <si>
    <t>戴因斯列夫</t>
  </si>
  <si>
    <t>提爾芬格</t>
  </si>
  <si>
    <t>提爾之劍</t>
  </si>
  <si>
    <t>福瑞的魔劍</t>
  </si>
  <si>
    <t>安德華利的黃金</t>
  </si>
  <si>
    <t>※裝備分武器防防具跟飾品與專武，一位英雄可以裝一件武器、一件防具、兩件飾品、一件專武</t>
    <phoneticPr fontId="2" type="noConversion"/>
  </si>
  <si>
    <t>規畫原則</t>
    <phoneticPr fontId="2" type="noConversion"/>
  </si>
  <si>
    <t>競技特裝</t>
  </si>
  <si>
    <t>異變果實(紫)</t>
  </si>
  <si>
    <t>神謎耳飾</t>
  </si>
  <si>
    <t>睿智寶瓶</t>
  </si>
  <si>
    <t>竊盜之翼</t>
  </si>
  <si>
    <t>守護獠牙</t>
  </si>
  <si>
    <t>精工戒指</t>
  </si>
  <si>
    <t>黃金假髮</t>
  </si>
  <si>
    <t>貪婪之戒</t>
  </si>
  <si>
    <t>魅惑緞帶</t>
  </si>
  <si>
    <t>水晶頭飾</t>
  </si>
  <si>
    <t>堅硬蟹鎧</t>
  </si>
  <si>
    <t>精工之槌</t>
  </si>
  <si>
    <t>冥府之石</t>
  </si>
  <si>
    <t>熾紅頭飾</t>
  </si>
  <si>
    <t>異變果實(橘)</t>
  </si>
  <si>
    <t>禍害手杖</t>
  </si>
  <si>
    <t>獅鴛皮甲</t>
  </si>
  <si>
    <t>阿爾維斯的侏儒帽</t>
  </si>
  <si>
    <t>懾人巨斧</t>
  </si>
  <si>
    <t>詩蜜酒</t>
  </si>
  <si>
    <t>毒麟弓</t>
  </si>
  <si>
    <t>蝕明魔劍</t>
  </si>
  <si>
    <t>世毒巨劍</t>
  </si>
  <si>
    <t>格萊普尼爾</t>
  </si>
  <si>
    <t>等級</t>
    <phoneticPr fontId="9" type="noConversion"/>
  </si>
  <si>
    <t>升級機率</t>
    <phoneticPr fontId="9" type="noConversion"/>
  </si>
  <si>
    <t>消耗金幣升級機率</t>
    <phoneticPr fontId="9" type="noConversion"/>
  </si>
  <si>
    <t>消耗金幣</t>
    <phoneticPr fontId="9" type="noConversion"/>
  </si>
  <si>
    <t>平均消耗金幣</t>
    <phoneticPr fontId="9" type="noConversion"/>
  </si>
  <si>
    <t>平均總消耗金幣</t>
    <phoneticPr fontId="9" type="noConversion"/>
  </si>
  <si>
    <t>特勞布尼爾</t>
  </si>
  <si>
    <t>葛羅提的石臼</t>
  </si>
  <si>
    <t>拉恩的魔法拋網</t>
  </si>
  <si>
    <t>飛鷹羽衣</t>
  </si>
  <si>
    <t>天鵝羽衣</t>
  </si>
  <si>
    <t>鷲鷹羽衣</t>
  </si>
  <si>
    <t>至高王座</t>
  </si>
  <si>
    <t>洛基的魔法拋網</t>
  </si>
  <si>
    <t>福瑞之馬</t>
  </si>
  <si>
    <t>唐格紐斯特與唐格理斯尼</t>
  </si>
  <si>
    <t>獨眼巨人</t>
  </si>
  <si>
    <t>斯庫拉</t>
  </si>
  <si>
    <t>大型喀邁拉</t>
  </si>
  <si>
    <t>歐德姆布拉</t>
  </si>
  <si>
    <t>斯芬克斯</t>
  </si>
  <si>
    <t>喀戎</t>
  </si>
  <si>
    <t>哈耳庇厄</t>
  </si>
  <si>
    <t>加爾姆</t>
  </si>
  <si>
    <t>杜林</t>
  </si>
  <si>
    <t>卡刺努斯</t>
  </si>
  <si>
    <t>穆斯佩王</t>
  </si>
  <si>
    <t>大型地獄犬</t>
  </si>
  <si>
    <t>菲尼克司</t>
  </si>
  <si>
    <t>喀邁拉</t>
  </si>
  <si>
    <t>卡呂冬野豬</t>
  </si>
  <si>
    <t>格里芬</t>
  </si>
  <si>
    <t>阿爾維斯</t>
  </si>
  <si>
    <t>法夫尼爾</t>
  </si>
  <si>
    <t>能量回復+1</t>
  </si>
  <si>
    <t>布羅克</t>
  </si>
  <si>
    <t>堅毅之錘</t>
  </si>
  <si>
    <t>巨人頭盔</t>
  </si>
  <si>
    <t>安德華拉諾特</t>
  </si>
  <si>
    <t>灼熱火槌</t>
  </si>
  <si>
    <t>妖精召喚書</t>
  </si>
  <si>
    <t>鋒銳</t>
    <phoneticPr fontId="2" type="noConversion"/>
  </si>
  <si>
    <t>硬質</t>
    <phoneticPr fontId="2" type="noConversion"/>
  </si>
  <si>
    <t>強鑄</t>
    <phoneticPr fontId="2" type="noConversion"/>
  </si>
  <si>
    <t>堅毅</t>
    <phoneticPr fontId="2" type="noConversion"/>
  </si>
  <si>
    <t>風阻</t>
    <phoneticPr fontId="2" type="noConversion"/>
  </si>
  <si>
    <t>僻水</t>
    <phoneticPr fontId="2" type="noConversion"/>
  </si>
  <si>
    <t>炎斷</t>
    <phoneticPr fontId="2" type="noConversion"/>
  </si>
  <si>
    <t>遮光</t>
    <phoneticPr fontId="2" type="noConversion"/>
  </si>
  <si>
    <t>魔禦</t>
    <phoneticPr fontId="2" type="noConversion"/>
  </si>
  <si>
    <t>祝福</t>
    <phoneticPr fontId="2" type="noConversion"/>
  </si>
  <si>
    <t>噬血</t>
    <phoneticPr fontId="2" type="noConversion"/>
  </si>
  <si>
    <t>強韌</t>
  </si>
  <si>
    <t>淬毒</t>
    <phoneticPr fontId="2" type="noConversion"/>
  </si>
  <si>
    <t>ID</t>
    <phoneticPr fontId="2" type="noConversion"/>
  </si>
  <si>
    <t>強化名稱</t>
    <phoneticPr fontId="2" type="noConversion"/>
  </si>
  <si>
    <t>效果說明</t>
    <phoneticPr fontId="2" type="noConversion"/>
  </si>
  <si>
    <t>效果</t>
    <phoneticPr fontId="2" type="noConversion"/>
  </si>
  <si>
    <t>消耗素材</t>
    <phoneticPr fontId="2" type="noConversion"/>
  </si>
  <si>
    <t>權重</t>
    <phoneticPr fontId="2" type="noConversion"/>
  </si>
  <si>
    <t>花費遊戲幣</t>
    <phoneticPr fontId="2" type="noConversion"/>
  </si>
  <si>
    <t>爆擊抗性+1%</t>
  </si>
  <si>
    <t>爆擊抗性+2%</t>
  </si>
  <si>
    <t>爆擊抗性+3%</t>
  </si>
  <si>
    <t>消耗素材1</t>
    <phoneticPr fontId="2" type="noConversion"/>
  </si>
  <si>
    <t>消耗素材2</t>
  </si>
  <si>
    <t>消耗素材3</t>
  </si>
  <si>
    <t>消耗素材4</t>
    <phoneticPr fontId="2" type="noConversion"/>
  </si>
  <si>
    <t>混合血肉</t>
  </si>
  <si>
    <t>巨犬之牙</t>
  </si>
  <si>
    <t>堅硬蟹殼</t>
  </si>
  <si>
    <t>精工之槌設計圖</t>
  </si>
  <si>
    <t>烈焰之心</t>
  </si>
  <si>
    <t>不死鳥羽翼</t>
  </si>
  <si>
    <t>災禍豬牙</t>
  </si>
  <si>
    <t>獅鴛皮毛</t>
  </si>
  <si>
    <t>黑精靈的布塊</t>
  </si>
  <si>
    <t>巨斧碎塊</t>
  </si>
  <si>
    <t>鍛造的殘塊</t>
  </si>
  <si>
    <t>賢者之血</t>
  </si>
  <si>
    <t>巨狼之骨</t>
  </si>
  <si>
    <t>巨毒蛇之牙</t>
  </si>
  <si>
    <t>噬神魔狼之牙</t>
  </si>
  <si>
    <t>巨人骨骼</t>
    <phoneticPr fontId="2" type="noConversion"/>
  </si>
  <si>
    <t>消耗素材1</t>
    <phoneticPr fontId="2" type="noConversion"/>
  </si>
  <si>
    <t>消耗素材4</t>
    <phoneticPr fontId="2" type="noConversion"/>
  </si>
  <si>
    <t>數量1</t>
    <phoneticPr fontId="2" type="noConversion"/>
  </si>
  <si>
    <t>數量2</t>
  </si>
  <si>
    <t>數量3</t>
  </si>
  <si>
    <t>數量4</t>
  </si>
  <si>
    <t>使用數量</t>
    <phoneticPr fontId="2" type="noConversion"/>
  </si>
  <si>
    <t>素材名稱</t>
    <phoneticPr fontId="2" type="noConversion"/>
  </si>
  <si>
    <t>道具ID</t>
    <phoneticPr fontId="2" type="noConversion"/>
  </si>
  <si>
    <t>AP消耗</t>
    <phoneticPr fontId="2" type="noConversion"/>
  </si>
  <si>
    <t>機率</t>
    <phoneticPr fontId="2" type="noConversion"/>
  </si>
  <si>
    <t>需求AP</t>
    <phoneticPr fontId="2" type="noConversion"/>
  </si>
  <si>
    <t>海魔之觸</t>
    <phoneticPr fontId="2" type="noConversion"/>
  </si>
  <si>
    <t>母牛角質</t>
    <phoneticPr fontId="2" type="noConversion"/>
  </si>
  <si>
    <t>素材分割字串</t>
    <phoneticPr fontId="2" type="noConversion"/>
  </si>
  <si>
    <t>/</t>
    <phoneticPr fontId="2" type="noConversion"/>
  </si>
  <si>
    <t>巨人骨骼</t>
  </si>
  <si>
    <t>母牛角質</t>
  </si>
  <si>
    <t>混合鬃毛</t>
    <phoneticPr fontId="2" type="noConversion"/>
  </si>
  <si>
    <t>巨犬之牙</t>
    <phoneticPr fontId="2" type="noConversion"/>
  </si>
  <si>
    <t>堅硬蟹殼</t>
    <phoneticPr fontId="2" type="noConversion"/>
  </si>
  <si>
    <t>戒指的碎塊</t>
    <phoneticPr fontId="2" type="noConversion"/>
  </si>
  <si>
    <t>精工戒指設計圖</t>
    <phoneticPr fontId="2" type="noConversion"/>
  </si>
  <si>
    <t>精工假髮設計圖</t>
    <phoneticPr fontId="2" type="noConversion"/>
  </si>
  <si>
    <t>秘語沙塵</t>
    <phoneticPr fontId="2" type="noConversion"/>
  </si>
  <si>
    <t>賢者之血</t>
    <phoneticPr fontId="2" type="noConversion"/>
  </si>
  <si>
    <t>智慧碎片</t>
    <phoneticPr fontId="2" type="noConversion"/>
  </si>
  <si>
    <t>人魚淚珠</t>
    <phoneticPr fontId="2" type="noConversion"/>
  </si>
  <si>
    <t>鑄造石</t>
    <phoneticPr fontId="2" type="noConversion"/>
  </si>
  <si>
    <t>鑄造銅</t>
    <phoneticPr fontId="2" type="noConversion"/>
  </si>
  <si>
    <t>鑄造石</t>
  </si>
  <si>
    <t>鑄造銅</t>
  </si>
  <si>
    <t>適性</t>
    <phoneticPr fontId="2" type="noConversion"/>
  </si>
  <si>
    <t>神性</t>
    <phoneticPr fontId="2" type="noConversion"/>
  </si>
  <si>
    <t>剛體</t>
    <phoneticPr fontId="2" type="noConversion"/>
  </si>
  <si>
    <t>靈性</t>
    <phoneticPr fontId="2" type="noConversion"/>
  </si>
  <si>
    <t>哈耳庇厄之羽</t>
    <phoneticPr fontId="2" type="noConversion"/>
  </si>
  <si>
    <t>一天可回復480AP</t>
    <phoneticPr fontId="2" type="noConversion"/>
  </si>
  <si>
    <t>災禍豬牙</t>
    <phoneticPr fontId="2" type="noConversion"/>
  </si>
  <si>
    <t>斯庫爾之牙</t>
  </si>
  <si>
    <t>斯庫爾之牙</t>
    <phoneticPr fontId="2" type="noConversion"/>
  </si>
  <si>
    <t>烈焰之心</t>
    <phoneticPr fontId="2" type="noConversion"/>
  </si>
  <si>
    <t>精工之槌設計圖</t>
    <phoneticPr fontId="2" type="noConversion"/>
  </si>
  <si>
    <t>死沉灰燼</t>
  </si>
  <si>
    <t>死沉灰燼</t>
    <phoneticPr fontId="2" type="noConversion"/>
  </si>
  <si>
    <t>劇毒汁液</t>
    <phoneticPr fontId="2" type="noConversion"/>
  </si>
  <si>
    <t>水晶藍粉</t>
  </si>
  <si>
    <t>水晶藍粉</t>
    <phoneticPr fontId="2" type="noConversion"/>
  </si>
  <si>
    <t>海魔之觸</t>
  </si>
  <si>
    <t>神駒之血</t>
  </si>
  <si>
    <t>神駒之血</t>
    <phoneticPr fontId="2" type="noConversion"/>
  </si>
  <si>
    <t>巨斧碎塊</t>
    <phoneticPr fontId="2" type="noConversion"/>
  </si>
  <si>
    <t>混亂之語</t>
  </si>
  <si>
    <t>混亂之語</t>
    <phoneticPr fontId="2" type="noConversion"/>
  </si>
  <si>
    <t>噬神魔狼之牙</t>
    <phoneticPr fontId="2" type="noConversion"/>
  </si>
  <si>
    <t>巨毒蛇之牙</t>
    <phoneticPr fontId="2" type="noConversion"/>
  </si>
  <si>
    <t>巨狼之骨</t>
    <phoneticPr fontId="2" type="noConversion"/>
  </si>
  <si>
    <t>海妖鱗粉</t>
  </si>
  <si>
    <t>海妖鱗粉</t>
    <phoneticPr fontId="2" type="noConversion"/>
  </si>
  <si>
    <t>精工拴套設計圖</t>
  </si>
  <si>
    <t>精工拴套設計圖</t>
    <phoneticPr fontId="2" type="noConversion"/>
  </si>
  <si>
    <t>不死鳥羽翼</t>
    <phoneticPr fontId="2" type="noConversion"/>
  </si>
  <si>
    <t>混合血肉</t>
    <phoneticPr fontId="2" type="noConversion"/>
  </si>
  <si>
    <t>獅鴛皮毛</t>
    <phoneticPr fontId="2" type="noConversion"/>
  </si>
  <si>
    <t>黑精靈的布塊</t>
    <phoneticPr fontId="2" type="noConversion"/>
  </si>
  <si>
    <t>毒龍麟</t>
  </si>
  <si>
    <t>毒龍麟</t>
    <phoneticPr fontId="2" type="noConversion"/>
  </si>
  <si>
    <t>鍛造的殘塊</t>
    <phoneticPr fontId="2" type="noConversion"/>
  </si>
  <si>
    <t>精工戒指設計圖</t>
  </si>
  <si>
    <t>精工假髮設計圖</t>
  </si>
  <si>
    <t>智慧碎片</t>
  </si>
  <si>
    <t>戒指的碎塊</t>
  </si>
  <si>
    <t>目標說明</t>
    <phoneticPr fontId="2" type="noConversion"/>
  </si>
  <si>
    <t>達成類型1</t>
    <phoneticPr fontId="2" type="noConversion"/>
  </si>
  <si>
    <t>達成數量1</t>
    <phoneticPr fontId="2" type="noConversion"/>
  </si>
  <si>
    <t>達成類型2</t>
    <phoneticPr fontId="2" type="noConversion"/>
  </si>
  <si>
    <t>達成目標2</t>
    <phoneticPr fontId="2" type="noConversion"/>
  </si>
  <si>
    <t>達成數量2</t>
    <phoneticPr fontId="2" type="noConversion"/>
  </si>
  <si>
    <t>達成類型3</t>
    <phoneticPr fontId="2" type="noConversion"/>
  </si>
  <si>
    <t>達成目標3</t>
    <phoneticPr fontId="2" type="noConversion"/>
  </si>
  <si>
    <t>達成數量3</t>
    <phoneticPr fontId="2" type="noConversion"/>
  </si>
  <si>
    <t>達成類型4</t>
    <phoneticPr fontId="2" type="noConversion"/>
  </si>
  <si>
    <t>達成目標4</t>
    <phoneticPr fontId="2" type="noConversion"/>
  </si>
  <si>
    <t>達成數量4</t>
    <phoneticPr fontId="2" type="noConversion"/>
  </si>
  <si>
    <t>裝備名稱</t>
    <phoneticPr fontId="17" type="noConversion"/>
  </si>
  <si>
    <t>編號</t>
  </si>
  <si>
    <t>名稱</t>
  </si>
  <si>
    <t>收集晶石</t>
  </si>
  <si>
    <t>物品蒐集</t>
  </si>
  <si>
    <t>10</t>
  </si>
  <si>
    <t>5</t>
    <phoneticPr fontId="17" type="noConversion"/>
  </si>
  <si>
    <t>104101</t>
    <phoneticPr fontId="17" type="noConversion"/>
  </si>
  <si>
    <t>25</t>
    <phoneticPr fontId="17" type="noConversion"/>
  </si>
  <si>
    <t>一二三四五六七八九十</t>
    <phoneticPr fontId="2" type="noConversion"/>
  </si>
  <si>
    <t>HP恢復捲軸</t>
    <phoneticPr fontId="2" type="noConversion"/>
  </si>
  <si>
    <t>攻擊捲軸</t>
    <phoneticPr fontId="2" type="noConversion"/>
  </si>
  <si>
    <t>防禦捲軸</t>
    <phoneticPr fontId="2" type="noConversion"/>
  </si>
  <si>
    <t>104</t>
    <phoneticPr fontId="2" type="noConversion"/>
  </si>
  <si>
    <t>風屬性傷害捲軸</t>
    <phoneticPr fontId="2" type="noConversion"/>
  </si>
  <si>
    <t>105</t>
    <phoneticPr fontId="2" type="noConversion"/>
  </si>
  <si>
    <t>水屬性傷害捲軸</t>
    <phoneticPr fontId="2" type="noConversion"/>
  </si>
  <si>
    <t>106</t>
    <phoneticPr fontId="2" type="noConversion"/>
  </si>
  <si>
    <t>火屬性傷害捲軸</t>
    <phoneticPr fontId="2" type="noConversion"/>
  </si>
  <si>
    <t>107</t>
    <phoneticPr fontId="2" type="noConversion"/>
  </si>
  <si>
    <t>光屬性傷害捲軸</t>
    <phoneticPr fontId="2" type="noConversion"/>
  </si>
  <si>
    <t>108</t>
    <phoneticPr fontId="2" type="noConversion"/>
  </si>
  <si>
    <t>暗屬性傷害捲軸</t>
    <phoneticPr fontId="2" type="noConversion"/>
  </si>
  <si>
    <t>109</t>
    <phoneticPr fontId="2" type="noConversion"/>
  </si>
  <si>
    <t>風屬性抗性捲軸</t>
    <phoneticPr fontId="2" type="noConversion"/>
  </si>
  <si>
    <t>110</t>
    <phoneticPr fontId="2" type="noConversion"/>
  </si>
  <si>
    <t>水屬性抗性捲軸</t>
    <phoneticPr fontId="2" type="noConversion"/>
  </si>
  <si>
    <t>111</t>
  </si>
  <si>
    <t>火屬性抗性捲軸</t>
    <phoneticPr fontId="2" type="noConversion"/>
  </si>
  <si>
    <t>112</t>
  </si>
  <si>
    <t>光屬性抗性捲軸</t>
    <phoneticPr fontId="2" type="noConversion"/>
  </si>
  <si>
    <t>113</t>
  </si>
  <si>
    <t>暗屬性抗性捲軸</t>
    <phoneticPr fontId="2" type="noConversion"/>
  </si>
  <si>
    <t>SP回復捲軸</t>
    <phoneticPr fontId="2" type="noConversion"/>
  </si>
  <si>
    <t>銀幣倍增捲軸</t>
    <phoneticPr fontId="2" type="noConversion"/>
  </si>
  <si>
    <t>裝備經驗捲軸</t>
    <phoneticPr fontId="2" type="noConversion"/>
  </si>
  <si>
    <t>裝備經驗捲軸(中)</t>
    <phoneticPr fontId="2" type="noConversion"/>
  </si>
  <si>
    <t>裝備經驗捲軸(大)</t>
    <phoneticPr fontId="2" type="noConversion"/>
  </si>
  <si>
    <t>HP恢復捲軸(中)</t>
    <phoneticPr fontId="2" type="noConversion"/>
  </si>
  <si>
    <t>攻擊捲軸(中)</t>
    <phoneticPr fontId="2" type="noConversion"/>
  </si>
  <si>
    <t>防禦捲軸(中)</t>
    <phoneticPr fontId="2" type="noConversion"/>
  </si>
  <si>
    <t>122</t>
  </si>
  <si>
    <t>風屬性傷害捲軸(中)</t>
    <phoneticPr fontId="2" type="noConversion"/>
  </si>
  <si>
    <t>123</t>
  </si>
  <si>
    <t>水屬性傷害捲軸(中)</t>
    <phoneticPr fontId="2" type="noConversion"/>
  </si>
  <si>
    <t>124</t>
  </si>
  <si>
    <t>火屬性傷害捲軸(中)</t>
    <phoneticPr fontId="2" type="noConversion"/>
  </si>
  <si>
    <t>125</t>
  </si>
  <si>
    <t>光屬性傷害捲軸中)</t>
    <phoneticPr fontId="2" type="noConversion"/>
  </si>
  <si>
    <t>126</t>
  </si>
  <si>
    <t>暗屬性傷害捲軸(中)</t>
    <phoneticPr fontId="2" type="noConversion"/>
  </si>
  <si>
    <t>127</t>
  </si>
  <si>
    <t>風屬性抗性捲軸(中)</t>
    <phoneticPr fontId="2" type="noConversion"/>
  </si>
  <si>
    <t>101229</t>
  </si>
  <si>
    <t>128</t>
  </si>
  <si>
    <t>水屬性抗性捲軸(中)</t>
    <phoneticPr fontId="2" type="noConversion"/>
  </si>
  <si>
    <t>129</t>
  </si>
  <si>
    <t>火屬性抗性捲軸(中)</t>
    <phoneticPr fontId="2" type="noConversion"/>
  </si>
  <si>
    <t>130</t>
  </si>
  <si>
    <t>光屬性抗性捲軸(中)</t>
    <phoneticPr fontId="2" type="noConversion"/>
  </si>
  <si>
    <t>131</t>
  </si>
  <si>
    <t>暗屬性抗性捲軸(中)</t>
    <phoneticPr fontId="2" type="noConversion"/>
  </si>
  <si>
    <t>金色勳章(10)</t>
    <phoneticPr fontId="2" type="noConversion"/>
  </si>
  <si>
    <t>金色勳章(20)</t>
    <phoneticPr fontId="2" type="noConversion"/>
  </si>
  <si>
    <t>金色勳章(50)</t>
    <phoneticPr fontId="2" type="noConversion"/>
  </si>
  <si>
    <t>金色勳章(100)</t>
    <phoneticPr fontId="2" type="noConversion"/>
  </si>
  <si>
    <t>2000</t>
    <phoneticPr fontId="17" type="noConversion"/>
  </si>
  <si>
    <t>鑄造圖卷 儀式劍</t>
    <phoneticPr fontId="2" type="noConversion"/>
  </si>
  <si>
    <t>鑄造圖卷 厚刃重劍</t>
    <phoneticPr fontId="2" type="noConversion"/>
  </si>
  <si>
    <t>全一階特裝寶箱</t>
    <phoneticPr fontId="2" type="noConversion"/>
  </si>
  <si>
    <t>鑄造圖卷 血祭雙刀</t>
    <phoneticPr fontId="2" type="noConversion"/>
  </si>
  <si>
    <t>全一階裝寶箱</t>
    <phoneticPr fontId="2" type="noConversion"/>
  </si>
  <si>
    <t>鑄造圖卷 短柄斧</t>
    <phoneticPr fontId="2" type="noConversion"/>
  </si>
  <si>
    <t>全附魔素材箱</t>
    <phoneticPr fontId="2" type="noConversion"/>
  </si>
  <si>
    <t>鑄造圖卷 戰爭長矛</t>
    <phoneticPr fontId="2" type="noConversion"/>
  </si>
  <si>
    <t>UR階英雄箱</t>
    <phoneticPr fontId="2" type="noConversion"/>
  </si>
  <si>
    <t>鑄造圖卷 瑪那魔杖</t>
    <phoneticPr fontId="2" type="noConversion"/>
  </si>
  <si>
    <t>R階英雄箱</t>
    <phoneticPr fontId="2" type="noConversion"/>
  </si>
  <si>
    <t>鑄造圖卷 狩獵短弓</t>
    <phoneticPr fontId="2" type="noConversion"/>
  </si>
  <si>
    <t>全英雄升階素材箱</t>
    <phoneticPr fontId="2" type="noConversion"/>
  </si>
  <si>
    <t>鑄造圖卷 護身肩甲</t>
  </si>
  <si>
    <t>全資源箱</t>
    <phoneticPr fontId="2" type="noConversion"/>
  </si>
  <si>
    <t>1000</t>
    <phoneticPr fontId="17" type="noConversion"/>
  </si>
  <si>
    <t>鑄造圖卷 皮質手套</t>
    <phoneticPr fontId="2" type="noConversion"/>
  </si>
  <si>
    <t>銀幣箱</t>
    <phoneticPr fontId="2" type="noConversion"/>
  </si>
  <si>
    <t>鑄造圖卷 金屬圓盾</t>
    <phoneticPr fontId="2" type="noConversion"/>
  </si>
  <si>
    <t>密酒箱</t>
    <phoneticPr fontId="2" type="noConversion"/>
  </si>
  <si>
    <t>鑄造圖卷 硬質頭盔</t>
    <phoneticPr fontId="2" type="noConversion"/>
  </si>
  <si>
    <t>金幣箱</t>
    <phoneticPr fontId="2" type="noConversion"/>
  </si>
  <si>
    <t>鑄造圖卷 寶石戒指</t>
    <phoneticPr fontId="2" type="noConversion"/>
  </si>
  <si>
    <t>潛能石箱</t>
    <phoneticPr fontId="2" type="noConversion"/>
  </si>
  <si>
    <t>鑄造圖卷 金首飾</t>
    <phoneticPr fontId="2" type="noConversion"/>
  </si>
  <si>
    <t>角色好感道具箱</t>
    <phoneticPr fontId="2" type="noConversion"/>
  </si>
  <si>
    <t>鑄造圖卷 稻穗羽飾</t>
    <phoneticPr fontId="2" type="noConversion"/>
  </si>
  <si>
    <t>宿命果實箱</t>
    <phoneticPr fontId="2" type="noConversion"/>
  </si>
  <si>
    <t>50000</t>
    <phoneticPr fontId="17" type="noConversion"/>
  </si>
  <si>
    <t>15</t>
    <phoneticPr fontId="17" type="noConversion"/>
  </si>
  <si>
    <t>鑄造圖卷 英雄彎刀</t>
    <phoneticPr fontId="2" type="noConversion"/>
  </si>
  <si>
    <t>好友贈禮道具箱</t>
    <phoneticPr fontId="2" type="noConversion"/>
  </si>
  <si>
    <t>鑄造圖卷 鬥技場死寂</t>
    <phoneticPr fontId="2" type="noConversion"/>
  </si>
  <si>
    <t>AP道具</t>
    <phoneticPr fontId="2" type="noConversion"/>
  </si>
  <si>
    <t>鑄造圖卷 災厄利刃</t>
    <phoneticPr fontId="2" type="noConversion"/>
  </si>
  <si>
    <t>測試用資料箱</t>
    <phoneticPr fontId="2" type="noConversion"/>
  </si>
  <si>
    <t>鑄造圖卷 潘朵拉之盒</t>
    <phoneticPr fontId="2" type="noConversion"/>
  </si>
  <si>
    <t>鑄造圖卷 擄獲金弓</t>
    <phoneticPr fontId="2" type="noConversion"/>
  </si>
  <si>
    <t>初級支援</t>
  </si>
  <si>
    <t>鑄造圖卷 堅毅長征</t>
    <phoneticPr fontId="2" type="noConversion"/>
  </si>
  <si>
    <t>中級支援</t>
  </si>
  <si>
    <t>鑄造圖卷 罰惡令杖</t>
    <phoneticPr fontId="2" type="noConversion"/>
  </si>
  <si>
    <t>高級支援</t>
  </si>
  <si>
    <t>鑄造圖卷 屠惡劍</t>
    <phoneticPr fontId="2" type="noConversion"/>
  </si>
  <si>
    <t>特級支援</t>
  </si>
  <si>
    <t>鑄造圖卷 復仇血刃</t>
    <phoneticPr fontId="2" type="noConversion"/>
  </si>
  <si>
    <t>初級貴族卡</t>
  </si>
  <si>
    <t>鑄造圖卷 奧丁聖劍</t>
    <phoneticPr fontId="2" type="noConversion"/>
  </si>
  <si>
    <t>中級貴族卡</t>
  </si>
  <si>
    <t>鑄造圖卷 屠龍之牙</t>
    <phoneticPr fontId="2" type="noConversion"/>
  </si>
  <si>
    <t>高級貴族卡</t>
  </si>
  <si>
    <t>鑄造圖卷 血噬大劍</t>
    <phoneticPr fontId="2" type="noConversion"/>
  </si>
  <si>
    <t>尊爵貴族卡</t>
  </si>
  <si>
    <t>初級支援每日禮包</t>
  </si>
  <si>
    <t>中級支援每日禮包</t>
  </si>
  <si>
    <t>高級支援每日禮包</t>
  </si>
  <si>
    <t>特級支援每日禮包</t>
  </si>
  <si>
    <t>紅利點數(1)</t>
  </si>
  <si>
    <t>紅利點數(2)</t>
  </si>
  <si>
    <t>紅利點數(3)</t>
  </si>
  <si>
    <t>榮耀點數(5000點)</t>
  </si>
  <si>
    <t>榮耀點數(3750點)</t>
  </si>
  <si>
    <t>榮耀點數(2500點)</t>
  </si>
  <si>
    <t>榮耀點數(1250點)</t>
  </si>
  <si>
    <t>金幣交換券(500)</t>
    <phoneticPr fontId="2" type="noConversion"/>
  </si>
  <si>
    <t>金幣交換券(1000)</t>
    <phoneticPr fontId="2" type="noConversion"/>
  </si>
  <si>
    <t>金幣交換券(100)</t>
    <phoneticPr fontId="2" type="noConversion"/>
  </si>
  <si>
    <t>金幣交換券(5000)</t>
    <phoneticPr fontId="2" type="noConversion"/>
  </si>
  <si>
    <t>擴充AP上限</t>
    <phoneticPr fontId="2" type="noConversion"/>
  </si>
  <si>
    <t>測試增加角色經驗</t>
    <phoneticPr fontId="2" type="noConversion"/>
  </si>
  <si>
    <t>經驗之書(500)</t>
    <phoneticPr fontId="2" type="noConversion"/>
  </si>
  <si>
    <t>經驗之書(1500)</t>
    <phoneticPr fontId="2" type="noConversion"/>
  </si>
  <si>
    <t>經驗之書(5000)</t>
    <phoneticPr fontId="2" type="noConversion"/>
  </si>
  <si>
    <t>潛能盧石</t>
    <phoneticPr fontId="2" type="noConversion"/>
  </si>
  <si>
    <t>潛能祕石</t>
    <phoneticPr fontId="2" type="noConversion"/>
  </si>
  <si>
    <t>潛能神石</t>
    <phoneticPr fontId="2" type="noConversion"/>
  </si>
  <si>
    <t>天賦石袋(小)</t>
    <phoneticPr fontId="2" type="noConversion"/>
  </si>
  <si>
    <t>天賦石袋(中)</t>
    <phoneticPr fontId="2" type="noConversion"/>
  </si>
  <si>
    <t>天賦石袋(大)</t>
    <phoneticPr fontId="2" type="noConversion"/>
  </si>
  <si>
    <t>封印石袋(小)</t>
    <phoneticPr fontId="2" type="noConversion"/>
  </si>
  <si>
    <t>封印石袋(中)</t>
    <phoneticPr fontId="2" type="noConversion"/>
  </si>
  <si>
    <t>封印石袋(大)</t>
    <phoneticPr fontId="2" type="noConversion"/>
  </si>
  <si>
    <t>封印石袋(特大)</t>
    <phoneticPr fontId="2" type="noConversion"/>
  </si>
  <si>
    <t>封印石袋(最大)</t>
    <phoneticPr fontId="2" type="noConversion"/>
  </si>
  <si>
    <t>解封石袋(小)</t>
  </si>
  <si>
    <t>解封石袋(中)</t>
  </si>
  <si>
    <t>解封石袋(大)</t>
  </si>
  <si>
    <t>解封石袋(特大)</t>
  </si>
  <si>
    <t>解封石袋(最大)</t>
  </si>
  <si>
    <t>金召優待券</t>
    <phoneticPr fontId="2" type="noConversion"/>
  </si>
  <si>
    <t>金召優待券(X10)</t>
    <phoneticPr fontId="2" type="noConversion"/>
  </si>
  <si>
    <t>銀召優待券</t>
    <phoneticPr fontId="2" type="noConversion"/>
  </si>
  <si>
    <t>銀召優待券(X10)</t>
    <phoneticPr fontId="2" type="noConversion"/>
  </si>
  <si>
    <t>友情優待券</t>
    <phoneticPr fontId="2" type="noConversion"/>
  </si>
  <si>
    <t>友情優待券(X10)</t>
    <phoneticPr fontId="2" type="noConversion"/>
  </si>
  <si>
    <t>魔法通行書</t>
    <phoneticPr fontId="2" type="noConversion"/>
  </si>
  <si>
    <t>探索回數增加抵用卷軸</t>
    <phoneticPr fontId="2" type="noConversion"/>
  </si>
  <si>
    <t>蘇醒之石</t>
    <phoneticPr fontId="2" type="noConversion"/>
  </si>
  <si>
    <t>英雄刻印抵用券</t>
  </si>
  <si>
    <t>英雄解放抵用券</t>
  </si>
  <si>
    <t>熔爐抵用券</t>
    <phoneticPr fontId="2" type="noConversion"/>
  </si>
  <si>
    <t>秘藏之滴(R階)</t>
    <phoneticPr fontId="2" type="noConversion"/>
  </si>
  <si>
    <t>秘藏之滴(SR階)</t>
    <phoneticPr fontId="2" type="noConversion"/>
  </si>
  <si>
    <t>秘藏之滴(SSR階)</t>
    <phoneticPr fontId="2" type="noConversion"/>
  </si>
  <si>
    <t>秘藏之滴(UR階)</t>
    <phoneticPr fontId="2" type="noConversion"/>
  </si>
  <si>
    <t>靈紋更換券保留</t>
    <phoneticPr fontId="2" type="noConversion"/>
  </si>
  <si>
    <t>玩家更名券</t>
  </si>
  <si>
    <t>公會更名券</t>
    <phoneticPr fontId="2" type="noConversion"/>
  </si>
  <si>
    <t>PVP次數補充券</t>
    <phoneticPr fontId="2" type="noConversion"/>
  </si>
  <si>
    <t>黯淡的英雄晶塊</t>
  </si>
  <si>
    <t>微光的英雄晶塊</t>
  </si>
  <si>
    <t>明亮的英雄晶塊</t>
  </si>
  <si>
    <t>閃亮的英雄晶塊</t>
  </si>
  <si>
    <t>黯淡的英雄結晶</t>
  </si>
  <si>
    <t>微光的英雄結晶</t>
  </si>
  <si>
    <t>明亮的英雄結晶</t>
  </si>
  <si>
    <t>閃亮的英雄結晶</t>
  </si>
  <si>
    <t>建築工召集令</t>
  </si>
  <si>
    <t>小小行動力恢復箱</t>
    <phoneticPr fontId="2" type="noConversion"/>
  </si>
  <si>
    <t>裝備卸除抵用券</t>
    <phoneticPr fontId="2" type="noConversion"/>
  </si>
  <si>
    <t>千里單騎抵用券</t>
    <phoneticPr fontId="2" type="noConversion"/>
  </si>
  <si>
    <t>科技加速抵用券</t>
    <phoneticPr fontId="2" type="noConversion"/>
  </si>
  <si>
    <t>裝備升級抵用券</t>
    <phoneticPr fontId="2" type="noConversion"/>
  </si>
  <si>
    <t>復活捲軸</t>
    <phoneticPr fontId="2" type="noConversion"/>
  </si>
  <si>
    <t>錢袋(100)</t>
  </si>
  <si>
    <t>錢袋(500)</t>
  </si>
  <si>
    <t>錢袋(1000)</t>
  </si>
  <si>
    <t>錢袋(5000)</t>
  </si>
  <si>
    <t>錢袋(10000)</t>
  </si>
  <si>
    <t>錢袋(50000)</t>
  </si>
  <si>
    <t>錢袋(100000)</t>
  </si>
  <si>
    <t>錢袋(500000)</t>
  </si>
  <si>
    <t>錢袋(3000)</t>
    <phoneticPr fontId="2" type="noConversion"/>
  </si>
  <si>
    <t>錢袋(8000)</t>
  </si>
  <si>
    <t>錢袋(12000)</t>
  </si>
  <si>
    <t>錢袋(15000)</t>
  </si>
  <si>
    <t>錢袋(18000)</t>
  </si>
  <si>
    <t>錢袋(20000)</t>
  </si>
  <si>
    <t>錢袋(200)</t>
  </si>
  <si>
    <t>錢袋(300)</t>
  </si>
  <si>
    <t>錢袋(4000)</t>
  </si>
  <si>
    <t>錢袋(2000)</t>
  </si>
  <si>
    <t>錢袋(3000)</t>
  </si>
  <si>
    <t>錢袋(14000)</t>
    <phoneticPr fontId="2" type="noConversion"/>
  </si>
  <si>
    <t>錢袋(30000)</t>
    <phoneticPr fontId="2" type="noConversion"/>
  </si>
  <si>
    <t>錢袋(70000)</t>
    <phoneticPr fontId="2" type="noConversion"/>
  </si>
  <si>
    <t>錢袋(150000)</t>
    <phoneticPr fontId="2" type="noConversion"/>
  </si>
  <si>
    <t>蜜酒罐(100)</t>
  </si>
  <si>
    <t>蜜酒罐(500)</t>
  </si>
  <si>
    <t>蜜酒罐(1000)</t>
  </si>
  <si>
    <t>蜜酒罐(5000)</t>
  </si>
  <si>
    <t>蜜酒罐(10000)</t>
  </si>
  <si>
    <t>1706</t>
  </si>
  <si>
    <t>蜜酒罐(50000)</t>
  </si>
  <si>
    <t>蜜酒罐(100000)</t>
  </si>
  <si>
    <t>蜜酒罐(500000)</t>
  </si>
  <si>
    <t>騎士九誡</t>
    <phoneticPr fontId="2" type="noConversion"/>
  </si>
  <si>
    <t>勇者石像</t>
    <phoneticPr fontId="2" type="noConversion"/>
  </si>
  <si>
    <t>82年蜜酒罐</t>
    <phoneticPr fontId="2" type="noConversion"/>
  </si>
  <si>
    <t>厚禮之船</t>
    <phoneticPr fontId="2" type="noConversion"/>
  </si>
  <si>
    <t>神聖糖果(20g)</t>
    <phoneticPr fontId="2" type="noConversion"/>
  </si>
  <si>
    <t>神聖糖果(40g)</t>
    <phoneticPr fontId="2" type="noConversion"/>
  </si>
  <si>
    <t>神聖糖果(80g)</t>
    <phoneticPr fontId="2" type="noConversion"/>
  </si>
  <si>
    <t>神聖糖果(120g)</t>
    <phoneticPr fontId="2" type="noConversion"/>
  </si>
  <si>
    <t>糖果包(小)</t>
    <phoneticPr fontId="2" type="noConversion"/>
  </si>
  <si>
    <t>糖果包(中)</t>
    <phoneticPr fontId="2" type="noConversion"/>
  </si>
  <si>
    <t>糖果包(大)</t>
    <phoneticPr fontId="2" type="noConversion"/>
  </si>
  <si>
    <t>糖果包(特大)</t>
    <phoneticPr fontId="2" type="noConversion"/>
  </si>
  <si>
    <t>物資格數擴充包</t>
    <phoneticPr fontId="2" type="noConversion"/>
  </si>
  <si>
    <t>英雄格數擴充包</t>
    <phoneticPr fontId="2" type="noConversion"/>
  </si>
  <si>
    <t>宿命之果</t>
    <phoneticPr fontId="2" type="noConversion"/>
  </si>
  <si>
    <t>道具寶箱</t>
    <phoneticPr fontId="2" type="noConversion"/>
  </si>
  <si>
    <t>魔法通行書(10張)</t>
    <phoneticPr fontId="2" type="noConversion"/>
  </si>
  <si>
    <t>魔法通行書(20張)</t>
    <phoneticPr fontId="2" type="noConversion"/>
  </si>
  <si>
    <t>魔法通行書(30張)</t>
  </si>
  <si>
    <t>魔法通行書(40張)</t>
  </si>
  <si>
    <t>魔法通行書(50張)</t>
    <phoneticPr fontId="2" type="noConversion"/>
  </si>
  <si>
    <t>魔法通行書(65張)</t>
    <phoneticPr fontId="2" type="noConversion"/>
  </si>
  <si>
    <t>騎士九誡(10份)</t>
    <phoneticPr fontId="2" type="noConversion"/>
  </si>
  <si>
    <t>騎士九誡(20份)</t>
    <phoneticPr fontId="2" type="noConversion"/>
  </si>
  <si>
    <t>騎士九誡(30份)</t>
    <phoneticPr fontId="2" type="noConversion"/>
  </si>
  <si>
    <t>勇者石像(10尊)</t>
    <phoneticPr fontId="2" type="noConversion"/>
  </si>
  <si>
    <t>勇者石像(20尊)</t>
    <phoneticPr fontId="2" type="noConversion"/>
  </si>
  <si>
    <t>勇者石像(30尊)</t>
    <phoneticPr fontId="2" type="noConversion"/>
  </si>
  <si>
    <t>82年蜜酒罐(10罐)</t>
    <phoneticPr fontId="2" type="noConversion"/>
  </si>
  <si>
    <t>82年蜜酒罐(20罐)</t>
    <phoneticPr fontId="2" type="noConversion"/>
  </si>
  <si>
    <t>82年蜜酒罐(30罐)</t>
    <phoneticPr fontId="2" type="noConversion"/>
  </si>
  <si>
    <t>厚禮之船(10份)</t>
    <phoneticPr fontId="2" type="noConversion"/>
  </si>
  <si>
    <t>厚禮之船(20份)</t>
    <phoneticPr fontId="2" type="noConversion"/>
  </si>
  <si>
    <t>厚禮之船(30份)</t>
    <phoneticPr fontId="2" type="noConversion"/>
  </si>
  <si>
    <t>宿命之果(5顆)</t>
    <phoneticPr fontId="2" type="noConversion"/>
  </si>
  <si>
    <t>宿命之果(10顆)</t>
    <phoneticPr fontId="2" type="noConversion"/>
  </si>
  <si>
    <t>宿命之果(20顆)</t>
    <phoneticPr fontId="2" type="noConversion"/>
  </si>
  <si>
    <t>特殊寶箱</t>
  </si>
  <si>
    <t>教學大禮包</t>
    <phoneticPr fontId="2" type="noConversion"/>
  </si>
  <si>
    <t>起源裝備箱</t>
    <phoneticPr fontId="2" type="noConversion"/>
  </si>
  <si>
    <t>紅利福袋英雄箱</t>
    <phoneticPr fontId="2" type="noConversion"/>
  </si>
  <si>
    <t>至尊天神英雄箱(紅利)</t>
  </si>
  <si>
    <t>福袋英雄箱</t>
    <phoneticPr fontId="2" type="noConversion"/>
  </si>
  <si>
    <t>光輝女武神英雄箱</t>
  </si>
  <si>
    <t>英雄啟程獎勵箱</t>
    <phoneticPr fontId="2" type="noConversion"/>
  </si>
  <si>
    <t>PVP排行獎勵</t>
    <phoneticPr fontId="2" type="noConversion"/>
  </si>
  <si>
    <t>菁英鬥士獎勵箱I</t>
  </si>
  <si>
    <t>傳說武士獎勵箱I</t>
  </si>
  <si>
    <t>史詩勇者獎勵箱I</t>
    <phoneticPr fontId="2" type="noConversion"/>
  </si>
  <si>
    <t>神話鬥士獎勵箱I</t>
  </si>
  <si>
    <t>傳奇王者獎勵箱I</t>
  </si>
  <si>
    <t>PVP階級獎勵</t>
    <phoneticPr fontId="2" type="noConversion"/>
  </si>
  <si>
    <t>美神賜禮箱</t>
    <phoneticPr fontId="2" type="noConversion"/>
  </si>
  <si>
    <t>地神賜禮箱</t>
    <phoneticPr fontId="2" type="noConversion"/>
  </si>
  <si>
    <t>光神賜禮箱</t>
    <phoneticPr fontId="2" type="noConversion"/>
  </si>
  <si>
    <t>暗神賜禮箱</t>
    <phoneticPr fontId="2" type="noConversion"/>
  </si>
  <si>
    <t>海神賜禮箱</t>
    <phoneticPr fontId="2" type="noConversion"/>
  </si>
  <si>
    <t>火神賜禮箱</t>
    <phoneticPr fontId="2" type="noConversion"/>
  </si>
  <si>
    <t>死神賜禮箱</t>
    <phoneticPr fontId="2" type="noConversion"/>
  </si>
  <si>
    <t>風神賜禮箱</t>
    <phoneticPr fontId="2" type="noConversion"/>
  </si>
  <si>
    <t>邪神賜禮箱</t>
    <phoneticPr fontId="2" type="noConversion"/>
  </si>
  <si>
    <t>巨神賜禮箱</t>
    <phoneticPr fontId="2" type="noConversion"/>
  </si>
  <si>
    <t>雷神賜禮箱</t>
    <phoneticPr fontId="2" type="noConversion"/>
  </si>
  <si>
    <t>戰神賜禮箱</t>
    <phoneticPr fontId="2" type="noConversion"/>
  </si>
  <si>
    <t>一階裝備</t>
    <phoneticPr fontId="2" type="noConversion"/>
  </si>
  <si>
    <t>儀式劍</t>
    <phoneticPr fontId="2" type="noConversion"/>
  </si>
  <si>
    <t>厚刃重劍</t>
  </si>
  <si>
    <t>血祭雙刀</t>
  </si>
  <si>
    <t>短柄斧</t>
  </si>
  <si>
    <t>戰爭長矛</t>
  </si>
  <si>
    <t>瑪那魔杖</t>
    <phoneticPr fontId="2" type="noConversion"/>
  </si>
  <si>
    <t>狩獵短弓</t>
  </si>
  <si>
    <t>皮質手套</t>
  </si>
  <si>
    <t>金屬圓盾</t>
  </si>
  <si>
    <t>硬質頭盔</t>
  </si>
  <si>
    <t>寶石戒指</t>
  </si>
  <si>
    <t>金首飾</t>
  </si>
  <si>
    <t>稻穗羽飾</t>
  </si>
  <si>
    <t>一階裝寶箱</t>
    <phoneticPr fontId="2" type="noConversion"/>
  </si>
  <si>
    <t>精銳勇者裝備箱</t>
    <phoneticPr fontId="2" type="noConversion"/>
  </si>
  <si>
    <t>一階特裝</t>
  </si>
  <si>
    <t>灼熱火槌</t>
    <phoneticPr fontId="2" type="noConversion"/>
  </si>
  <si>
    <t>天翼頭盔</t>
    <phoneticPr fontId="2" type="noConversion"/>
  </si>
  <si>
    <t>堅毅之錘</t>
    <phoneticPr fontId="2" type="noConversion"/>
  </si>
  <si>
    <t>詩蜜酒瓶</t>
    <phoneticPr fontId="2" type="noConversion"/>
  </si>
  <si>
    <t>一階特裝鑄造素材</t>
    <phoneticPr fontId="2" type="noConversion"/>
  </si>
  <si>
    <t>巨人骨骼</t>
    <phoneticPr fontId="2" type="noConversion"/>
  </si>
  <si>
    <t>海魔之觸</t>
    <phoneticPr fontId="2" type="noConversion"/>
  </si>
  <si>
    <t>混合血肉</t>
    <phoneticPr fontId="2" type="noConversion"/>
  </si>
  <si>
    <t>母牛角質</t>
    <phoneticPr fontId="2" type="noConversion"/>
  </si>
  <si>
    <t>秘語沙塵</t>
    <phoneticPr fontId="2" type="noConversion"/>
  </si>
  <si>
    <t>智慧碎片</t>
    <phoneticPr fontId="2" type="noConversion"/>
  </si>
  <si>
    <t>哈耳庇厄之羽</t>
    <phoneticPr fontId="2" type="noConversion"/>
  </si>
  <si>
    <t>巨犬之牙</t>
    <phoneticPr fontId="2" type="noConversion"/>
  </si>
  <si>
    <t>精工戒指設計圖</t>
    <phoneticPr fontId="2" type="noConversion"/>
  </si>
  <si>
    <t>精工假髮設計圖</t>
    <phoneticPr fontId="2" type="noConversion"/>
  </si>
  <si>
    <t>斯庫爾之牙</t>
    <phoneticPr fontId="2" type="noConversion"/>
  </si>
  <si>
    <t>人魚淚珠</t>
    <phoneticPr fontId="2" type="noConversion"/>
  </si>
  <si>
    <t>海妖鱗粉</t>
    <phoneticPr fontId="2" type="noConversion"/>
  </si>
  <si>
    <t>劇毒汁液</t>
    <phoneticPr fontId="2" type="noConversion"/>
  </si>
  <si>
    <t>水晶藍粉</t>
    <phoneticPr fontId="2" type="noConversion"/>
  </si>
  <si>
    <t>堅硬蟹殼</t>
    <phoneticPr fontId="2" type="noConversion"/>
  </si>
  <si>
    <t>精工之槌設計圖</t>
    <phoneticPr fontId="2" type="noConversion"/>
  </si>
  <si>
    <t>精工拴套設計圖</t>
    <phoneticPr fontId="2" type="noConversion"/>
  </si>
  <si>
    <t>死沉灰燼</t>
    <phoneticPr fontId="2" type="noConversion"/>
  </si>
  <si>
    <t>不死鳥羽翼</t>
    <phoneticPr fontId="2" type="noConversion"/>
  </si>
  <si>
    <t>混合鬃毛</t>
    <phoneticPr fontId="2" type="noConversion"/>
  </si>
  <si>
    <t>災禍豬牙</t>
    <phoneticPr fontId="2" type="noConversion"/>
  </si>
  <si>
    <t>獅鴛皮毛</t>
    <phoneticPr fontId="2" type="noConversion"/>
  </si>
  <si>
    <t>戒指的碎塊</t>
    <phoneticPr fontId="2" type="noConversion"/>
  </si>
  <si>
    <t>混亂之語</t>
    <phoneticPr fontId="2" type="noConversion"/>
  </si>
  <si>
    <t>黑精靈的布塊</t>
    <phoneticPr fontId="2" type="noConversion"/>
  </si>
  <si>
    <t>神駒之血</t>
    <phoneticPr fontId="2" type="noConversion"/>
  </si>
  <si>
    <t>巨斧碎塊</t>
    <phoneticPr fontId="2" type="noConversion"/>
  </si>
  <si>
    <t>鍛造的殘塊</t>
    <phoneticPr fontId="2" type="noConversion"/>
  </si>
  <si>
    <t>賢者之血</t>
    <phoneticPr fontId="2" type="noConversion"/>
  </si>
  <si>
    <t>毒龍麟</t>
    <phoneticPr fontId="2" type="noConversion"/>
  </si>
  <si>
    <t>巨狼之骨</t>
    <phoneticPr fontId="2" type="noConversion"/>
  </si>
  <si>
    <t>巨毒蛇之牙</t>
    <phoneticPr fontId="2" type="noConversion"/>
  </si>
  <si>
    <t>噬神魔狼之牙</t>
    <phoneticPr fontId="2" type="noConversion"/>
  </si>
  <si>
    <t>特殊裝備</t>
    <phoneticPr fontId="2" type="noConversion"/>
  </si>
  <si>
    <t>護神[5BEDF7]紋[-]</t>
    <phoneticPr fontId="2" type="noConversion"/>
  </si>
  <si>
    <t>灼[5BEDF7]焱[-]鎧</t>
    <phoneticPr fontId="2" type="noConversion"/>
  </si>
  <si>
    <t>浸[5BEDF7]夢[-]者</t>
    <phoneticPr fontId="2" type="noConversion"/>
  </si>
  <si>
    <t>守護[5BEDF7]宣[-]誓</t>
    <phoneticPr fontId="2" type="noConversion"/>
  </si>
  <si>
    <t>[5BEDF7]威[-]震八方</t>
    <phoneticPr fontId="2" type="noConversion"/>
  </si>
  <si>
    <t>極大[5BEDF7]偉[-]名</t>
    <phoneticPr fontId="2" type="noConversion"/>
  </si>
  <si>
    <t>鋒[5BEDF7]銳[-]戰盾</t>
    <phoneticPr fontId="2" type="noConversion"/>
  </si>
  <si>
    <t>羽[5BEDF7]冠[-]盾</t>
    <phoneticPr fontId="2" type="noConversion"/>
  </si>
  <si>
    <t>擁[5BEDF7]善[-]惡判</t>
    <phoneticPr fontId="2" type="noConversion"/>
  </si>
  <si>
    <t>[5BEDF7]紅[-]蓮末世</t>
    <phoneticPr fontId="2" type="noConversion"/>
  </si>
  <si>
    <t>[5BEDF7]青[-]鷲劍</t>
    <phoneticPr fontId="2" type="noConversion"/>
  </si>
  <si>
    <t>六[5BEDF7]翼[-]爪</t>
    <phoneticPr fontId="2" type="noConversion"/>
  </si>
  <si>
    <t>舞[5BEDF7]姿[-]秀劍</t>
    <phoneticPr fontId="2" type="noConversion"/>
  </si>
  <si>
    <t>[5BEDF7]崇[-]高之意</t>
    <phoneticPr fontId="2" type="noConversion"/>
  </si>
  <si>
    <t>[5BEDF7]紫[-]喙刃</t>
    <phoneticPr fontId="2" type="noConversion"/>
  </si>
  <si>
    <t>庇[5BEDF7]佑[-]開鋒</t>
    <phoneticPr fontId="2" type="noConversion"/>
  </si>
  <si>
    <t>測試裝備</t>
    <phoneticPr fontId="2" type="noConversion"/>
  </si>
  <si>
    <t>即死反甲</t>
    <phoneticPr fontId="2" type="noConversion"/>
  </si>
  <si>
    <t>二階裝備</t>
    <phoneticPr fontId="2" type="noConversion"/>
  </si>
  <si>
    <t>獅心鎧甲</t>
  </si>
  <si>
    <t>奧術魔書</t>
  </si>
  <si>
    <t>破滅之槍</t>
  </si>
  <si>
    <t>榮譽披風</t>
  </si>
  <si>
    <t>暴風獵弓</t>
  </si>
  <si>
    <t>熔岩拳套</t>
  </si>
  <si>
    <t>奉祭短劍</t>
  </si>
  <si>
    <t>噬血魔劍</t>
  </si>
  <si>
    <t>巨人石錘</t>
  </si>
  <si>
    <t>蛇魔牙刀</t>
  </si>
  <si>
    <t>光明手杖</t>
  </si>
  <si>
    <t>願望羽筆</t>
  </si>
  <si>
    <t>三階裝備</t>
  </si>
  <si>
    <t>聖潔匕飾</t>
  </si>
  <si>
    <t>破壞巨槌</t>
  </si>
  <si>
    <t>方尖聖槍</t>
  </si>
  <si>
    <t>獸皮手套</t>
  </si>
  <si>
    <t>盧文重盾</t>
  </si>
  <si>
    <t>淨化長弓</t>
  </si>
  <si>
    <t>平衡擲刀</t>
  </si>
  <si>
    <t>強護長靴</t>
  </si>
  <si>
    <t>反光尖盾</t>
  </si>
  <si>
    <t>榮耀皇冠</t>
  </si>
  <si>
    <t>雷霆腰帶</t>
  </si>
  <si>
    <t>飛翼絲帶</t>
  </si>
  <si>
    <t>三階裝寶箱</t>
    <phoneticPr fontId="2" type="noConversion"/>
  </si>
  <si>
    <t>史詩勇者裝備箱</t>
    <phoneticPr fontId="2" type="noConversion"/>
  </si>
  <si>
    <t>三階特裝</t>
    <phoneticPr fontId="2" type="noConversion"/>
  </si>
  <si>
    <t>弗洛帝</t>
  </si>
  <si>
    <t>韋蘭的飛行翼</t>
    <phoneticPr fontId="2" type="noConversion"/>
  </si>
  <si>
    <t>格拉尼</t>
  </si>
  <si>
    <t>斯奇布拉尼</t>
  </si>
  <si>
    <t>妖精召喚書</t>
    <phoneticPr fontId="2" type="noConversion"/>
  </si>
  <si>
    <t>英雄專武</t>
    <phoneticPr fontId="2" type="noConversion"/>
  </si>
  <si>
    <t>英雄彎刀</t>
  </si>
  <si>
    <t>鬥技場死寂</t>
  </si>
  <si>
    <t>災厄利刃</t>
  </si>
  <si>
    <t>潘朵拉之盒</t>
  </si>
  <si>
    <t>擄獲金弓</t>
  </si>
  <si>
    <t>堅毅長征</t>
  </si>
  <si>
    <t>罰惡令杖</t>
  </si>
  <si>
    <t>屠惡劍</t>
  </si>
  <si>
    <t>復仇血刃</t>
  </si>
  <si>
    <t>奧丁聖劍</t>
  </si>
  <si>
    <t>屠龍之牙</t>
  </si>
  <si>
    <t>血噬大劍</t>
  </si>
  <si>
    <t>一般鑄造素材</t>
    <phoneticPr fontId="2" type="noConversion"/>
  </si>
  <si>
    <t>鑄造石</t>
    <phoneticPr fontId="2" type="noConversion"/>
  </si>
  <si>
    <t>鑄造銅</t>
    <phoneticPr fontId="2" type="noConversion"/>
  </si>
  <si>
    <t>鑄造鐵</t>
    <phoneticPr fontId="2" type="noConversion"/>
  </si>
  <si>
    <t>鑄造銀</t>
    <phoneticPr fontId="2" type="noConversion"/>
  </si>
  <si>
    <t>鑄造金</t>
    <phoneticPr fontId="2" type="noConversion"/>
  </si>
  <si>
    <t>宿命關卡寶箱</t>
    <phoneticPr fontId="2" type="noConversion"/>
  </si>
  <si>
    <t>命運寶箱I</t>
    <phoneticPr fontId="2" type="noConversion"/>
  </si>
  <si>
    <t>命運寶箱II</t>
  </si>
  <si>
    <t>命運寶箱III</t>
  </si>
  <si>
    <t>命運寶箱IV</t>
  </si>
  <si>
    <t>命運寶箱V</t>
  </si>
  <si>
    <t>世界BOSS遭遇者寶箱</t>
    <phoneticPr fontId="2" type="noConversion"/>
  </si>
  <si>
    <t>第一章</t>
    <phoneticPr fontId="2" type="noConversion"/>
  </si>
  <si>
    <t>歐德姆布拉討伐箱</t>
    <phoneticPr fontId="2" type="noConversion"/>
  </si>
  <si>
    <t>喀邁拉討伐箱</t>
  </si>
  <si>
    <t>斯芬克斯討伐箱</t>
  </si>
  <si>
    <t>喀戎討伐箱</t>
  </si>
  <si>
    <t>哈耳庇厄討伐箱</t>
  </si>
  <si>
    <t>加爾姆討伐箱</t>
  </si>
  <si>
    <t>卡呂冬野豬討伐箱</t>
  </si>
  <si>
    <t>葛拉爾討伐箱</t>
  </si>
  <si>
    <t>杜華林討伐箱</t>
  </si>
  <si>
    <t>斯庫爾討伐箱</t>
  </si>
  <si>
    <t>獨眼巨人討伐箱</t>
  </si>
  <si>
    <t>第二章</t>
    <phoneticPr fontId="2" type="noConversion"/>
  </si>
  <si>
    <t>唱詩人魚討伐箱</t>
  </si>
  <si>
    <t>媚惑海妖討伐箱</t>
  </si>
  <si>
    <t>巨毒海獸討伐箱</t>
  </si>
  <si>
    <t>大型海馬討伐箱</t>
  </si>
  <si>
    <t>卡刺努斯討伐箱</t>
  </si>
  <si>
    <t>斯庫拉討伐箱</t>
  </si>
  <si>
    <t>第三章</t>
    <phoneticPr fontId="2" type="noConversion"/>
  </si>
  <si>
    <t>摩索尼爾討伐箱</t>
  </si>
  <si>
    <t>格萊普尼爾討伐箱</t>
  </si>
  <si>
    <t>穆斯佩王討伐箱</t>
  </si>
  <si>
    <t>大型地獄犬討伐箱</t>
  </si>
  <si>
    <t>菲尼克司討伐箱</t>
  </si>
  <si>
    <t>強壯喀邁拉討伐箱</t>
  </si>
  <si>
    <t>第四章</t>
    <phoneticPr fontId="2" type="noConversion"/>
  </si>
  <si>
    <t>格里芬討伐箱</t>
  </si>
  <si>
    <t>安德華利討伐箱</t>
  </si>
  <si>
    <t>布羅克討伐箱</t>
  </si>
  <si>
    <t>阿爾維斯討伐箱</t>
  </si>
  <si>
    <t>斯萊布尼爾討伐箱</t>
  </si>
  <si>
    <t>彌諾陶洛斯討伐箱</t>
  </si>
  <si>
    <t>第五章</t>
    <phoneticPr fontId="2" type="noConversion"/>
  </si>
  <si>
    <t>辛德里討伐箱</t>
  </si>
  <si>
    <t>法夫尼爾討伐箱</t>
  </si>
  <si>
    <t>耶夢加得討伐箱</t>
  </si>
  <si>
    <t>芬里爾討伐箱</t>
  </si>
  <si>
    <t>英雄寶箱</t>
    <phoneticPr fontId="2" type="noConversion"/>
  </si>
  <si>
    <t>英雄寶箱</t>
    <phoneticPr fontId="2" type="noConversion"/>
  </si>
  <si>
    <t>英雄碎片</t>
    <phoneticPr fontId="2" type="noConversion"/>
  </si>
  <si>
    <t>福袋抵用道具</t>
    <phoneticPr fontId="2" type="noConversion"/>
  </si>
  <si>
    <t>初心者英雄箱兌換幣</t>
    <rPh sb="0" eb="2">
      <t>ﾌｸﾌﾞｸﾛ</t>
    </rPh>
    <rPh sb="2" eb="4">
      <t>ｺｳｶﾝ</t>
    </rPh>
    <rPh sb="4" eb="5">
      <t>ｹﾝ</t>
    </rPh>
    <phoneticPr fontId="2" type="noConversion"/>
  </si>
  <si>
    <t>其他</t>
    <phoneticPr fontId="2" type="noConversion"/>
  </si>
  <si>
    <t>1st勢力獎勵箱</t>
    <phoneticPr fontId="2" type="noConversion"/>
  </si>
  <si>
    <t>2nd勢力獎勵箱</t>
    <phoneticPr fontId="2" type="noConversion"/>
  </si>
  <si>
    <t>3rd勢力獎勵箱</t>
    <phoneticPr fontId="2" type="noConversion"/>
  </si>
  <si>
    <t>4th勢力獎勵箱</t>
    <phoneticPr fontId="2" type="noConversion"/>
  </si>
  <si>
    <t>黃金VIP寶箱</t>
    <phoneticPr fontId="2" type="noConversion"/>
  </si>
  <si>
    <t>白金VIP寶箱</t>
    <phoneticPr fontId="2" type="noConversion"/>
  </si>
  <si>
    <t>白鑽VIP寶箱</t>
    <phoneticPr fontId="2" type="noConversion"/>
  </si>
  <si>
    <t>紫鑽VIP寶箱</t>
    <phoneticPr fontId="2" type="noConversion"/>
  </si>
  <si>
    <t>1星獎勵箱</t>
    <phoneticPr fontId="2" type="noConversion"/>
  </si>
  <si>
    <t>2星獎勵箱</t>
    <phoneticPr fontId="2" type="noConversion"/>
  </si>
  <si>
    <t>3星獎勵箱</t>
    <phoneticPr fontId="2" type="noConversion"/>
  </si>
  <si>
    <t>4星獎勵箱</t>
    <phoneticPr fontId="2" type="noConversion"/>
  </si>
  <si>
    <t>5星獎勵箱</t>
    <phoneticPr fontId="2" type="noConversion"/>
  </si>
  <si>
    <t>PVP任務箱I</t>
    <phoneticPr fontId="2" type="noConversion"/>
  </si>
  <si>
    <t>PVP任務箱II</t>
    <phoneticPr fontId="2" type="noConversion"/>
  </si>
  <si>
    <t>PVP排行獎勵箱(1名)</t>
    <phoneticPr fontId="2" type="noConversion"/>
  </si>
  <si>
    <t>PVP排行獎勵箱(2名)</t>
    <phoneticPr fontId="2" type="noConversion"/>
  </si>
  <si>
    <t>PVP排行獎勵箱(3名)</t>
    <phoneticPr fontId="2" type="noConversion"/>
  </si>
  <si>
    <t>PVP排行獎勵箱(4~10名)</t>
    <phoneticPr fontId="2" type="noConversion"/>
  </si>
  <si>
    <t>PVP排行獎勵箱(11~20名)</t>
    <phoneticPr fontId="2" type="noConversion"/>
  </si>
  <si>
    <t>PVP排行獎勵箱(21~50名)</t>
    <phoneticPr fontId="2" type="noConversion"/>
  </si>
  <si>
    <t>1★獎勵箱(木)</t>
    <phoneticPr fontId="2" type="noConversion"/>
  </si>
  <si>
    <t>2★獎勵箱(木)</t>
    <phoneticPr fontId="2" type="noConversion"/>
  </si>
  <si>
    <t>3★獎勵箱(木)</t>
    <phoneticPr fontId="2" type="noConversion"/>
  </si>
  <si>
    <t>4★獎勵箱(木)</t>
    <phoneticPr fontId="2" type="noConversion"/>
  </si>
  <si>
    <t>5★獎勵箱(木)</t>
    <phoneticPr fontId="2" type="noConversion"/>
  </si>
  <si>
    <t>1st獎勵箱(木)</t>
    <phoneticPr fontId="2" type="noConversion"/>
  </si>
  <si>
    <t>2nd獎勵箱(木)</t>
    <phoneticPr fontId="2" type="noConversion"/>
  </si>
  <si>
    <t>3rd獎勵箱(木)</t>
    <phoneticPr fontId="2" type="noConversion"/>
  </si>
  <si>
    <t>4th～10th獎勵箱(木)</t>
    <phoneticPr fontId="2" type="noConversion"/>
  </si>
  <si>
    <t>11th～20th獎勵箱(木)</t>
    <phoneticPr fontId="2" type="noConversion"/>
  </si>
  <si>
    <t>21th～50th獎勵箱(木)</t>
    <phoneticPr fontId="2" type="noConversion"/>
  </si>
  <si>
    <t>1★獎勵箱(鐵)</t>
    <phoneticPr fontId="2" type="noConversion"/>
  </si>
  <si>
    <t>2★獎勵箱(鐵)</t>
    <phoneticPr fontId="2" type="noConversion"/>
  </si>
  <si>
    <t>3★獎勵箱(鐵)</t>
    <phoneticPr fontId="2" type="noConversion"/>
  </si>
  <si>
    <t>4★獎勵箱(鐵)</t>
    <phoneticPr fontId="2" type="noConversion"/>
  </si>
  <si>
    <t>5★獎勵箱(鐵)</t>
    <phoneticPr fontId="2" type="noConversion"/>
  </si>
  <si>
    <t>1st獎勵箱(鐵)</t>
    <phoneticPr fontId="2" type="noConversion"/>
  </si>
  <si>
    <t>2nd獎勵箱(鐵)</t>
    <phoneticPr fontId="2" type="noConversion"/>
  </si>
  <si>
    <t>3rd獎勵箱(鐵)</t>
    <phoneticPr fontId="2" type="noConversion"/>
  </si>
  <si>
    <t>4th～10th獎勵箱(鐵)</t>
    <phoneticPr fontId="2" type="noConversion"/>
  </si>
  <si>
    <t>11th～20th獎勵箱(鐵)</t>
    <phoneticPr fontId="2" type="noConversion"/>
  </si>
  <si>
    <t>21th～50th獎勵箱(鐵)</t>
    <phoneticPr fontId="2" type="noConversion"/>
  </si>
  <si>
    <t>1★獎勵箱(銀)</t>
    <phoneticPr fontId="2" type="noConversion"/>
  </si>
  <si>
    <t>2★獎勵箱(銀)</t>
    <phoneticPr fontId="2" type="noConversion"/>
  </si>
  <si>
    <t>3★獎勵箱(銀)</t>
    <phoneticPr fontId="2" type="noConversion"/>
  </si>
  <si>
    <t>4★獎勵箱(銀)</t>
    <phoneticPr fontId="2" type="noConversion"/>
  </si>
  <si>
    <t>5★獎勵箱(銀)</t>
    <phoneticPr fontId="2" type="noConversion"/>
  </si>
  <si>
    <t>1st獎勵箱(銀)</t>
    <phoneticPr fontId="2" type="noConversion"/>
  </si>
  <si>
    <t>2nd獎勵箱(銀)</t>
    <phoneticPr fontId="2" type="noConversion"/>
  </si>
  <si>
    <t>3rd獎勵箱(銀)</t>
    <phoneticPr fontId="2" type="noConversion"/>
  </si>
  <si>
    <t>4th～10th獎勵箱(銀)</t>
    <phoneticPr fontId="2" type="noConversion"/>
  </si>
  <si>
    <t>11th～20th獎勵箱(銀)</t>
    <phoneticPr fontId="2" type="noConversion"/>
  </si>
  <si>
    <t>21th～50th獎勵箱(銀)</t>
    <phoneticPr fontId="2" type="noConversion"/>
  </si>
  <si>
    <t>1★獎勵箱(金)</t>
    <phoneticPr fontId="2" type="noConversion"/>
  </si>
  <si>
    <t>2★獎勵箱(金)</t>
    <phoneticPr fontId="2" type="noConversion"/>
  </si>
  <si>
    <t>3★獎勵箱(金)</t>
    <phoneticPr fontId="2" type="noConversion"/>
  </si>
  <si>
    <t>4★獎勵箱(金)</t>
    <phoneticPr fontId="2" type="noConversion"/>
  </si>
  <si>
    <t>5★獎勵箱(金)</t>
    <phoneticPr fontId="2" type="noConversion"/>
  </si>
  <si>
    <t>1st獎勵箱(金)</t>
    <phoneticPr fontId="2" type="noConversion"/>
  </si>
  <si>
    <t>2nd獎勵箱(金)</t>
    <phoneticPr fontId="2" type="noConversion"/>
  </si>
  <si>
    <t>3rd獎勵箱(金)</t>
    <phoneticPr fontId="2" type="noConversion"/>
  </si>
  <si>
    <t>4th～10th獎勵箱(金)</t>
    <phoneticPr fontId="2" type="noConversion"/>
  </si>
  <si>
    <t>11th～20th獎勵箱(金)</t>
    <phoneticPr fontId="2" type="noConversion"/>
  </si>
  <si>
    <t>21th～50th獎勵箱(金)</t>
    <phoneticPr fontId="2" type="noConversion"/>
  </si>
  <si>
    <t>1★獎勵箱(鑽)</t>
  </si>
  <si>
    <t>2★獎勵箱(鑽)</t>
  </si>
  <si>
    <t>3★獎勵箱(鑽)</t>
  </si>
  <si>
    <t>4★獎勵箱(鑽)</t>
  </si>
  <si>
    <t>5★獎勵箱(鑽)</t>
  </si>
  <si>
    <t>1st獎勵箱(鑽)</t>
  </si>
  <si>
    <t>2nd獎勵箱(鑽)</t>
  </si>
  <si>
    <t>3rd獎勵箱(鑽)</t>
  </si>
  <si>
    <t>4th～10th獎勵箱(鑽)</t>
  </si>
  <si>
    <t>11th～20th獎勵箱(鑽)</t>
  </si>
  <si>
    <t>21th～50th獎勵箱(鑽)</t>
  </si>
  <si>
    <t>寶鑽的裝備箱</t>
  </si>
  <si>
    <t>鑽的裝備箱</t>
  </si>
  <si>
    <t>日月裝備箱</t>
    <phoneticPr fontId="2" type="noConversion"/>
  </si>
  <si>
    <t>明月裝備箱</t>
    <phoneticPr fontId="2" type="noConversion"/>
  </si>
  <si>
    <t>101201</t>
    <phoneticPr fontId="2" type="noConversion"/>
  </si>
  <si>
    <t>巨人頭盔</t>
    <phoneticPr fontId="2" type="noConversion"/>
  </si>
  <si>
    <t>5</t>
    <phoneticPr fontId="2" type="noConversion"/>
  </si>
  <si>
    <t>2</t>
    <phoneticPr fontId="17" type="noConversion"/>
  </si>
  <si>
    <t>撕裂惡叉</t>
    <phoneticPr fontId="2" type="noConversion"/>
  </si>
  <si>
    <t>異變果實(紫)</t>
    <phoneticPr fontId="2" type="noConversion"/>
  </si>
  <si>
    <t>起源獸盔</t>
    <phoneticPr fontId="2" type="noConversion"/>
  </si>
  <si>
    <t>神謎耳飾</t>
    <phoneticPr fontId="2" type="noConversion"/>
  </si>
  <si>
    <t>睿智寶瓶</t>
    <phoneticPr fontId="2" type="noConversion"/>
  </si>
  <si>
    <t>竊盜之翼</t>
    <phoneticPr fontId="2" type="noConversion"/>
  </si>
  <si>
    <t>守護獠牙</t>
    <phoneticPr fontId="2" type="noConversion"/>
  </si>
  <si>
    <t>精工戒指</t>
    <phoneticPr fontId="2" type="noConversion"/>
  </si>
  <si>
    <t>黃金假髮</t>
    <phoneticPr fontId="2" type="noConversion"/>
  </si>
  <si>
    <t>貪婪之戒</t>
    <phoneticPr fontId="2" type="noConversion"/>
  </si>
  <si>
    <t>湛藍水晶</t>
    <phoneticPr fontId="2" type="noConversion"/>
  </si>
  <si>
    <t>魅惑緞帶</t>
    <phoneticPr fontId="2" type="noConversion"/>
  </si>
  <si>
    <t>海妖毒杯</t>
    <phoneticPr fontId="2" type="noConversion"/>
  </si>
  <si>
    <t>水晶頭飾</t>
    <phoneticPr fontId="2" type="noConversion"/>
  </si>
  <si>
    <t>堅硬蟹鎧</t>
    <phoneticPr fontId="2" type="noConversion"/>
  </si>
  <si>
    <t>精工之槌</t>
    <phoneticPr fontId="2" type="noConversion"/>
  </si>
  <si>
    <t>精工拴套</t>
    <phoneticPr fontId="2" type="noConversion"/>
  </si>
  <si>
    <t>燃燒寶石</t>
    <phoneticPr fontId="2" type="noConversion"/>
  </si>
  <si>
    <t>冥府之石</t>
    <phoneticPr fontId="2" type="noConversion"/>
  </si>
  <si>
    <t>熾紅頭飾</t>
    <phoneticPr fontId="2" type="noConversion"/>
  </si>
  <si>
    <t>異變果實(橘)</t>
    <phoneticPr fontId="2" type="noConversion"/>
  </si>
  <si>
    <t>禍害手杖</t>
    <phoneticPr fontId="2" type="noConversion"/>
  </si>
  <si>
    <t>獅鴛皮甲</t>
    <phoneticPr fontId="2" type="noConversion"/>
  </si>
  <si>
    <t>安德華拉諾特</t>
    <phoneticPr fontId="2" type="noConversion"/>
  </si>
  <si>
    <t>灼熱火槌</t>
    <phoneticPr fontId="2" type="noConversion"/>
  </si>
  <si>
    <t>阿爾維斯的侏儒帽</t>
    <phoneticPr fontId="2" type="noConversion"/>
  </si>
  <si>
    <t>天翼頭盔</t>
    <phoneticPr fontId="2" type="noConversion"/>
  </si>
  <si>
    <t>懾人巨斧</t>
    <phoneticPr fontId="2" type="noConversion"/>
  </si>
  <si>
    <t>堅毅之錘</t>
    <phoneticPr fontId="2" type="noConversion"/>
  </si>
  <si>
    <t>詩蜜酒</t>
    <phoneticPr fontId="2" type="noConversion"/>
  </si>
  <si>
    <t>毒麟弓</t>
    <phoneticPr fontId="2" type="noConversion"/>
  </si>
  <si>
    <t>蝕明魔劍</t>
    <phoneticPr fontId="2" type="noConversion"/>
  </si>
  <si>
    <t>世毒巨劍</t>
    <phoneticPr fontId="2" type="noConversion"/>
  </si>
  <si>
    <t>格萊普尼爾</t>
    <phoneticPr fontId="2" type="noConversion"/>
  </si>
  <si>
    <t>5</t>
    <phoneticPr fontId="2" type="noConversion"/>
  </si>
  <si>
    <t>12</t>
    <phoneticPr fontId="17" type="noConversion"/>
  </si>
  <si>
    <t>2</t>
    <phoneticPr fontId="17" type="noConversion"/>
  </si>
  <si>
    <t>狩獵短刃</t>
  </si>
  <si>
    <t>英雄鋼刀</t>
  </si>
  <si>
    <t>享樂與榮耀</t>
  </si>
  <si>
    <t>金針短劍</t>
  </si>
  <si>
    <t>封印之匣</t>
  </si>
  <si>
    <t>擄獲長弓</t>
  </si>
  <si>
    <t>阿里翁權杖</t>
  </si>
  <si>
    <t>格拉墨的殘影</t>
  </si>
  <si>
    <t>屠龍槍</t>
  </si>
  <si>
    <t>巨人大劍</t>
  </si>
  <si>
    <t>愛情之淚</t>
  </si>
  <si>
    <t>聖槍極光</t>
  </si>
  <si>
    <t>詛咒之弓</t>
  </si>
  <si>
    <t>不屈之槍</t>
  </si>
  <si>
    <t>魔女的祝福</t>
  </si>
  <si>
    <t>星座的守護</t>
  </si>
  <si>
    <t>月痕勾爪</t>
  </si>
  <si>
    <t>女神戰斧</t>
  </si>
  <si>
    <t>鉛指虎</t>
  </si>
  <si>
    <t>雷霆劍</t>
  </si>
  <si>
    <t>勝者之矛</t>
  </si>
  <si>
    <t>海的餽贈</t>
  </si>
  <si>
    <t>永恆風暴</t>
  </si>
  <si>
    <t>閃電的具象</t>
  </si>
  <si>
    <t>九重天的權威</t>
  </si>
  <si>
    <t>歷史石板</t>
  </si>
  <si>
    <t>飛鷹羽冠</t>
  </si>
  <si>
    <t>月影獵弓</t>
  </si>
  <si>
    <t>閃耀之星</t>
  </si>
  <si>
    <t>戀愛腰帶</t>
  </si>
  <si>
    <t>謊言與詭計</t>
  </si>
  <si>
    <t>隔音耳罩</t>
  </si>
  <si>
    <t>未來捲軸</t>
  </si>
  <si>
    <t>命運天秤</t>
  </si>
  <si>
    <t>臣服之杖</t>
  </si>
  <si>
    <t>黃金冠冕</t>
  </si>
  <si>
    <t>戰神槍</t>
  </si>
  <si>
    <t>紫杉獵弓</t>
  </si>
  <si>
    <t>稻穗之劍</t>
  </si>
  <si>
    <t>煉火錘</t>
  </si>
  <si>
    <t>酒神杖</t>
  </si>
  <si>
    <t>春之藤籃</t>
  </si>
  <si>
    <t>海倫</t>
  </si>
  <si>
    <t>古德露恩</t>
  </si>
  <si>
    <t>辛菲奧特利</t>
  </si>
  <si>
    <t>赫爾吉</t>
  </si>
  <si>
    <t>奧丁</t>
  </si>
  <si>
    <t>兀兒德</t>
  </si>
  <si>
    <t>阿波羅</t>
  </si>
  <si>
    <t>洛基</t>
  </si>
  <si>
    <t>黑帝斯</t>
  </si>
  <si>
    <t>詩寇蒂</t>
  </si>
  <si>
    <t>薇兒丹蒂</t>
  </si>
  <si>
    <t>潘朵拉</t>
  </si>
  <si>
    <t>奧德修斯</t>
  </si>
  <si>
    <t>亞德拉圖斯</t>
  </si>
  <si>
    <t>布倫希爾德</t>
  </si>
  <si>
    <t>希格露恩</t>
  </si>
  <si>
    <t>阿基里斯</t>
  </si>
  <si>
    <t>伊爾森</t>
  </si>
  <si>
    <t>維納莫寧</t>
  </si>
  <si>
    <t>亞特蘭大</t>
  </si>
  <si>
    <t>貝雷洛豐</t>
  </si>
  <si>
    <t>宙斯</t>
  </si>
  <si>
    <t>雅典娜</t>
  </si>
  <si>
    <t>波賽頓</t>
  </si>
  <si>
    <t>索爾</t>
  </si>
  <si>
    <t>赫爾</t>
  </si>
  <si>
    <t>芙麗嘉</t>
  </si>
  <si>
    <t>阿耳忒彌斯</t>
  </si>
  <si>
    <t>阿芙蘿黛蒂</t>
  </si>
  <si>
    <t>弗蕾亞</t>
  </si>
  <si>
    <t>希拉</t>
  </si>
  <si>
    <t>阿瑞斯</t>
  </si>
  <si>
    <t>烏勒爾</t>
  </si>
  <si>
    <t>希芙</t>
  </si>
  <si>
    <t>赫菲斯托斯</t>
  </si>
  <si>
    <t>戴歐尼修斯</t>
  </si>
  <si>
    <t>伊登</t>
  </si>
  <si>
    <t>10%機率對隨機目標造成100%火屬性傷害並拉取至身旁，冷卻25秒</t>
  </si>
  <si>
    <t>10%機率對自身周圍造成攻速降低20%持續6秒(目標靠近時發動)，冷卻30秒。</t>
  </si>
  <si>
    <t>10%機率造成目標115%暗屬性傷害，並持續扣血1%，持續3秒，冷卻20秒。</t>
  </si>
  <si>
    <t>10%機率對目標造成110%火屬性傷害並使目標魔力-10，冷卻20秒。</t>
  </si>
  <si>
    <t>10%機率順移至血量最低目標後方並造成110%風傷，冷卻25秒。</t>
  </si>
  <si>
    <t>自身每秒扣血0.7%，每秒回能+1</t>
  </si>
  <si>
    <t>自身每秒回血0.7%，每秒扣能1</t>
  </si>
  <si>
    <t>10%機率對自身周圍造成100%風屬性傷害並降低其攻速15%持續4秒(目標靠近時發動)，冷卻30秒。</t>
  </si>
  <si>
    <t>10%機率恢復自身周圍友軍攻擊的50%生命，冷卻25秒</t>
  </si>
  <si>
    <t>10%機率造成50%水傷並造成定身持續2秒，冷卻20秒</t>
  </si>
  <si>
    <t>15%機率造成目標110%風傷並提升自身攻速500持續2秒，冷卻25秒</t>
  </si>
  <si>
    <t>15%機率造成目標200%光傷，冷卻25秒</t>
  </si>
  <si>
    <t>20%機率造成目標120%風傷並自身魔力+10，冷卻25秒</t>
  </si>
  <si>
    <t>20%機率造成130%暗傷，冷卻20秒</t>
  </si>
  <si>
    <t>20%機率造成敵方圓形範圍120%暗傷並降低持續傷害抗性10%持續8秒，冷卻25秒</t>
  </si>
  <si>
    <t>20%機率造成敵方圓形範圍110%火傷並扣血1%持續3秒，冷卻20秒</t>
  </si>
  <si>
    <t>20%機率造成前方直線範圍120%水傷，冷卻20秒</t>
  </si>
  <si>
    <t>20%機率自身恢復攻擊的150%血量，冷卻20秒</t>
  </si>
  <si>
    <t>20%機率對我方單體賦予爆擊率與攻擊上升10%狀態持續8秒，冷卻20秒。</t>
  </si>
  <si>
    <t>20%機率恢復我方單體目標魔力15，冷卻25秒</t>
  </si>
  <si>
    <t>20%機率造成目標130%火傷並扣血1%持續3秒，冷卻25秒</t>
  </si>
  <si>
    <t>暗傷與暗炕上升5%</t>
  </si>
  <si>
    <t>20%機率造成敵方圓形範圍110%水傷並延長目標吟唱時間持續10秒，冷卻25秒</t>
  </si>
  <si>
    <t>20%機率擊退目標並造成150%光傷，冷卻25秒。</t>
  </si>
  <si>
    <t>20%機率自身恢復攻擊的120%血量並移除負面狀態持續1秒，冷卻25秒</t>
  </si>
  <si>
    <t>20%機率創造會自爆的魔族幻影，冷卻25秒</t>
  </si>
  <si>
    <t>20%機率造成目標110%光傷並造成目標混亂持續2秒，冷卻25秒</t>
  </si>
  <si>
    <t>20%機率恢復攻擊的100%血量且攻擊上升20%持續6秒，冷卻25秒</t>
  </si>
  <si>
    <t>20%機率擊退目標並造成120%水傷，冷卻25秒。</t>
  </si>
  <si>
    <t>20%機率造成120%風傷並降低目標爆擊抗性10%持續8秒，冷卻25秒</t>
  </si>
  <si>
    <t>普攻有20%機率造成敵方圓形範圍200%光傷，冷卻30秒</t>
  </si>
  <si>
    <t>20%機率造成160%暗傷，冷卻25秒</t>
  </si>
  <si>
    <t>吸血增加2%+50</t>
  </si>
  <si>
    <t>20%機率恢復攻擊的100%血量並無敵持續2秒，冷卻25秒</t>
  </si>
  <si>
    <t>20%機率造成120%風傷並降低目標攻擊20%持續5秒，冷卻25秒</t>
  </si>
  <si>
    <t>火傷與火炕上升5%</t>
  </si>
  <si>
    <t>20%機率造成110%火傷並暈眩目標2秒，冷卻25秒。</t>
  </si>
  <si>
    <t>20%機率恢復攻擊的150%血量並嘲諷周圍敵人持續5秒，冷卻30秒。</t>
  </si>
  <si>
    <t>20%機率擊退目標並造成140%火傷，冷卻25秒。</t>
  </si>
  <si>
    <t>20%機率造成目標80%光傷2次，冷卻25秒</t>
  </si>
  <si>
    <t>生命回復+20</t>
  </si>
  <si>
    <t>生命回復+30</t>
  </si>
  <si>
    <t>生命回復+40</t>
  </si>
  <si>
    <t>生命回復+50</t>
  </si>
  <si>
    <t>生命回復+60</t>
  </si>
  <si>
    <t>防禦+40</t>
  </si>
  <si>
    <t>防禦+50</t>
  </si>
  <si>
    <t>防禦+60</t>
  </si>
  <si>
    <t>攻擊+30</t>
  </si>
  <si>
    <t>攻擊+40</t>
  </si>
  <si>
    <t>攻擊+50</t>
  </si>
  <si>
    <t>攻擊+60</t>
  </si>
  <si>
    <t>攻擊+70</t>
  </si>
  <si>
    <t>防禦+30</t>
  </si>
  <si>
    <t>防禦+70</t>
  </si>
  <si>
    <t>爆擊率+1%</t>
  </si>
  <si>
    <t>爆擊率+1.5%</t>
  </si>
  <si>
    <t>爆擊率+2%</t>
  </si>
  <si>
    <t>爆擊率+2.5%</t>
  </si>
  <si>
    <t>爆擊率+3%</t>
  </si>
  <si>
    <t>生命+400</t>
  </si>
  <si>
    <t>生命+500</t>
  </si>
  <si>
    <t>生命+600</t>
  </si>
  <si>
    <t>生命+800</t>
  </si>
  <si>
    <t>生命+1000</t>
  </si>
  <si>
    <t>風抗+50</t>
  </si>
  <si>
    <t>風抗+70</t>
  </si>
  <si>
    <t>風抗+90</t>
  </si>
  <si>
    <t>風抗+120</t>
  </si>
  <si>
    <t>風抗+150</t>
  </si>
  <si>
    <t>水抗+50</t>
  </si>
  <si>
    <t>水抗+70</t>
  </si>
  <si>
    <t>水抗+90</t>
  </si>
  <si>
    <t>水抗+120</t>
  </si>
  <si>
    <t>水抗+150</t>
  </si>
  <si>
    <t>火抗+50</t>
  </si>
  <si>
    <t>火抗+70</t>
  </si>
  <si>
    <t>火抗+90</t>
  </si>
  <si>
    <t>火抗+120</t>
  </si>
  <si>
    <t>火抗+150</t>
  </si>
  <si>
    <t>光抗+50</t>
  </si>
  <si>
    <t>光抗+70</t>
  </si>
  <si>
    <t>光抗+90</t>
  </si>
  <si>
    <t>光抗+120</t>
  </si>
  <si>
    <t>光抗+150</t>
  </si>
  <si>
    <t>暗抗+50</t>
  </si>
  <si>
    <t>暗抗+70</t>
  </si>
  <si>
    <t>暗抗+90</t>
  </si>
  <si>
    <t>暗抗+120</t>
  </si>
  <si>
    <t>暗抗+150</t>
  </si>
  <si>
    <t>普攻吸血+1%+5</t>
  </si>
  <si>
    <t>普攻吸血+1.5%+10</t>
  </si>
  <si>
    <t>普攻吸血+2%+15</t>
  </si>
  <si>
    <t>普攻吸血+2.5%+20</t>
  </si>
  <si>
    <t>普攻吸血+3%+25</t>
  </si>
  <si>
    <t>持續傷害抗性+6%</t>
  </si>
  <si>
    <t>暈眩抗性+6%</t>
  </si>
  <si>
    <t>10%機率造成敵方圓型範圍110%無屬性傷害，冷卻25秒</t>
    <phoneticPr fontId="2" type="noConversion"/>
  </si>
  <si>
    <t>消耗銀幣</t>
  </si>
  <si>
    <t>平均消耗銀幣</t>
  </si>
  <si>
    <t>平均總消耗銀幣</t>
  </si>
  <si>
    <t>升2</t>
    <phoneticPr fontId="2" type="noConversion"/>
  </si>
  <si>
    <t>升3</t>
  </si>
  <si>
    <t>升4</t>
  </si>
  <si>
    <t>升5</t>
  </si>
  <si>
    <t>升6</t>
  </si>
  <si>
    <t>升7</t>
  </si>
  <si>
    <t>升8</t>
  </si>
  <si>
    <t>升9</t>
  </si>
  <si>
    <t>升10</t>
  </si>
  <si>
    <t>升11</t>
  </si>
  <si>
    <t>升12</t>
  </si>
  <si>
    <t>升13</t>
  </si>
  <si>
    <t>升14</t>
  </si>
  <si>
    <t>升15</t>
  </si>
  <si>
    <t>升16</t>
  </si>
  <si>
    <t>升17</t>
  </si>
  <si>
    <t>升18</t>
  </si>
  <si>
    <t>升19</t>
  </si>
  <si>
    <t>升20</t>
  </si>
  <si>
    <t>升21</t>
  </si>
  <si>
    <t>升22</t>
  </si>
  <si>
    <t>升23</t>
  </si>
  <si>
    <t>升24</t>
  </si>
  <si>
    <t>升25</t>
  </si>
  <si>
    <t>升26</t>
  </si>
  <si>
    <t>升27</t>
  </si>
  <si>
    <t>升28</t>
  </si>
  <si>
    <t>升29</t>
  </si>
  <si>
    <t>升30</t>
  </si>
  <si>
    <t>升31</t>
  </si>
  <si>
    <t>升32</t>
  </si>
  <si>
    <t>升33</t>
  </si>
  <si>
    <t>升34</t>
  </si>
  <si>
    <t>升35</t>
  </si>
  <si>
    <t>升36</t>
  </si>
  <si>
    <t>升37</t>
  </si>
  <si>
    <t>升38</t>
  </si>
  <si>
    <t>升39</t>
  </si>
  <si>
    <t>升40</t>
  </si>
  <si>
    <t>升41</t>
  </si>
  <si>
    <t>[騎士][戰士]限定，10%機率造成回復自身攻擊的100%血量並持續回血1%持續3秒，冷卻25秒</t>
  </si>
  <si>
    <t>10%機率造成自身周圍敵方恐懼逃跑2秒(目標靠近時發動)，冷卻25秒。</t>
  </si>
  <si>
    <t>10%機率造成目標110%火屬性傷害並另自身攻擊力上升10%持續8秒，冷卻20秒</t>
  </si>
  <si>
    <t>吸血增加2%+20</t>
  </si>
  <si>
    <t xml:space="preserve">10%機率造成敵方直線範圍 110%火傷，冷卻25秒。
</t>
  </si>
  <si>
    <t>移動增加20</t>
  </si>
  <si>
    <t>10%機率對敵方單體造成130%暗屬性傷害，但有30%機率會造成自身混亂持續1.5秒，冷卻20秒。</t>
  </si>
  <si>
    <t>[騎士][戰士]10%機率造成目標110%水屬性傷害並清除目標正面狀態1秒，冷卻25秒</t>
  </si>
  <si>
    <t>10%機率對目標造成110%火屬性傷害，同時增加自身防禦15%持續5秒，冷卻25秒。</t>
  </si>
  <si>
    <t>移動增加30</t>
  </si>
  <si>
    <t>10%機率對友軍回復攻擊的150%血量，冷卻20秒</t>
  </si>
  <si>
    <t>持續傷害抗性提升10%</t>
  </si>
  <si>
    <t>[騎士][戰士]限定，100%機率向前衝刺造成目標110%光傷並擊退且增加自身防禦10%持續3秒，冷卻30秒。</t>
  </si>
  <si>
    <t>召喚森林妖精-寧芙出來幫助作戰，冷卻120秒</t>
  </si>
  <si>
    <t>主動技能傷害增加15%+100</t>
  </si>
  <si>
    <t>持續傷害抗性+3%</t>
  </si>
  <si>
    <t>持續傷害抗性+9%</t>
  </si>
  <si>
    <t>持續傷害抗性+12%</t>
  </si>
  <si>
    <t>持續傷害抗性+15%</t>
  </si>
  <si>
    <t>暈眩抗性+3%</t>
  </si>
  <si>
    <t>暈眩抗性+9%</t>
  </si>
  <si>
    <t>暈眩抗性+12%</t>
  </si>
  <si>
    <t>暈眩抗性+15%</t>
  </si>
  <si>
    <t>擊退抗性+4%</t>
  </si>
  <si>
    <t>擊退抗性+8%</t>
  </si>
  <si>
    <t>擊退抗性+12%</t>
  </si>
  <si>
    <t>擊退抗性+16%</t>
  </si>
  <si>
    <t>擊退抗性+20%</t>
  </si>
  <si>
    <t>技能傷害+2%+30</t>
  </si>
  <si>
    <t>技能傷害+3.5%+60</t>
  </si>
  <si>
    <t>技能傷害+5%+90</t>
  </si>
  <si>
    <t>技能傷害+6.5%+120</t>
  </si>
  <si>
    <t>技能傷害+8%+150</t>
  </si>
  <si>
    <t>爆擊抗性+4%</t>
  </si>
  <si>
    <t>爆擊抗性+5%</t>
  </si>
  <si>
    <t>普攻10%機率造成目標持續扣血180持續5秒</t>
  </si>
  <si>
    <t>普攻10%機率造成目標持續扣血240持續5秒</t>
  </si>
  <si>
    <t>普攻10%機率造成目標持續扣血300持續5秒</t>
  </si>
  <si>
    <t>普攻10%機率造成目標持續扣血360持續5秒</t>
  </si>
  <si>
    <t>普攻10%機率造成目標持續扣血420持續5秒</t>
  </si>
  <si>
    <t>※專武為限定某位英雄才可穿的裝備，獲得該英雄會自動解鎖該英雄的專武鑄造任務</t>
    <phoneticPr fontId="2" type="noConversion"/>
  </si>
  <si>
    <t>※部分裝備有職業限定</t>
    <phoneticPr fontId="2" type="noConversion"/>
  </si>
  <si>
    <t>※武器給攻擊方面數值較多、防具給防禦方面數值較多、飾品給雜項但總數值只給武器/防具一半的值(此外，飾品若有給攻擊或爆擊，總數值給的會相對少)、專武是依照角色特性給數值</t>
    <phoneticPr fontId="2" type="noConversion"/>
  </si>
  <si>
    <t>※裝備初值約為滿等時的20%強度</t>
    <phoneticPr fontId="2" type="noConversion"/>
  </si>
  <si>
    <t>雷蒙德</t>
  </si>
  <si>
    <t>狄克</t>
  </si>
  <si>
    <t>修</t>
  </si>
  <si>
    <t>暴擊終值</t>
    <phoneticPr fontId="2" type="noConversion"/>
  </si>
  <si>
    <t>最高生命</t>
    <phoneticPr fontId="2" type="noConversion"/>
  </si>
  <si>
    <t>最高攻擊</t>
    <phoneticPr fontId="2" type="noConversion"/>
  </si>
  <si>
    <t>最高防禦</t>
    <phoneticPr fontId="2" type="noConversion"/>
  </si>
  <si>
    <t>最高速度</t>
    <phoneticPr fontId="2" type="noConversion"/>
  </si>
  <si>
    <t>最高移動</t>
    <phoneticPr fontId="2" type="noConversion"/>
  </si>
  <si>
    <t>最高爆擊</t>
    <phoneticPr fontId="2" type="noConversion"/>
  </si>
  <si>
    <t>強化上限</t>
    <phoneticPr fontId="2" type="noConversion"/>
  </si>
  <si>
    <t>強度等級</t>
    <phoneticPr fontId="2" type="noConversion"/>
  </si>
  <si>
    <t>一階裝備</t>
    <phoneticPr fontId="2" type="noConversion"/>
  </si>
  <si>
    <t>一階特裝</t>
    <phoneticPr fontId="2" type="noConversion"/>
  </si>
  <si>
    <t>二階裝備</t>
    <phoneticPr fontId="2" type="noConversion"/>
  </si>
  <si>
    <t>二階特裝</t>
    <phoneticPr fontId="2" type="noConversion"/>
  </si>
  <si>
    <t>專武</t>
    <phoneticPr fontId="2" type="noConversion"/>
  </si>
  <si>
    <t>活動裝備</t>
    <phoneticPr fontId="2" type="noConversion"/>
  </si>
  <si>
    <t>競技裝備</t>
    <phoneticPr fontId="2" type="noConversion"/>
  </si>
  <si>
    <t>※填入升級比重</t>
    <phoneticPr fontId="2" type="noConversion"/>
  </si>
  <si>
    <t>裝備初值比重</t>
    <phoneticPr fontId="2" type="noConversion"/>
  </si>
  <si>
    <t>生命初值</t>
    <phoneticPr fontId="2" type="noConversion"/>
  </si>
  <si>
    <t>生命成長</t>
    <phoneticPr fontId="2" type="noConversion"/>
  </si>
  <si>
    <t>攻擊初值</t>
    <phoneticPr fontId="2" type="noConversion"/>
  </si>
  <si>
    <t>攻擊成長</t>
    <phoneticPr fontId="2" type="noConversion"/>
  </si>
  <si>
    <t>防禦初值</t>
    <phoneticPr fontId="2" type="noConversion"/>
  </si>
  <si>
    <t>防禦成長</t>
    <phoneticPr fontId="2" type="noConversion"/>
  </si>
  <si>
    <t>速度初值</t>
    <phoneticPr fontId="2" type="noConversion"/>
  </si>
  <si>
    <t>速度成長</t>
    <phoneticPr fontId="2" type="noConversion"/>
  </si>
  <si>
    <t>移動</t>
    <phoneticPr fontId="2" type="noConversion"/>
  </si>
  <si>
    <t>暴擊</t>
    <phoneticPr fontId="2" type="noConversion"/>
  </si>
  <si>
    <t>總值</t>
    <phoneticPr fontId="2" type="noConversion"/>
  </si>
  <si>
    <t>技能</t>
    <phoneticPr fontId="17" type="noConversion"/>
  </si>
  <si>
    <t>儀式劍</t>
    <phoneticPr fontId="2" type="noConversion"/>
  </si>
  <si>
    <t>10%機率造成回復自身攻擊的100%血量，冷卻25秒</t>
    <phoneticPr fontId="2" type="noConversion"/>
  </si>
  <si>
    <t>裝備成長比重</t>
    <phoneticPr fontId="2" type="noConversion"/>
  </si>
  <si>
    <t>厚刃重劍</t>
    <phoneticPr fontId="2" type="noConversion"/>
  </si>
  <si>
    <t>血祭雙刀</t>
    <phoneticPr fontId="2" type="noConversion"/>
  </si>
  <si>
    <t>[騎士][戰士]限定，10%機率造成目標110%無屬性傷害，並持續扣血50，持續4秒，冷卻20秒。</t>
    <phoneticPr fontId="2" type="noConversion"/>
  </si>
  <si>
    <t>短柄斧</t>
    <phoneticPr fontId="2" type="noConversion"/>
  </si>
  <si>
    <t>戰爭長矛</t>
    <phoneticPr fontId="2" type="noConversion"/>
  </si>
  <si>
    <t>瑪那魔杖</t>
    <phoneticPr fontId="2" type="noConversion"/>
  </si>
  <si>
    <t>狩獵短弓</t>
    <phoneticPr fontId="2" type="noConversion"/>
  </si>
  <si>
    <t>10%機率造成目標115%無屬性傷害，冷卻20秒</t>
    <phoneticPr fontId="2" type="noConversion"/>
  </si>
  <si>
    <t>自身每秒生命恢復20</t>
    <phoneticPr fontId="2" type="noConversion"/>
  </si>
  <si>
    <t>皮質手套</t>
    <phoneticPr fontId="2" type="noConversion"/>
  </si>
  <si>
    <t>爆擊率上升1%</t>
    <phoneticPr fontId="2" type="noConversion"/>
  </si>
  <si>
    <t>金屬圓盾</t>
    <phoneticPr fontId="2" type="noConversion"/>
  </si>
  <si>
    <t>擊退抗性增加20%</t>
    <phoneticPr fontId="2" type="noConversion"/>
  </si>
  <si>
    <t>硬質頭盔</t>
    <phoneticPr fontId="2" type="noConversion"/>
  </si>
  <si>
    <t>10%機率回復自身攻擊的50%血量並防禦上升5%+20持續8秒，冷卻25秒</t>
    <phoneticPr fontId="2" type="noConversion"/>
  </si>
  <si>
    <t>寶石戒指</t>
    <phoneticPr fontId="2" type="noConversion"/>
  </si>
  <si>
    <t>持續傷害抗性+15%</t>
    <phoneticPr fontId="2" type="noConversion"/>
  </si>
  <si>
    <t>金首飾</t>
    <phoneticPr fontId="2" type="noConversion"/>
  </si>
  <si>
    <t>進場魔力+5</t>
    <phoneticPr fontId="2" type="noConversion"/>
  </si>
  <si>
    <t>稻穗羽飾</t>
    <phoneticPr fontId="2" type="noConversion"/>
  </si>
  <si>
    <t>自身每秒生命恢復10</t>
    <phoneticPr fontId="2" type="noConversion"/>
  </si>
  <si>
    <t>擊退抗性增加30%</t>
    <phoneticPr fontId="2" type="noConversion"/>
  </si>
  <si>
    <t>10%機率造成目標110%水屬性傷害並另目標逃跑持續2秒，冷卻20秒</t>
    <phoneticPr fontId="2" type="noConversion"/>
  </si>
  <si>
    <t>[騎士][戰士]限定，10%機率造成目標110%光屬性傷害並另自身攻擊力上升10%持續8秒，冷卻20秒</t>
    <phoneticPr fontId="2" type="noConversion"/>
  </si>
  <si>
    <t>生命+1000</t>
    <phoneticPr fontId="2" type="noConversion"/>
  </si>
  <si>
    <t>爆擊增加2%</t>
    <phoneticPr fontId="2" type="noConversion"/>
  </si>
  <si>
    <t>睿智寶瓶</t>
    <phoneticPr fontId="2" type="noConversion"/>
  </si>
  <si>
    <t>進場魔力+10</t>
    <phoneticPr fontId="2" type="noConversion"/>
  </si>
  <si>
    <t>移動增加30</t>
    <phoneticPr fontId="2" type="noConversion"/>
  </si>
  <si>
    <t>防禦增加60</t>
    <phoneticPr fontId="2" type="noConversion"/>
  </si>
  <si>
    <t>100%機率造成目標50%暗屬性傷害並降低攻速20%持續5秒(目標靠近時發動)，冷卻25秒</t>
    <phoneticPr fontId="2" type="noConversion"/>
  </si>
  <si>
    <t>葛拉爾</t>
    <phoneticPr fontId="2" type="noConversion"/>
  </si>
  <si>
    <t>10%機率回復自身攻擊的50%生命且並嘲諷周圍目標持續5秒，冷卻25秒</t>
    <phoneticPr fontId="2" type="noConversion"/>
  </si>
  <si>
    <t>吸血增加2%+10</t>
    <phoneticPr fontId="2" type="noConversion"/>
  </si>
  <si>
    <t>湛藍水晶</t>
    <phoneticPr fontId="2" type="noConversion"/>
  </si>
  <si>
    <t>10%機率對友軍回復攻擊的100%血量，冷卻20秒</t>
    <phoneticPr fontId="2" type="noConversion"/>
  </si>
  <si>
    <t>5%機率造成目標100%水屬性傷害並造成混亂持續2秒，冷卻25秒</t>
    <phoneticPr fontId="2" type="noConversion"/>
  </si>
  <si>
    <t>海妖毒杯</t>
    <phoneticPr fontId="2" type="noConversion"/>
  </si>
  <si>
    <t>10%機率造成自身周圍110%水屬性傷害並每秒扣血1%+50持續3秒(目標靠近時發動)，冷卻25秒</t>
    <phoneticPr fontId="2" type="noConversion"/>
  </si>
  <si>
    <t>水屬性抗性提升10%+100</t>
    <phoneticPr fontId="2" type="noConversion"/>
  </si>
  <si>
    <t>堅硬蟹鎧</t>
    <phoneticPr fontId="2" type="noConversion"/>
  </si>
  <si>
    <t>持續傷害抗性+30%</t>
    <phoneticPr fontId="2" type="noConversion"/>
  </si>
  <si>
    <t>10%機率造成目標110%火屬性傷害並另目標暈眩持續2秒，冷卻20秒</t>
    <phoneticPr fontId="2" type="noConversion"/>
  </si>
  <si>
    <t>摩索尼爾</t>
    <phoneticPr fontId="2" type="noConversion"/>
  </si>
  <si>
    <t>精工拴套</t>
    <phoneticPr fontId="2" type="noConversion"/>
  </si>
  <si>
    <t>攻擊力增加60</t>
    <phoneticPr fontId="2" type="noConversion"/>
  </si>
  <si>
    <t>每秒生命回復50</t>
    <phoneticPr fontId="2" type="noConversion"/>
  </si>
  <si>
    <t>10%機率造成回復自身攻擊的50%血量並持續回血100持續5秒，冷卻25秒</t>
    <phoneticPr fontId="2" type="noConversion"/>
  </si>
  <si>
    <t>100%機率造成目標100%光屬性傷害並擊退暈眩1秒(目標靠近時發動)，冷卻30秒</t>
    <phoneticPr fontId="2" type="noConversion"/>
  </si>
  <si>
    <t>獅鴛皮甲</t>
    <phoneticPr fontId="2" type="noConversion"/>
  </si>
  <si>
    <t>安德華拉諾特</t>
    <phoneticPr fontId="2" type="noConversion"/>
  </si>
  <si>
    <t>10%機率對目標造成130%光屬性傷害但有機率同時傷害到友軍，冷卻20秒</t>
    <phoneticPr fontId="2" type="noConversion"/>
  </si>
  <si>
    <t>安德華拉</t>
    <phoneticPr fontId="2" type="noConversion"/>
  </si>
  <si>
    <t>10%機率擊退目標並造成110%火屬性傷害，冷卻20秒</t>
    <phoneticPr fontId="2" type="noConversion"/>
  </si>
  <si>
    <t>10%機率回復自身攻擊的100%血量並清除負面狀態，冷卻25秒</t>
    <phoneticPr fontId="2" type="noConversion"/>
  </si>
  <si>
    <t>天翼頭盔</t>
    <phoneticPr fontId="2" type="noConversion"/>
  </si>
  <si>
    <t>10%機率對目標造成110%暗屬性傷害，同時暈眩敵人1秒並減少10%防禦維持5秒，冷卻25秒。</t>
    <phoneticPr fontId="2" type="noConversion"/>
  </si>
  <si>
    <t>彌諾陶斯</t>
    <phoneticPr fontId="2" type="noConversion"/>
  </si>
  <si>
    <t>10%機率對目標造成110%光屬性傷害，並自身獲得防禦提升15%，維持8秒，冷卻20秒。</t>
    <phoneticPr fontId="2" type="noConversion"/>
  </si>
  <si>
    <t>辛里德</t>
    <phoneticPr fontId="2" type="noConversion"/>
  </si>
  <si>
    <t>10%機率對目標造成100%風屬性傷害，並使敵人沉默6秒，冷卻時間25秒。</t>
    <phoneticPr fontId="2" type="noConversion"/>
  </si>
  <si>
    <t>10%機率對目標造成110%水屬性傷害，並使目標爆擊機率降低15%，持續8秒，冷卻25秒。</t>
    <phoneticPr fontId="2" type="noConversion"/>
  </si>
  <si>
    <t>100%機率造成目標50%風屬性傷害，並降低目標傷害30%，持續5秒(目標靠近時發動)。冷卻25秒。</t>
    <phoneticPr fontId="2" type="noConversion"/>
  </si>
  <si>
    <t>二階裝備</t>
    <phoneticPr fontId="2" type="noConversion"/>
  </si>
  <si>
    <t>聖潔匕飾</t>
    <phoneticPr fontId="2" type="noConversion"/>
  </si>
  <si>
    <t>破壞巨槌</t>
    <phoneticPr fontId="2" type="noConversion"/>
  </si>
  <si>
    <t>方尖聖槍</t>
    <phoneticPr fontId="2" type="noConversion"/>
  </si>
  <si>
    <t>獸皮手套</t>
    <phoneticPr fontId="2" type="noConversion"/>
  </si>
  <si>
    <t>盧文重盾</t>
    <phoneticPr fontId="2" type="noConversion"/>
  </si>
  <si>
    <t>淨化長弓</t>
    <phoneticPr fontId="2" type="noConversion"/>
  </si>
  <si>
    <t>平衡擲刀</t>
    <phoneticPr fontId="2" type="noConversion"/>
  </si>
  <si>
    <t>強護長靴</t>
    <phoneticPr fontId="2" type="noConversion"/>
  </si>
  <si>
    <t>反光尖盾</t>
    <phoneticPr fontId="2" type="noConversion"/>
  </si>
  <si>
    <t>榮耀皇冠</t>
    <phoneticPr fontId="2" type="noConversion"/>
  </si>
  <si>
    <t>雷霆腰帶</t>
    <phoneticPr fontId="2" type="noConversion"/>
  </si>
  <si>
    <t>飛翼絲帶</t>
    <phoneticPr fontId="2" type="noConversion"/>
  </si>
  <si>
    <t>弗洛帝</t>
    <phoneticPr fontId="2" type="noConversion"/>
  </si>
  <si>
    <t>10%機率造成目標110%暗屬性傷害並降低攻速30%持續5秒，冷卻25秒</t>
    <phoneticPr fontId="2" type="noConversion"/>
  </si>
  <si>
    <t>格拉尼</t>
    <phoneticPr fontId="2" type="noConversion"/>
  </si>
  <si>
    <t>斯奇布拉尼</t>
    <phoneticPr fontId="2" type="noConversion"/>
  </si>
  <si>
    <t>英雄專武</t>
    <phoneticPr fontId="2" type="noConversion"/>
  </si>
  <si>
    <t>阿提卡劍</t>
    <phoneticPr fontId="2" type="noConversion"/>
  </si>
  <si>
    <t>主動技能回血增加20%+300</t>
    <phoneticPr fontId="2" type="noConversion"/>
  </si>
  <si>
    <t>20%機率對我方原形範圍恢復攻擊的200%血量，冷卻30秒</t>
    <phoneticPr fontId="2" type="noConversion"/>
  </si>
  <si>
    <t>30%機率擊退目標並恢復自身攻擊50%血量並逃跑持續2秒(目標靠近時發動)，冷卻30秒</t>
    <phoneticPr fontId="2" type="noConversion"/>
  </si>
  <si>
    <t>亞爾曼</t>
  </si>
  <si>
    <t>里格</t>
  </si>
  <si>
    <t>瑪夏</t>
  </si>
  <si>
    <t>薩迦</t>
  </si>
  <si>
    <t>伊薇拉</t>
  </si>
  <si>
    <t>米諾斯</t>
  </si>
  <si>
    <t>倪克斯</t>
  </si>
  <si>
    <t>卡莉歐</t>
  </si>
  <si>
    <t>梅杜莎</t>
  </si>
  <si>
    <t>安菲特里忒</t>
  </si>
  <si>
    <t>光之劍</t>
    <phoneticPr fontId="2" type="noConversion"/>
  </si>
  <si>
    <t>破曉之書</t>
    <phoneticPr fontId="2" type="noConversion"/>
  </si>
  <si>
    <t>獸毛拳刃</t>
    <phoneticPr fontId="2" type="noConversion"/>
  </si>
  <si>
    <t>萬能背包</t>
    <phoneticPr fontId="2" type="noConversion"/>
  </si>
  <si>
    <t>幻象寶瓶</t>
    <phoneticPr fontId="2" type="noConversion"/>
  </si>
  <si>
    <t>知慧羽筆</t>
    <phoneticPr fontId="2" type="noConversion"/>
  </si>
  <si>
    <t>手提花籃</t>
    <phoneticPr fontId="2" type="noConversion"/>
  </si>
  <si>
    <t>灼熱太刀</t>
    <phoneticPr fontId="2" type="noConversion"/>
  </si>
  <si>
    <t>20%機率對友軍回復攻擊的100%血量並移除負面狀態，冷卻25秒</t>
    <phoneticPr fontId="2" type="noConversion"/>
  </si>
  <si>
    <t>繞聲貝殼</t>
    <phoneticPr fontId="2" type="noConversion"/>
  </si>
  <si>
    <t>20%機率造成120%暗傷並造成定身持續3秒，冷卻25秒</t>
    <phoneticPr fontId="2" type="noConversion"/>
  </si>
  <si>
    <t>20%機率造成隨機敵方單體睡眠持續5秒，冷卻25秒</t>
    <phoneticPr fontId="2" type="noConversion"/>
  </si>
  <si>
    <t>芙蘭</t>
  </si>
  <si>
    <t>美樂妮</t>
  </si>
  <si>
    <t>阿芙菈</t>
  </si>
  <si>
    <t>布蘭妲</t>
  </si>
  <si>
    <t>卡蜜菈</t>
  </si>
  <si>
    <t>伊蒂絲</t>
  </si>
  <si>
    <t>妮可</t>
  </si>
  <si>
    <t>美蒂亞</t>
  </si>
  <si>
    <t>忒希亞</t>
  </si>
  <si>
    <t>莎碧娜</t>
  </si>
  <si>
    <t>無資料</t>
    <phoneticPr fontId="2" type="noConversion"/>
  </si>
  <si>
    <t>20%機率對隨機友軍造成攻擊上升10%持續10秒，冷卻20秒</t>
    <phoneticPr fontId="2" type="noConversion"/>
  </si>
  <si>
    <t>禁錮鍊錘</t>
    <phoneticPr fontId="2" type="noConversion"/>
  </si>
  <si>
    <t>黑夜幻珠</t>
    <phoneticPr fontId="2" type="noConversion"/>
  </si>
  <si>
    <t>盧米耶</t>
    <phoneticPr fontId="2" type="noConversion"/>
  </si>
  <si>
    <t>20%機率造成敵方圓形範圍110%暗傷並造成目標無法回血持續3秒，冷卻30秒</t>
    <phoneticPr fontId="2" type="noConversion"/>
  </si>
  <si>
    <t>爆擊增加5%</t>
    <phoneticPr fontId="2" type="noConversion"/>
  </si>
  <si>
    <t>攻擊上升3%</t>
    <phoneticPr fontId="2" type="noConversion"/>
  </si>
  <si>
    <t>20%機率自身恢復攻擊的150%血量，冷卻20秒。</t>
    <phoneticPr fontId="2" type="noConversion"/>
  </si>
  <si>
    <t>20%機率造成120%風傷並造成沉默持續5秒，冷卻25秒</t>
    <phoneticPr fontId="2" type="noConversion"/>
  </si>
  <si>
    <t>20%機率造成敵方圓形範圍120%光傷並沉默持續5秒，冷卻30秒</t>
    <phoneticPr fontId="2" type="noConversion"/>
  </si>
  <si>
    <t>20%機率對自身周圍友軍回復攻擊的150%血量，冷卻25秒</t>
    <phoneticPr fontId="2" type="noConversion"/>
  </si>
  <si>
    <t>普攻回能+1</t>
  </si>
  <si>
    <t>20%機率造成目標110%火傷且自身攻速上升300持續4秒，冷卻20秒</t>
    <phoneticPr fontId="2" type="noConversion"/>
  </si>
  <si>
    <t>20%機率造成120%火傷並使目標無法回血持續6秒，冷卻25秒。</t>
    <phoneticPr fontId="2" type="noConversion"/>
  </si>
  <si>
    <t>進場魔力+5
水屬性抗性提升5%+50</t>
    <rPh sb="1" eb="3">
      <t>ソウビ</t>
    </rPh>
    <rPh sb="3" eb="5">
      <t>シュルイボウギョリョクセントウカイシチョクゴジシンヒカリゾクセイボウギョ</t>
    </rPh>
    <phoneticPr fontId="2"/>
  </si>
  <si>
    <t>リブラギアスリング</t>
    <phoneticPr fontId="2" type="noConversion"/>
  </si>
  <si>
    <t>ヴァルアモスリング</t>
    <phoneticPr fontId="2" type="noConversion"/>
  </si>
  <si>
    <t>進場魔力+5
暗屬性抗性提升5%+50</t>
    <rPh sb="1" eb="3">
      <t>ソウビ</t>
    </rPh>
    <rPh sb="3" eb="5">
      <t>シュルイボウギョリョクセントウカイシチョクゴジシンヒカリゾクセイボウギョ</t>
    </rPh>
    <phoneticPr fontId="2"/>
  </si>
  <si>
    <t>漆黑之影</t>
    <phoneticPr fontId="2" type="noConversion"/>
  </si>
  <si>
    <t>20%機率造成目標100%暗傷並扣血2%持續3秒，冷卻25秒。</t>
    <phoneticPr fontId="2" type="noConversion"/>
  </si>
  <si>
    <t>艾斯</t>
    <phoneticPr fontId="2" type="noConversion"/>
  </si>
  <si>
    <t>海龍之牙</t>
    <phoneticPr fontId="2" type="noConversion"/>
  </si>
  <si>
    <t>20%機率自身恢復攻擊的100%血量並移除負面狀態，冷卻20秒。</t>
    <phoneticPr fontId="2" type="noConversion"/>
  </si>
  <si>
    <t>古爾薇格</t>
    <phoneticPr fontId="2" type="noConversion"/>
  </si>
  <si>
    <t>永恆聖裁</t>
    <phoneticPr fontId="2" type="noConversion"/>
  </si>
  <si>
    <t>20%機率造成目標120%暗傷並且擊暈持續兩秒，冷卻25秒。</t>
    <phoneticPr fontId="2" type="noConversion"/>
  </si>
  <si>
    <t>絕海怨靈</t>
    <phoneticPr fontId="2" type="noConversion"/>
  </si>
  <si>
    <t>20%機率造成目標恐懼逃跑持續兩秒，冷卻25秒。</t>
    <phoneticPr fontId="2" type="noConversion"/>
  </si>
  <si>
    <t>原初之劍</t>
    <phoneticPr fontId="2" type="noConversion"/>
  </si>
  <si>
    <t>盧恩魔槍</t>
    <phoneticPr fontId="2" type="noConversion"/>
  </si>
  <si>
    <t>烈火之心</t>
    <phoneticPr fontId="2" type="noConversion"/>
  </si>
  <si>
    <t>伊卡路斯之翼</t>
    <phoneticPr fontId="2" type="noConversion"/>
  </si>
  <si>
    <t>仲夏夜之淚</t>
    <phoneticPr fontId="2" type="noConversion"/>
  </si>
  <si>
    <t>[騎士][戰士]限定，100%機率向前衝刺造成目標110%風屬性傷害並擊退且增加自身防禦10%持續3秒，冷卻30秒。</t>
    <phoneticPr fontId="2" type="noConversion"/>
  </si>
  <si>
    <t>星宿斗篷</t>
    <phoneticPr fontId="2" type="noConversion"/>
  </si>
  <si>
    <t>泰坦肩甲</t>
    <phoneticPr fontId="2" type="noConversion"/>
  </si>
  <si>
    <t>天穹權杖</t>
    <phoneticPr fontId="2" type="noConversion"/>
  </si>
  <si>
    <t>御命詩章</t>
    <phoneticPr fontId="2" type="noConversion"/>
  </si>
  <si>
    <t>金絲披肩</t>
    <phoneticPr fontId="2" type="noConversion"/>
  </si>
  <si>
    <t>拉恩的魔法拋網</t>
    <phoneticPr fontId="2" type="noConversion"/>
  </si>
  <si>
    <t>10%機率拉取敵方隨機目標至身旁，冷卻30秒</t>
    <phoneticPr fontId="2" type="noConversion"/>
  </si>
  <si>
    <t>10%機率自身恢復攻擊的250%生命但造成自身暈眩3秒，冷卻30秒</t>
    <phoneticPr fontId="2" type="noConversion"/>
  </si>
  <si>
    <t>提升自身生命1000，每秒回復20生命。</t>
    <phoneticPr fontId="2" type="noConversion"/>
  </si>
  <si>
    <t>墨淵筆</t>
    <phoneticPr fontId="2" type="noConversion"/>
  </si>
  <si>
    <t>[弓手][法師]限定，30%機率擊退目標並恢復自身攻擊50%血量並逃跑持續2秒(目標靠近時發動)，冷卻30秒</t>
    <phoneticPr fontId="2" type="noConversion"/>
  </si>
  <si>
    <t>殘光墜羽</t>
    <phoneticPr fontId="2" type="noConversion"/>
  </si>
  <si>
    <t>使用火紅的古代隕鐵所打造而成的紅色長劍，使用時會燃起紅色火焰。</t>
    <phoneticPr fontId="17" type="noConversion"/>
  </si>
  <si>
    <t>上面刻有盧恩符文的長槍，能讓使用者的身體能力大幅提升。</t>
    <phoneticPr fontId="17" type="noConversion"/>
  </si>
  <si>
    <t>神界金礦所打造的法杖，最上方還鑲有一大顆天藍色的寶石，持有者能感受到能夠操控天空的力量。</t>
    <phoneticPr fontId="17" type="noConversion"/>
  </si>
  <si>
    <t>由一個傳說的鐵匠所打造獻給海絲蒂亞的盾牌，盾牌外觀是一龍頭，能從嘴巴噴出火焰。</t>
    <phoneticPr fontId="17" type="noConversion"/>
  </si>
  <si>
    <t>傳說為古代泰坦巨神所留下的盔甲重新打造而成的肩甲，上面仍然殘留泰坦巨神的魔力。</t>
    <phoneticPr fontId="17" type="noConversion"/>
  </si>
  <si>
    <t>外觀有如星空一般的神奇斗篷，斗篷寄宿著星宿之力且守護著穿戴者。</t>
    <phoneticPr fontId="17" type="noConversion"/>
  </si>
  <si>
    <t>由某位古神所撰寫的一卷詩篇，卷軸本身被下了守護魔法，似乎無法輕易被摧毀。</t>
    <phoneticPr fontId="17" type="noConversion"/>
  </si>
  <si>
    <t>仿造伊卡路斯之翼所打造出來的一對羽翼，實際上的用途似乎還不明…</t>
    <phoneticPr fontId="17" type="noConversion"/>
  </si>
  <si>
    <t>傳聞中是阿緹密絲所留下的淚水化成的寶石，後來被製成了一對耳環。</t>
    <phoneticPr fontId="17" type="noConversion"/>
  </si>
  <si>
    <t>一位被神所拋棄的女子化為天使時羽翼所落下的羽毛製成的頭飾，發光的羽翼仍隱藏著十分強烈的思念。</t>
    <phoneticPr fontId="17" type="noConversion"/>
  </si>
  <si>
    <t>用傳說中金羊毛所編織而成的披肩，外關相當刺眼但是摸起來十分柔順。</t>
    <phoneticPr fontId="17" type="noConversion"/>
  </si>
  <si>
    <t>塔爾塔羅斯所取出的怨氣所製成的一支黑色羽毛筆，看起來十分詭異不詳。</t>
    <phoneticPr fontId="17" type="noConversion"/>
  </si>
  <si>
    <t>光屬性抗性提升10%+300</t>
    <phoneticPr fontId="2" type="noConversion"/>
  </si>
  <si>
    <t>10%機率造成100%暗屬性傷害並且沉默目標5秒，冷卻20秒。</t>
    <phoneticPr fontId="2" type="noConversion"/>
  </si>
  <si>
    <t xml:space="preserve">[騎士][戰士]限定，10%機率回復自身攻擊100%並嘲諷周圍敵人，持續5秒，冷卻30秒。 </t>
    <phoneticPr fontId="2" type="noConversion"/>
  </si>
  <si>
    <t>30%暈眩狀抗性</t>
    <phoneticPr fontId="2" type="noConversion"/>
  </si>
  <si>
    <t>10%機率自身扣血2%並賦予我方全體1000護盾持續20秒，冷卻30秒(無法疊加)。</t>
    <phoneticPr fontId="2" type="noConversion"/>
  </si>
  <si>
    <t>[騎士][戰士]限定，10%機率造成目標110%火屬性傷害並持續扣血1%+300，持續3秒，冷卻20秒</t>
    <phoneticPr fontId="2" type="noConversion"/>
  </si>
  <si>
    <t>[騎士][戰士]限定，10%機率回復自身攻擊200%的血量並清除負面狀態，冷卻25秒</t>
    <phoneticPr fontId="2" type="noConversion"/>
  </si>
  <si>
    <t>[弓手][法師]限定， 20%機率造成100%光屬性傷害並定身敵方持續3秒(靠近敵方時發動)，自身向後逃跑，冷卻25秒。</t>
    <phoneticPr fontId="2" type="noConversion"/>
  </si>
  <si>
    <t>10%機率擊造成120%火屬性傷害並清除自身與目標正面狀態，冷卻20秒。</t>
    <phoneticPr fontId="2" type="noConversion"/>
  </si>
  <si>
    <t>10%機率造成100%暗屬性傷害並提升我方全體攻擊力10%，持續5秒，冷卻25秒。 (不得疊加)</t>
    <phoneticPr fontId="2" type="noConversion"/>
  </si>
  <si>
    <t>被攻擊有20%會回復自身1%+200血量。(不得疊加)</t>
    <phoneticPr fontId="2" type="noConversion"/>
  </si>
  <si>
    <t>KNRハンマー</t>
    <phoneticPr fontId="2" type="noConversion"/>
  </si>
  <si>
    <t>「攻撃時に10%の確率で敵1体に140%の光属性ダメージを与える」
「この装備のスキル発動時に味方1体のHPをスキル発動者の攻撃力の100%回復」
【クールタイム30秒】</t>
    <phoneticPr fontId="2" type="noConversion"/>
  </si>
  <si>
    <t>レクイエムティアーズ</t>
    <phoneticPr fontId="2" type="noConversion"/>
  </si>
  <si>
    <t>「自身のHPを毎秒0.5％+50回復」
「水属性耐性+50」</t>
    <phoneticPr fontId="2"/>
  </si>
  <si>
    <t>賽希爾</t>
    <phoneticPr fontId="2" type="noConversion"/>
  </si>
  <si>
    <t>20%機率使隨機敵方目標迷惑向前持續3秒，冷卻25秒</t>
    <phoneticPr fontId="2" type="noConversion"/>
  </si>
  <si>
    <t>20%機率造成隨機目標130%風傷，冷卻25秒</t>
    <phoneticPr fontId="2" type="noConversion"/>
  </si>
  <si>
    <t>主動技能傷害增加15%</t>
    <phoneticPr fontId="2" type="noConversion"/>
  </si>
  <si>
    <t>20%機率造成目標120%風傷並混亂持續2秒，冷卻25秒</t>
    <phoneticPr fontId="2" type="noConversion"/>
  </si>
  <si>
    <t>技能吟唱時間縮短</t>
    <phoneticPr fontId="2" type="noConversion"/>
  </si>
  <si>
    <t>爆擊率增加5%</t>
    <phoneticPr fontId="2" type="noConversion"/>
  </si>
  <si>
    <t>大顆松果</t>
    <phoneticPr fontId="2" type="noConversion"/>
  </si>
  <si>
    <t>100%機率造成110%光傷並擊退暈眩目標1秒，冷卻25秒。</t>
    <phoneticPr fontId="2" type="noConversion"/>
  </si>
  <si>
    <t>鑑識放大鏡</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</si>
</sst>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
    <numFmt numFmtId="177" formatCode="0_ "/>
  </numFmts>
  <fonts count="23">
    <font>
      <sz val="12"/>
      <name val="新細明體"/>
      <family val="1"/>
      <charset val="136"/>
    </font>
    <font>
      <sz val="12"/>
      <name val="新細明體"/>
      <family val="1"/>
      <charset val="136"/>
    </font>
    <font>
      <sz val="9"/>
      <name val="新細明體"/>
      <family val="1"/>
      <charset val="136"/>
    </font>
    <font>
      <sz val="9"/>
      <color indexed="81"/>
      <name val="新細明體"/>
      <family val="1"/>
      <charset val="136"/>
    </font>
    <font>
      <b/>
      <sz val="12"/>
      <name val="新細明體"/>
      <family val="1"/>
      <charset val="136"/>
    </font>
    <font>
      <b/>
      <sz val="9"/>
      <color indexed="81"/>
      <name val="新細明體"/>
      <family val="1"/>
      <charset val="136"/>
    </font>
    <font>
      <sz val="12"/>
      <color indexed="9"/>
      <name val="新細明體"/>
      <family val="1"/>
      <charset val="136"/>
    </font>
    <font>
      <b/>
      <sz val="12"/>
      <color indexed="9"/>
      <name val="新細明體"/>
      <family val="1"/>
      <charset val="136"/>
    </font>
    <font>
      <sz val="12"/>
      <color indexed="10"/>
      <name val="新細明體"/>
      <family val="1"/>
      <charset val="136"/>
    </font>
    <font>
      <sz val="9"/>
      <name val="新細明體"/>
      <family val="1"/>
      <charset val="136"/>
    </font>
    <font>
      <sz val="12"/>
      <color rgb="FFFF0000"/>
      <name val="新細明體"/>
      <family val="1"/>
      <charset val="136"/>
    </font>
    <font>
      <b/>
      <sz val="9"/>
      <color indexed="81"/>
      <name val="細明體"/>
      <family val="3"/>
      <charset val="136"/>
    </font>
    <font>
      <sz val="9"/>
      <color indexed="81"/>
      <name val="細明體"/>
      <family val="3"/>
      <charset val="136"/>
    </font>
    <font>
      <b/>
      <sz val="9"/>
      <color indexed="81"/>
      <name val="Tahoma"/>
      <family val="2"/>
    </font>
    <font>
      <sz val="9"/>
      <color indexed="81"/>
      <name val="Tahoma"/>
      <family val="2"/>
    </font>
    <font>
      <sz val="10"/>
      <name val="新細明體"/>
      <family val="1"/>
      <charset val="136"/>
      <scheme val="minor"/>
    </font>
    <font>
      <b/>
      <sz val="10"/>
      <name val="新細明體"/>
      <family val="1"/>
      <charset val="136"/>
    </font>
    <font>
      <sz val="9"/>
      <name val="新細明體"/>
      <family val="2"/>
      <charset val="136"/>
      <scheme val="minor"/>
    </font>
    <font>
      <b/>
      <sz val="10"/>
      <name val="新細明體"/>
      <family val="1"/>
      <charset val="136"/>
      <scheme val="minor"/>
    </font>
    <font>
      <sz val="10"/>
      <name val="新細明體"/>
      <family val="1"/>
      <charset val="136"/>
    </font>
    <font>
      <b/>
      <sz val="10"/>
      <color theme="0"/>
      <name val="新細明體"/>
      <family val="1"/>
      <charset val="136"/>
      <scheme val="minor"/>
    </font>
    <font>
      <sz val="10"/>
      <color theme="0"/>
      <name val="新細明體"/>
      <family val="1"/>
      <charset val="136"/>
      <scheme val="minor"/>
    </font>
    <font>
      <b/>
      <sz val="12"/>
      <color theme="1"/>
      <name val="新細明體"/>
      <family val="1"/>
      <charset val="136"/>
      <scheme val="minor"/>
    </font>
  </fonts>
  <fills count="22">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8"/>
        <bgColor indexed="64"/>
      </patternFill>
    </fill>
    <fill>
      <patternFill patternType="solid">
        <fgColor indexed="13"/>
        <bgColor indexed="64"/>
      </patternFill>
    </fill>
    <fill>
      <patternFill patternType="solid">
        <fgColor indexed="51"/>
        <bgColor indexed="64"/>
      </patternFill>
    </fill>
    <fill>
      <patternFill patternType="solid">
        <fgColor rgb="FFFFC000"/>
        <bgColor indexed="64"/>
      </patternFill>
    </fill>
    <fill>
      <patternFill patternType="solid">
        <fgColor rgb="FFFFFF00"/>
        <bgColor indexed="64"/>
      </patternFill>
    </fill>
    <fill>
      <patternFill patternType="solid">
        <fgColor rgb="FFFF0000"/>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1"/>
        <bgColor indexed="64"/>
      </patternFill>
    </fill>
    <fill>
      <patternFill patternType="solid">
        <fgColor indexed="22"/>
        <bgColor indexed="64"/>
      </patternFill>
    </fill>
    <fill>
      <patternFill patternType="solid">
        <fgColor theme="0" tint="-0.249977111117893"/>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3">
    <xf numFmtId="0" fontId="0" fillId="0" borderId="0">
      <alignment vertical="center"/>
    </xf>
    <xf numFmtId="0" fontId="1" fillId="0" borderId="0"/>
    <xf numFmtId="0" fontId="1" fillId="0" borderId="0"/>
  </cellStyleXfs>
  <cellXfs count="112">
    <xf numFmtId="0" fontId="0" fillId="0" borderId="0" xfId="0">
      <alignment vertical="center"/>
    </xf>
    <xf numFmtId="0" fontId="0" fillId="2" borderId="0" xfId="0" applyFill="1">
      <alignment vertical="center"/>
    </xf>
    <xf numFmtId="0" fontId="0" fillId="2" borderId="1" xfId="0" applyFill="1" applyBorder="1">
      <alignment vertical="center"/>
    </xf>
    <xf numFmtId="0" fontId="0" fillId="3" borderId="1" xfId="0" applyFill="1" applyBorder="1" applyAlignment="1">
      <alignment horizontal="center" vertical="center"/>
    </xf>
    <xf numFmtId="0" fontId="7" fillId="4" borderId="0" xfId="0" applyFont="1" applyFill="1">
      <alignment vertical="center"/>
    </xf>
    <xf numFmtId="0" fontId="6" fillId="4" borderId="0" xfId="0" applyFont="1" applyFill="1">
      <alignment vertical="center"/>
    </xf>
    <xf numFmtId="9" fontId="0" fillId="5" borderId="2" xfId="0" applyNumberFormat="1" applyFill="1" applyBorder="1" applyAlignment="1">
      <alignment horizontal="left"/>
    </xf>
    <xf numFmtId="0" fontId="0" fillId="5" borderId="1" xfId="0" applyFill="1" applyBorder="1" applyAlignment="1">
      <alignment horizontal="left"/>
    </xf>
    <xf numFmtId="9" fontId="0" fillId="5" borderId="1" xfId="0" applyNumberFormat="1" applyFill="1" applyBorder="1" applyAlignment="1">
      <alignment horizontal="left"/>
    </xf>
    <xf numFmtId="0" fontId="4" fillId="2" borderId="0" xfId="0" applyFont="1" applyFill="1">
      <alignment vertical="center"/>
    </xf>
    <xf numFmtId="0" fontId="4" fillId="2" borderId="0" xfId="0" applyFont="1" applyFill="1" applyAlignment="1">
      <alignment horizontal="left"/>
    </xf>
    <xf numFmtId="0" fontId="0" fillId="2" borderId="2" xfId="0" applyFill="1" applyBorder="1" applyAlignment="1">
      <alignment horizontal="left"/>
    </xf>
    <xf numFmtId="0" fontId="0" fillId="2" borderId="1" xfId="0" applyFill="1" applyBorder="1" applyAlignment="1">
      <alignment horizontal="left"/>
    </xf>
    <xf numFmtId="176" fontId="1" fillId="2" borderId="0" xfId="0" applyNumberFormat="1" applyFont="1" applyFill="1" applyAlignment="1">
      <alignment horizontal="left"/>
    </xf>
    <xf numFmtId="0" fontId="6" fillId="2" borderId="0" xfId="0" applyFont="1" applyFill="1" applyAlignment="1">
      <alignment horizontal="left"/>
    </xf>
    <xf numFmtId="0" fontId="1" fillId="2" borderId="2"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1" fillId="2" borderId="0" xfId="0" applyFont="1" applyFill="1">
      <alignment vertical="center"/>
    </xf>
    <xf numFmtId="0" fontId="1" fillId="2" borderId="0" xfId="0" applyNumberFormat="1" applyFont="1" applyFill="1" applyAlignment="1">
      <alignment horizontal="left"/>
    </xf>
    <xf numFmtId="9" fontId="1" fillId="2" borderId="0" xfId="0" applyNumberFormat="1" applyFont="1" applyFill="1" applyAlignment="1">
      <alignment horizontal="left"/>
    </xf>
    <xf numFmtId="0" fontId="4" fillId="6" borderId="0" xfId="0" applyFont="1" applyFill="1">
      <alignment vertical="center"/>
    </xf>
    <xf numFmtId="0" fontId="0" fillId="0" borderId="0" xfId="0" applyBorder="1">
      <alignment vertical="center"/>
    </xf>
    <xf numFmtId="49" fontId="4" fillId="7" borderId="1" xfId="0" applyNumberFormat="1" applyFont="1" applyFill="1" applyBorder="1" applyAlignment="1">
      <alignment horizontal="center"/>
    </xf>
    <xf numFmtId="0" fontId="4" fillId="0" borderId="0" xfId="0" applyFont="1" applyFill="1" applyBorder="1" applyAlignment="1">
      <alignment horizontal="center" vertical="center"/>
    </xf>
    <xf numFmtId="0" fontId="10" fillId="0" borderId="0" xfId="0" applyFont="1" applyFill="1" applyBorder="1" applyAlignment="1">
      <alignment horizontal="left" vertical="center"/>
    </xf>
    <xf numFmtId="0" fontId="0" fillId="0" borderId="0" xfId="0" applyAlignment="1">
      <alignment horizontal="center" vertical="center"/>
    </xf>
    <xf numFmtId="49" fontId="4" fillId="0" borderId="0" xfId="0" applyNumberFormat="1" applyFont="1" applyFill="1" applyBorder="1" applyAlignment="1">
      <alignment horizontal="center" vertical="center"/>
    </xf>
    <xf numFmtId="0" fontId="4" fillId="0" borderId="0" xfId="0" applyFont="1" applyAlignment="1">
      <alignment horizontal="center" vertical="center"/>
    </xf>
    <xf numFmtId="0" fontId="8" fillId="0" borderId="0" xfId="0" applyFont="1">
      <alignment vertical="center"/>
    </xf>
    <xf numFmtId="0" fontId="0" fillId="8" borderId="0" xfId="0" applyFill="1">
      <alignment vertical="center"/>
    </xf>
    <xf numFmtId="49" fontId="0" fillId="10" borderId="1" xfId="0" applyNumberFormat="1" applyFill="1" applyBorder="1" applyAlignment="1">
      <alignment horizontal="center"/>
    </xf>
    <xf numFmtId="49" fontId="0" fillId="11" borderId="1" xfId="0" applyNumberFormat="1" applyFill="1" applyBorder="1" applyAlignment="1">
      <alignment horizontal="center"/>
    </xf>
    <xf numFmtId="49" fontId="0" fillId="12" borderId="1" xfId="0" applyNumberFormat="1" applyFill="1" applyBorder="1" applyAlignment="1">
      <alignment horizontal="center"/>
    </xf>
    <xf numFmtId="49" fontId="0" fillId="13" borderId="1" xfId="0" applyNumberFormat="1" applyFill="1" applyBorder="1" applyAlignment="1">
      <alignment horizontal="center"/>
    </xf>
    <xf numFmtId="49" fontId="0" fillId="14" borderId="1" xfId="0" applyNumberFormat="1" applyFill="1" applyBorder="1" applyAlignment="1">
      <alignment horizontal="center"/>
    </xf>
    <xf numFmtId="9" fontId="0" fillId="0" borderId="0" xfId="0" applyNumberFormat="1" applyFill="1">
      <alignment vertical="center"/>
    </xf>
    <xf numFmtId="0" fontId="0" fillId="0" borderId="0" xfId="0" applyFill="1">
      <alignment vertical="center"/>
    </xf>
    <xf numFmtId="177" fontId="0" fillId="0" borderId="0" xfId="0" applyNumberFormat="1" applyFill="1">
      <alignment vertical="center"/>
    </xf>
    <xf numFmtId="177" fontId="0" fillId="0" borderId="0" xfId="0" applyNumberFormat="1">
      <alignment vertical="center"/>
    </xf>
    <xf numFmtId="0" fontId="10" fillId="0" borderId="0" xfId="0" applyFont="1">
      <alignment vertical="center"/>
    </xf>
    <xf numFmtId="0" fontId="0" fillId="12"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4" fillId="0" borderId="0" xfId="0" applyFont="1">
      <alignment vertical="center"/>
    </xf>
    <xf numFmtId="0" fontId="0" fillId="0" borderId="0" xfId="0" applyBorder="1" applyAlignment="1">
      <alignment horizontal="center" vertical="center"/>
    </xf>
    <xf numFmtId="0" fontId="0" fillId="0" borderId="0" xfId="0" applyFill="1" applyBorder="1">
      <alignment vertical="center"/>
    </xf>
    <xf numFmtId="0" fontId="4" fillId="0" borderId="0" xfId="0" applyFont="1" applyBorder="1">
      <alignment vertical="center"/>
    </xf>
    <xf numFmtId="0" fontId="0" fillId="0" borderId="0" xfId="0" applyBorder="1" applyAlignment="1">
      <alignment vertical="center" wrapText="1"/>
    </xf>
    <xf numFmtId="0" fontId="0" fillId="15" borderId="0" xfId="0" applyFill="1">
      <alignment vertical="center"/>
    </xf>
    <xf numFmtId="0" fontId="4" fillId="15" borderId="0" xfId="0" applyFont="1" applyFill="1">
      <alignment vertical="center"/>
    </xf>
    <xf numFmtId="0" fontId="0" fillId="14" borderId="0" xfId="0" applyFill="1">
      <alignment vertical="center"/>
    </xf>
    <xf numFmtId="0" fontId="0" fillId="16" borderId="0" xfId="0" applyFill="1">
      <alignment vertical="center"/>
    </xf>
    <xf numFmtId="0" fontId="0" fillId="17" borderId="0" xfId="0" applyFill="1">
      <alignment vertical="center"/>
    </xf>
    <xf numFmtId="0" fontId="0" fillId="12" borderId="0" xfId="0" applyFill="1">
      <alignment vertical="center"/>
    </xf>
    <xf numFmtId="0" fontId="0" fillId="11" borderId="0" xfId="0" applyFill="1">
      <alignment vertical="center"/>
    </xf>
    <xf numFmtId="10" fontId="0" fillId="0" borderId="0" xfId="0" applyNumberFormat="1">
      <alignment vertical="center"/>
    </xf>
    <xf numFmtId="0" fontId="15" fillId="0" borderId="0" xfId="0" applyFont="1" applyBorder="1" applyAlignment="1">
      <alignment horizontal="left" vertical="center"/>
    </xf>
    <xf numFmtId="0" fontId="15" fillId="0" borderId="0" xfId="0" applyFont="1" applyBorder="1" applyAlignment="1">
      <alignment horizontal="center" vertical="center"/>
    </xf>
    <xf numFmtId="0" fontId="0" fillId="0" borderId="0" xfId="0" applyFill="1" applyBorder="1" applyAlignment="1">
      <alignment vertical="center" wrapText="1"/>
    </xf>
    <xf numFmtId="49" fontId="16" fillId="0" borderId="1" xfId="0" applyNumberFormat="1" applyFont="1" applyBorder="1" applyAlignment="1">
      <alignment wrapText="1"/>
    </xf>
    <xf numFmtId="49" fontId="16" fillId="0" borderId="1" xfId="0" applyNumberFormat="1" applyFont="1" applyBorder="1" applyAlignment="1"/>
    <xf numFmtId="49" fontId="16" fillId="0" borderId="3" xfId="0" applyNumberFormat="1" applyFont="1" applyFill="1" applyBorder="1" applyAlignment="1"/>
    <xf numFmtId="0" fontId="4" fillId="0" borderId="0" xfId="0" applyNumberFormat="1" applyFont="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left" vertical="center"/>
    </xf>
    <xf numFmtId="0" fontId="0" fillId="0" borderId="1" xfId="0" applyBorder="1" applyAlignment="1">
      <alignment vertical="center" wrapText="1"/>
    </xf>
    <xf numFmtId="49" fontId="15" fillId="0" borderId="1" xfId="0" applyNumberFormat="1" applyFont="1" applyFill="1" applyBorder="1" applyAlignment="1">
      <alignment horizontal="center" vertical="center"/>
    </xf>
    <xf numFmtId="49" fontId="19" fillId="0" borderId="1" xfId="0" applyNumberFormat="1" applyFont="1" applyFill="1" applyBorder="1" applyAlignment="1">
      <alignment horizontal="center" vertical="center"/>
    </xf>
    <xf numFmtId="0" fontId="19" fillId="0" borderId="1" xfId="0" applyNumberFormat="1" applyFont="1" applyFill="1" applyBorder="1" applyAlignment="1">
      <alignment horizontal="center" vertical="center"/>
    </xf>
    <xf numFmtId="0" fontId="1" fillId="0" borderId="1" xfId="1" applyNumberFormat="1" applyBorder="1" applyAlignment="1">
      <alignment horizontal="center"/>
    </xf>
    <xf numFmtId="0" fontId="20" fillId="18" borderId="0" xfId="0" applyFont="1" applyFill="1" applyBorder="1" applyAlignment="1">
      <alignment horizontal="center" vertical="center"/>
    </xf>
    <xf numFmtId="0" fontId="20" fillId="18" borderId="0" xfId="0" applyFont="1" applyFill="1" applyBorder="1" applyAlignment="1">
      <alignment horizontal="left" vertical="center"/>
    </xf>
    <xf numFmtId="0" fontId="15" fillId="0" borderId="0" xfId="1" applyFont="1" applyBorder="1" applyAlignment="1">
      <alignment horizontal="center" vertical="center"/>
    </xf>
    <xf numFmtId="0" fontId="15" fillId="0" borderId="0" xfId="1" applyFont="1" applyBorder="1" applyAlignment="1">
      <alignment horizontal="left" vertical="center"/>
    </xf>
    <xf numFmtId="0" fontId="15" fillId="19" borderId="0" xfId="1" applyFont="1" applyFill="1" applyBorder="1" applyAlignment="1">
      <alignment horizontal="center" vertical="center"/>
    </xf>
    <xf numFmtId="0" fontId="15" fillId="19" borderId="0" xfId="1" applyFont="1" applyFill="1" applyBorder="1" applyAlignment="1">
      <alignment horizontal="left" vertical="center"/>
    </xf>
    <xf numFmtId="0" fontId="15" fillId="0" borderId="0" xfId="1" applyFont="1" applyFill="1" applyBorder="1" applyAlignment="1">
      <alignment horizontal="center" vertical="center"/>
    </xf>
    <xf numFmtId="0" fontId="15" fillId="0" borderId="0" xfId="1" applyFont="1" applyFill="1" applyBorder="1" applyAlignment="1">
      <alignment horizontal="left" vertical="center"/>
    </xf>
    <xf numFmtId="49" fontId="0" fillId="0" borderId="1" xfId="0" applyNumberFormat="1" applyBorder="1">
      <alignment vertical="center"/>
    </xf>
    <xf numFmtId="49" fontId="0" fillId="12" borderId="1" xfId="0" applyNumberFormat="1" applyFill="1" applyBorder="1" applyAlignment="1">
      <alignment horizontal="left"/>
    </xf>
    <xf numFmtId="49" fontId="0" fillId="13" borderId="1" xfId="0" applyNumberFormat="1" applyFill="1" applyBorder="1" applyAlignment="1">
      <alignment horizontal="left"/>
    </xf>
    <xf numFmtId="0" fontId="15" fillId="20" borderId="0" xfId="1" applyFont="1" applyFill="1" applyBorder="1" applyAlignment="1">
      <alignment horizontal="center" vertical="center"/>
    </xf>
    <xf numFmtId="0" fontId="15" fillId="20" borderId="0" xfId="1" applyFont="1" applyFill="1" applyBorder="1" applyAlignment="1">
      <alignment horizontal="left" vertical="center"/>
    </xf>
    <xf numFmtId="49" fontId="0" fillId="11" borderId="1" xfId="0" applyNumberFormat="1" applyFill="1" applyBorder="1" applyAlignment="1">
      <alignment horizontal="left"/>
    </xf>
    <xf numFmtId="49" fontId="0" fillId="10" borderId="1" xfId="0" applyNumberFormat="1" applyFill="1" applyBorder="1" applyAlignment="1">
      <alignment horizontal="left"/>
    </xf>
    <xf numFmtId="49" fontId="0" fillId="14" borderId="1" xfId="0" applyNumberFormat="1" applyFill="1" applyBorder="1" applyAlignment="1">
      <alignment horizontal="left"/>
    </xf>
    <xf numFmtId="49" fontId="15" fillId="19" borderId="0" xfId="1" applyNumberFormat="1" applyFont="1" applyFill="1" applyBorder="1" applyAlignment="1">
      <alignment horizontal="center" vertical="center"/>
    </xf>
    <xf numFmtId="49" fontId="15" fillId="19" borderId="0" xfId="1" applyNumberFormat="1" applyFont="1" applyFill="1" applyBorder="1" applyAlignment="1">
      <alignment horizontal="left" vertical="center"/>
    </xf>
    <xf numFmtId="49" fontId="15" fillId="19" borderId="0" xfId="2" applyNumberFormat="1" applyFont="1" applyFill="1" applyBorder="1" applyAlignment="1">
      <alignment horizontal="center" vertical="center"/>
    </xf>
    <xf numFmtId="49" fontId="15" fillId="19" borderId="0" xfId="2" applyNumberFormat="1" applyFont="1" applyFill="1" applyBorder="1" applyAlignment="1">
      <alignment horizontal="left" vertical="center"/>
    </xf>
    <xf numFmtId="0" fontId="15" fillId="20" borderId="0" xfId="0" applyFont="1" applyFill="1" applyBorder="1" applyAlignment="1">
      <alignment horizontal="center" vertical="center"/>
    </xf>
    <xf numFmtId="0" fontId="15" fillId="20" borderId="0" xfId="0" applyFont="1" applyFill="1" applyBorder="1" applyAlignment="1">
      <alignment horizontal="left" vertical="center"/>
    </xf>
    <xf numFmtId="0" fontId="15" fillId="0" borderId="0" xfId="0" applyFont="1" applyFill="1" applyBorder="1" applyAlignment="1">
      <alignment horizontal="center" vertical="center"/>
    </xf>
    <xf numFmtId="0" fontId="15" fillId="9" borderId="0" xfId="0" applyFont="1" applyFill="1" applyBorder="1" applyAlignment="1">
      <alignment horizontal="center" vertical="center"/>
    </xf>
    <xf numFmtId="0" fontId="15" fillId="13" borderId="0" xfId="0" applyFont="1" applyFill="1" applyBorder="1" applyAlignment="1">
      <alignment horizontal="center" vertical="center"/>
    </xf>
    <xf numFmtId="0" fontId="15" fillId="13" borderId="0" xfId="0" applyFont="1" applyFill="1" applyBorder="1" applyAlignment="1">
      <alignment horizontal="left" vertical="center"/>
    </xf>
    <xf numFmtId="0" fontId="21" fillId="18" borderId="0" xfId="0" applyFont="1" applyFill="1" applyBorder="1" applyAlignment="1">
      <alignment horizontal="center" vertical="center"/>
    </xf>
    <xf numFmtId="0" fontId="21" fillId="18" borderId="0" xfId="0" applyFont="1" applyFill="1" applyBorder="1" applyAlignment="1">
      <alignment horizontal="left" vertical="center"/>
    </xf>
    <xf numFmtId="0" fontId="0" fillId="0" borderId="0" xfId="0" applyNumberFormat="1" applyBorder="1" applyAlignment="1">
      <alignment horizontal="center"/>
    </xf>
    <xf numFmtId="49" fontId="0" fillId="0" borderId="0" xfId="0" applyNumberFormat="1">
      <alignment vertical="center"/>
    </xf>
    <xf numFmtId="0" fontId="4" fillId="0" borderId="0" xfId="0" applyFont="1" applyAlignment="1">
      <alignment horizontal="left" vertical="center"/>
    </xf>
    <xf numFmtId="49" fontId="0" fillId="0" borderId="0" xfId="0" applyNumberFormat="1" applyFill="1" applyBorder="1" applyAlignment="1">
      <alignment horizontal="center" vertical="center"/>
    </xf>
    <xf numFmtId="0" fontId="0" fillId="0" borderId="0" xfId="0" applyNumberFormat="1" applyFill="1" applyBorder="1" applyAlignment="1">
      <alignment horizontal="center" vertical="center"/>
    </xf>
    <xf numFmtId="0" fontId="4" fillId="13" borderId="0" xfId="0" applyFont="1" applyFill="1" applyBorder="1" applyAlignment="1">
      <alignment horizontal="center" vertical="center"/>
    </xf>
    <xf numFmtId="0" fontId="0" fillId="13" borderId="0" xfId="0" applyFill="1" applyAlignment="1">
      <alignment horizontal="center" vertical="center"/>
    </xf>
    <xf numFmtId="0" fontId="22" fillId="0" borderId="0" xfId="0" applyFont="1">
      <alignment vertical="center"/>
    </xf>
    <xf numFmtId="49" fontId="0" fillId="0" borderId="0" xfId="0" applyNumberFormat="1" applyFill="1" applyBorder="1" applyAlignment="1">
      <alignment horizontal="center"/>
    </xf>
    <xf numFmtId="0" fontId="0" fillId="0" borderId="0" xfId="0" applyFill="1" applyAlignment="1">
      <alignment horizontal="center" vertical="center"/>
    </xf>
    <xf numFmtId="49" fontId="0" fillId="21" borderId="1" xfId="0" applyNumberFormat="1" applyFill="1" applyBorder="1" applyAlignment="1">
      <alignment horizontal="center"/>
    </xf>
    <xf numFmtId="0" fontId="0" fillId="0" borderId="0" xfId="0" applyFill="1" applyAlignment="1">
      <alignment vertical="center"/>
    </xf>
    <xf numFmtId="49" fontId="0" fillId="7" borderId="1" xfId="0" applyNumberFormat="1" applyFill="1" applyBorder="1" applyAlignment="1">
      <alignment horizontal="center"/>
    </xf>
  </cellXfs>
  <cellStyles count="3">
    <cellStyle name="一般" xfId="0" builtinId="0"/>
    <cellStyle name="一般_item" xfId="1"/>
    <cellStyle name="一般_Sheet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DTWebGL/&#36039;&#26009;&#34920;&#26684;/&#20219;&#21209;%20-%20&#35079;&#3506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est"/>
      <sheetName val="#ALIAS"/>
      <sheetName val="#DEFINE"/>
      <sheetName val="#PARAM"/>
      <sheetName val="#OPTION"/>
      <sheetName val="#OUTPUT"/>
      <sheetName val="#使用說明"/>
    </sheetNames>
    <sheetDataSet>
      <sheetData sheetId="0"/>
      <sheetData sheetId="1"/>
      <sheetData sheetId="2"/>
      <sheetData sheetId="3"/>
      <sheetData sheetId="4">
        <row r="2">
          <cell r="G2" t="str">
            <v>關卡進度評價</v>
          </cell>
        </row>
        <row r="3">
          <cell r="G3" t="str">
            <v>關卡通關評價</v>
          </cell>
        </row>
        <row r="4">
          <cell r="G4" t="str">
            <v>關卡通關次數</v>
          </cell>
        </row>
        <row r="5">
          <cell r="G5" t="str">
            <v>物品蒐集</v>
          </cell>
        </row>
        <row r="6">
          <cell r="G6" t="str">
            <v>英雄好感</v>
          </cell>
        </row>
        <row r="7">
          <cell r="G7" t="str">
            <v>英雄群組好感</v>
          </cell>
        </row>
        <row r="8">
          <cell r="G8" t="str">
            <v>科技研發</v>
          </cell>
        </row>
        <row r="9">
          <cell r="G9" t="str">
            <v>消耗遊戲幣</v>
          </cell>
        </row>
        <row r="10">
          <cell r="G10" t="str">
            <v>消耗羈絆值</v>
          </cell>
        </row>
        <row r="11">
          <cell r="G11" t="str">
            <v>消耗商城幣</v>
          </cell>
        </row>
        <row r="12">
          <cell r="G12" t="str">
            <v>招募英雄次數</v>
          </cell>
        </row>
        <row r="13">
          <cell r="G13" t="str">
            <v>好友數量</v>
          </cell>
        </row>
        <row r="14">
          <cell r="G14" t="str">
            <v>冒險次數</v>
          </cell>
        </row>
        <row r="15">
          <cell r="G15" t="str">
            <v>消耗魂舍利</v>
          </cell>
        </row>
        <row r="16">
          <cell r="G16" t="str">
            <v>消耗煉靈值</v>
          </cell>
        </row>
        <row r="17">
          <cell r="G17" t="str">
            <v>玩家等級</v>
          </cell>
        </row>
        <row r="18">
          <cell r="G18" t="str">
            <v>商城仙人寶箱</v>
          </cell>
        </row>
        <row r="19">
          <cell r="G19" t="str">
            <v>商城物品寶箱</v>
          </cell>
        </row>
        <row r="20">
          <cell r="G20" t="str">
            <v>公會等級</v>
          </cell>
        </row>
        <row r="21">
          <cell r="G21" t="str">
            <v>PVP次數</v>
          </cell>
        </row>
        <row r="22">
          <cell r="G22" t="str">
            <v>PVP勝利次數</v>
          </cell>
        </row>
        <row r="23">
          <cell r="G23" t="str">
            <v>金幣招募英雄次數</v>
          </cell>
        </row>
        <row r="24">
          <cell r="G24" t="str">
            <v>勢力戰進度</v>
          </cell>
        </row>
        <row r="25">
          <cell r="G25" t="str">
            <v>微端登入次數</v>
          </cell>
        </row>
        <row r="26">
          <cell r="G26" t="str">
            <v>收集晶石</v>
          </cell>
        </row>
        <row r="27">
          <cell r="G27" t="str">
            <v>收集榮譽</v>
          </cell>
        </row>
        <row r="28">
          <cell r="G28" t="str">
            <v>裝裝備</v>
          </cell>
        </row>
        <row r="29">
          <cell r="G29" t="str">
            <v>強化裝備</v>
          </cell>
        </row>
        <row r="30">
          <cell r="G30" t="str">
            <v>消耗成就點數</v>
          </cell>
        </row>
        <row r="31">
          <cell r="G31" t="str">
            <v>領取在線獎勵</v>
          </cell>
        </row>
      </sheetData>
      <sheetData sheetId="5"/>
      <sheetData sheetId="6"/>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307"/>
  <sheetViews>
    <sheetView tabSelected="1" topLeftCell="C1" workbookViewId="0">
      <selection activeCell="N14" sqref="N14"/>
    </sheetView>
  </sheetViews>
  <sheetFormatPr defaultRowHeight="16.5"/>
  <cols>
    <col min="12" max="12" width="11.25" customWidth="1"/>
    <col min="13" max="13" width="11.875" customWidth="1"/>
    <col min="14" max="14" width="12.25" customWidth="1"/>
    <col min="15" max="15" width="12.5" customWidth="1"/>
    <col min="16" max="17" width="11.875" customWidth="1"/>
    <col min="18" max="18" width="12.625" customWidth="1"/>
    <col min="19" max="19" width="12.375" customWidth="1"/>
  </cols>
  <sheetData>
    <row r="1" spans="3:20">
      <c r="C1" s="28" t="s">
        <v>76</v>
      </c>
    </row>
    <row r="2" spans="3:20">
      <c r="C2" s="29" t="s">
        <v>75</v>
      </c>
    </row>
    <row r="3" spans="3:20">
      <c r="C3" s="25" t="s">
        <v>1119</v>
      </c>
    </row>
    <row r="4" spans="3:20">
      <c r="C4" s="29" t="s">
        <v>1117</v>
      </c>
    </row>
    <row r="5" spans="3:20">
      <c r="C5" s="25" t="s">
        <v>1120</v>
      </c>
    </row>
    <row r="6" spans="3:20">
      <c r="C6" s="25" t="s">
        <v>1118</v>
      </c>
    </row>
    <row r="9" spans="3:20">
      <c r="N9" s="3" t="s">
        <v>0</v>
      </c>
      <c r="O9" s="3" t="s">
        <v>7</v>
      </c>
      <c r="P9" s="3" t="s">
        <v>8</v>
      </c>
      <c r="Q9" s="3" t="s">
        <v>9</v>
      </c>
      <c r="R9" s="3" t="s">
        <v>10</v>
      </c>
      <c r="S9" s="3" t="s">
        <v>11</v>
      </c>
      <c r="T9" s="3" t="s">
        <v>1124</v>
      </c>
    </row>
    <row r="10" spans="3:20">
      <c r="M10" t="s">
        <v>1121</v>
      </c>
      <c r="N10" t="s">
        <v>2</v>
      </c>
      <c r="O10">
        <v>10030</v>
      </c>
      <c r="P10">
        <v>495.6</v>
      </c>
      <c r="Q10">
        <v>413</v>
      </c>
      <c r="R10">
        <v>900</v>
      </c>
      <c r="S10">
        <v>340</v>
      </c>
      <c r="T10">
        <v>0.1</v>
      </c>
    </row>
    <row r="11" spans="3:20">
      <c r="N11" t="s">
        <v>5</v>
      </c>
      <c r="O11">
        <v>15045</v>
      </c>
      <c r="P11">
        <v>594.72</v>
      </c>
      <c r="Q11">
        <v>495.59999999999997</v>
      </c>
      <c r="R11">
        <v>900</v>
      </c>
      <c r="S11">
        <v>340</v>
      </c>
      <c r="T11">
        <v>0.1</v>
      </c>
    </row>
    <row r="12" spans="3:20">
      <c r="N12" t="s">
        <v>3</v>
      </c>
      <c r="O12">
        <v>20060</v>
      </c>
      <c r="P12">
        <v>693.84</v>
      </c>
      <c r="Q12">
        <v>578.19999999999993</v>
      </c>
      <c r="R12">
        <v>900</v>
      </c>
      <c r="S12">
        <v>340</v>
      </c>
      <c r="T12">
        <v>0.1</v>
      </c>
    </row>
    <row r="13" spans="3:20">
      <c r="D13" s="24" t="s">
        <v>1125</v>
      </c>
      <c r="E13" s="27" t="s">
        <v>1126</v>
      </c>
      <c r="F13" s="28" t="s">
        <v>1127</v>
      </c>
      <c r="G13" s="28" t="s">
        <v>1128</v>
      </c>
      <c r="H13" s="28" t="s">
        <v>1129</v>
      </c>
      <c r="I13" s="28" t="s">
        <v>1130</v>
      </c>
      <c r="J13" s="28" t="s">
        <v>1131</v>
      </c>
      <c r="K13" s="28" t="s">
        <v>1132</v>
      </c>
      <c r="N13" t="s">
        <v>1</v>
      </c>
      <c r="O13">
        <v>25075</v>
      </c>
      <c r="P13">
        <v>792.96</v>
      </c>
      <c r="Q13">
        <v>660.80000000000007</v>
      </c>
      <c r="R13">
        <v>900</v>
      </c>
      <c r="S13">
        <v>340</v>
      </c>
      <c r="T13">
        <v>0.1</v>
      </c>
    </row>
    <row r="14" spans="3:20">
      <c r="C14" s="24" t="s">
        <v>1133</v>
      </c>
      <c r="D14" s="26">
        <v>3000</v>
      </c>
      <c r="E14" s="26">
        <v>240</v>
      </c>
      <c r="F14" s="26">
        <v>240</v>
      </c>
      <c r="G14" s="26">
        <v>0</v>
      </c>
      <c r="H14" s="26">
        <v>40</v>
      </c>
      <c r="I14" s="26">
        <v>0.05</v>
      </c>
      <c r="J14" s="26">
        <v>25</v>
      </c>
      <c r="K14" s="26">
        <v>1</v>
      </c>
      <c r="N14" t="s">
        <v>4</v>
      </c>
      <c r="O14">
        <v>30090</v>
      </c>
      <c r="P14">
        <v>991.2</v>
      </c>
      <c r="Q14">
        <v>826</v>
      </c>
      <c r="R14">
        <v>900</v>
      </c>
      <c r="S14">
        <v>340</v>
      </c>
      <c r="T14">
        <v>0.1</v>
      </c>
    </row>
    <row r="15" spans="3:20">
      <c r="C15" s="24" t="s">
        <v>1134</v>
      </c>
      <c r="D15" s="26">
        <f>D$14*$K15</f>
        <v>3750</v>
      </c>
      <c r="E15" s="26">
        <f t="shared" ref="E15:I17" si="0">E$14*$K15</f>
        <v>300</v>
      </c>
      <c r="F15" s="26">
        <f t="shared" si="0"/>
        <v>300</v>
      </c>
      <c r="G15" s="26">
        <f t="shared" si="0"/>
        <v>0</v>
      </c>
      <c r="H15" s="26">
        <f t="shared" si="0"/>
        <v>50</v>
      </c>
      <c r="I15" s="26">
        <f t="shared" si="0"/>
        <v>6.25E-2</v>
      </c>
      <c r="J15" s="26">
        <v>25</v>
      </c>
      <c r="K15" s="26">
        <v>1.25</v>
      </c>
    </row>
    <row r="16" spans="3:20">
      <c r="C16" s="24" t="s">
        <v>1138</v>
      </c>
      <c r="D16" s="108">
        <f>D$14*$K16</f>
        <v>3900</v>
      </c>
      <c r="E16" s="108">
        <f>E$14*$K16</f>
        <v>312</v>
      </c>
      <c r="F16" s="108">
        <f>F$14*$K16</f>
        <v>312</v>
      </c>
      <c r="G16" s="108">
        <f>G$14*$K16</f>
        <v>0</v>
      </c>
      <c r="H16" s="108">
        <f>H$14*$K16</f>
        <v>52</v>
      </c>
      <c r="I16" s="108">
        <f>I$14*$K16</f>
        <v>6.5000000000000002E-2</v>
      </c>
      <c r="J16" s="108">
        <v>25</v>
      </c>
      <c r="K16" s="108">
        <v>1.3</v>
      </c>
      <c r="M16" t="s">
        <v>1122</v>
      </c>
      <c r="N16" t="s">
        <v>2</v>
      </c>
      <c r="O16">
        <v>7965</v>
      </c>
      <c r="P16">
        <v>649</v>
      </c>
      <c r="Q16">
        <v>289.10000000000002</v>
      </c>
      <c r="R16">
        <v>1100</v>
      </c>
      <c r="S16">
        <v>310</v>
      </c>
      <c r="T16">
        <v>0.1</v>
      </c>
    </row>
    <row r="17" spans="1:24">
      <c r="C17" s="24" t="s">
        <v>1136</v>
      </c>
      <c r="D17" s="26">
        <f>D$14*$K17</f>
        <v>4050.0000000000005</v>
      </c>
      <c r="E17" s="26">
        <f t="shared" si="0"/>
        <v>324</v>
      </c>
      <c r="F17" s="26">
        <f t="shared" si="0"/>
        <v>324</v>
      </c>
      <c r="G17" s="26">
        <f t="shared" si="0"/>
        <v>0</v>
      </c>
      <c r="H17" s="26">
        <f t="shared" si="0"/>
        <v>54</v>
      </c>
      <c r="I17" s="26">
        <f t="shared" si="0"/>
        <v>6.7500000000000004E-2</v>
      </c>
      <c r="J17" s="26">
        <v>25</v>
      </c>
      <c r="K17" s="26">
        <v>1.35</v>
      </c>
      <c r="N17" t="s">
        <v>5</v>
      </c>
      <c r="O17">
        <v>11947.5</v>
      </c>
      <c r="P17">
        <v>778.8</v>
      </c>
      <c r="Q17">
        <v>346.92</v>
      </c>
      <c r="R17">
        <v>1100</v>
      </c>
      <c r="S17">
        <v>310</v>
      </c>
      <c r="T17">
        <v>0.1</v>
      </c>
    </row>
    <row r="18" spans="1:24">
      <c r="C18" s="24" t="s">
        <v>1135</v>
      </c>
      <c r="D18" s="26">
        <f>D$14*$K18</f>
        <v>4050.0000000000005</v>
      </c>
      <c r="E18" s="26">
        <f t="shared" ref="E18:I19" si="1">E$14*$K18</f>
        <v>324</v>
      </c>
      <c r="F18" s="26">
        <f t="shared" si="1"/>
        <v>324</v>
      </c>
      <c r="G18" s="26">
        <f t="shared" si="1"/>
        <v>0</v>
      </c>
      <c r="H18" s="26">
        <f t="shared" si="1"/>
        <v>54</v>
      </c>
      <c r="I18" s="26">
        <f t="shared" si="1"/>
        <v>6.7500000000000004E-2</v>
      </c>
      <c r="J18" s="26">
        <v>25</v>
      </c>
      <c r="K18" s="26">
        <v>1.35</v>
      </c>
      <c r="N18" t="s">
        <v>3</v>
      </c>
      <c r="O18">
        <v>15930</v>
      </c>
      <c r="P18">
        <v>908.59999999999991</v>
      </c>
      <c r="Q18">
        <v>404.74</v>
      </c>
      <c r="R18">
        <v>1100</v>
      </c>
      <c r="S18">
        <v>310</v>
      </c>
      <c r="T18">
        <v>0.1</v>
      </c>
    </row>
    <row r="19" spans="1:24">
      <c r="C19" s="104" t="s">
        <v>1136</v>
      </c>
      <c r="D19" s="105">
        <f>D$14*$K19</f>
        <v>4200</v>
      </c>
      <c r="E19" s="105">
        <f t="shared" si="1"/>
        <v>336</v>
      </c>
      <c r="F19" s="105">
        <f t="shared" si="1"/>
        <v>336</v>
      </c>
      <c r="G19" s="105">
        <f t="shared" si="1"/>
        <v>0</v>
      </c>
      <c r="H19" s="105">
        <f t="shared" si="1"/>
        <v>56</v>
      </c>
      <c r="I19" s="105">
        <f t="shared" si="1"/>
        <v>6.9999999999999993E-2</v>
      </c>
      <c r="J19" s="105">
        <v>25</v>
      </c>
      <c r="K19" s="105">
        <v>1.4</v>
      </c>
      <c r="N19" t="s">
        <v>1</v>
      </c>
      <c r="O19">
        <v>19912.5</v>
      </c>
      <c r="P19">
        <v>1038.4000000000001</v>
      </c>
      <c r="Q19">
        <v>462.56000000000006</v>
      </c>
      <c r="R19">
        <v>1100</v>
      </c>
      <c r="S19">
        <v>310</v>
      </c>
      <c r="T19">
        <v>0.1</v>
      </c>
    </row>
    <row r="20" spans="1:24">
      <c r="D20" s="26"/>
      <c r="E20" s="26"/>
      <c r="F20" s="26"/>
      <c r="G20" s="26"/>
      <c r="H20" s="26"/>
      <c r="I20" s="26"/>
      <c r="J20" s="26"/>
      <c r="K20" s="26"/>
      <c r="N20" t="s">
        <v>4</v>
      </c>
      <c r="O20">
        <v>23895</v>
      </c>
      <c r="P20">
        <v>1298</v>
      </c>
      <c r="Q20">
        <v>578.20000000000005</v>
      </c>
      <c r="R20">
        <v>1100</v>
      </c>
      <c r="S20">
        <v>310</v>
      </c>
      <c r="T20">
        <v>0.1</v>
      </c>
    </row>
    <row r="21" spans="1:24">
      <c r="C21" s="24" t="s">
        <v>1137</v>
      </c>
      <c r="D21" s="26">
        <f>D$14*$K21</f>
        <v>4050.0000000000005</v>
      </c>
      <c r="E21" s="26">
        <f t="shared" ref="E21:I21" si="2">E$14*$K21</f>
        <v>324</v>
      </c>
      <c r="F21" s="26">
        <f t="shared" si="2"/>
        <v>324</v>
      </c>
      <c r="G21" s="26">
        <f t="shared" si="2"/>
        <v>0</v>
      </c>
      <c r="H21" s="26">
        <f t="shared" si="2"/>
        <v>54</v>
      </c>
      <c r="I21" s="26">
        <f t="shared" si="2"/>
        <v>6.7500000000000004E-2</v>
      </c>
      <c r="J21" s="26">
        <v>25</v>
      </c>
      <c r="K21" s="26">
        <v>1.35</v>
      </c>
    </row>
    <row r="22" spans="1:24">
      <c r="D22" s="26"/>
      <c r="E22" s="26"/>
      <c r="F22" s="26"/>
      <c r="G22" s="26"/>
      <c r="H22" s="26"/>
      <c r="I22" s="26"/>
      <c r="J22" s="26"/>
      <c r="K22" s="26"/>
    </row>
    <row r="23" spans="1:24">
      <c r="M23" t="s">
        <v>1123</v>
      </c>
      <c r="N23" t="s">
        <v>2</v>
      </c>
      <c r="O23">
        <v>5782</v>
      </c>
      <c r="P23">
        <v>637.20000000000005</v>
      </c>
      <c r="Q23">
        <v>206.5</v>
      </c>
      <c r="R23">
        <v>1150</v>
      </c>
      <c r="S23">
        <v>270</v>
      </c>
      <c r="T23">
        <v>0.1</v>
      </c>
    </row>
    <row r="24" spans="1:24">
      <c r="N24" t="s">
        <v>5</v>
      </c>
      <c r="O24">
        <v>8673</v>
      </c>
      <c r="P24">
        <v>764.64</v>
      </c>
      <c r="Q24">
        <v>247.79999999999998</v>
      </c>
      <c r="R24">
        <v>1150</v>
      </c>
      <c r="S24">
        <v>270</v>
      </c>
      <c r="T24">
        <v>0.1</v>
      </c>
    </row>
    <row r="25" spans="1:24">
      <c r="C25" s="24"/>
      <c r="D25" s="24"/>
      <c r="E25" s="27"/>
      <c r="F25" s="28"/>
      <c r="G25" s="28"/>
      <c r="H25" s="28"/>
      <c r="I25" s="28"/>
      <c r="J25" s="28"/>
      <c r="K25" s="28"/>
      <c r="N25" t="s">
        <v>3</v>
      </c>
      <c r="O25">
        <v>11564</v>
      </c>
      <c r="P25">
        <v>892.08</v>
      </c>
      <c r="Q25">
        <v>289.09999999999997</v>
      </c>
      <c r="R25">
        <v>1150</v>
      </c>
      <c r="S25">
        <v>270</v>
      </c>
      <c r="T25">
        <v>0.1</v>
      </c>
    </row>
    <row r="26" spans="1:24">
      <c r="C26" s="24" t="s">
        <v>1139</v>
      </c>
      <c r="D26" s="26">
        <f>D$14*$K26</f>
        <v>4350</v>
      </c>
      <c r="E26" s="26">
        <f t="shared" ref="E26:I26" si="3">E$14*$K26</f>
        <v>348</v>
      </c>
      <c r="F26" s="26">
        <f t="shared" si="3"/>
        <v>348</v>
      </c>
      <c r="G26" s="26">
        <f t="shared" si="3"/>
        <v>0</v>
      </c>
      <c r="H26" s="26">
        <f t="shared" si="3"/>
        <v>58</v>
      </c>
      <c r="I26" s="26">
        <f t="shared" si="3"/>
        <v>7.2499999999999995E-2</v>
      </c>
      <c r="J26" s="26">
        <v>25</v>
      </c>
      <c r="K26" s="26">
        <v>1.45</v>
      </c>
      <c r="N26" t="s">
        <v>1</v>
      </c>
      <c r="O26">
        <v>14455</v>
      </c>
      <c r="P26">
        <v>1019.5200000000001</v>
      </c>
      <c r="Q26">
        <v>330.40000000000003</v>
      </c>
      <c r="R26">
        <v>1150</v>
      </c>
      <c r="S26">
        <v>270</v>
      </c>
      <c r="T26">
        <v>0.1</v>
      </c>
    </row>
    <row r="27" spans="1:24">
      <c r="D27" s="26"/>
      <c r="E27" s="26"/>
      <c r="F27" s="26"/>
      <c r="G27" s="26"/>
      <c r="H27" s="26"/>
      <c r="I27" s="26"/>
      <c r="K27" s="26"/>
      <c r="N27" t="s">
        <v>4</v>
      </c>
      <c r="O27">
        <v>17346</v>
      </c>
      <c r="P27">
        <v>1274.4000000000001</v>
      </c>
      <c r="Q27">
        <v>413</v>
      </c>
      <c r="R27">
        <v>1150</v>
      </c>
      <c r="S27">
        <v>270</v>
      </c>
      <c r="T27">
        <v>0.1</v>
      </c>
    </row>
    <row r="30" spans="1:24">
      <c r="A30" s="40" t="s">
        <v>1140</v>
      </c>
      <c r="D30" s="40"/>
      <c r="K30" s="26"/>
    </row>
    <row r="31" spans="1:24">
      <c r="A31" s="44" t="s">
        <v>1141</v>
      </c>
      <c r="D31" s="106" t="s">
        <v>1142</v>
      </c>
      <c r="E31" s="106" t="s">
        <v>1143</v>
      </c>
      <c r="F31" s="106" t="s">
        <v>1144</v>
      </c>
      <c r="G31" s="106" t="s">
        <v>1145</v>
      </c>
      <c r="H31" s="106" t="s">
        <v>1146</v>
      </c>
      <c r="I31" s="106" t="s">
        <v>1147</v>
      </c>
      <c r="J31" s="106" t="s">
        <v>1148</v>
      </c>
      <c r="K31" s="106" t="s">
        <v>1149</v>
      </c>
      <c r="L31" s="106" t="s">
        <v>1150</v>
      </c>
      <c r="M31" s="106" t="s">
        <v>1151</v>
      </c>
      <c r="N31" s="23" t="s">
        <v>1133</v>
      </c>
      <c r="P31" s="101" t="s">
        <v>1125</v>
      </c>
      <c r="Q31" s="101" t="s">
        <v>1126</v>
      </c>
      <c r="R31" s="101" t="s">
        <v>1127</v>
      </c>
      <c r="S31" s="101" t="s">
        <v>1128</v>
      </c>
      <c r="T31" s="101" t="s">
        <v>1129</v>
      </c>
      <c r="U31" s="101" t="s">
        <v>1130</v>
      </c>
      <c r="V31" s="101" t="s">
        <v>1131</v>
      </c>
      <c r="W31" s="101" t="s">
        <v>1152</v>
      </c>
      <c r="X31" s="101" t="s">
        <v>1153</v>
      </c>
    </row>
    <row r="32" spans="1:24">
      <c r="A32" s="30">
        <v>0.2</v>
      </c>
      <c r="D32" s="37">
        <f>IF(P32*$A$32=0,"",ROUND(P32*$A$32,0))</f>
        <v>472</v>
      </c>
      <c r="E32" s="37">
        <f>IF(P32*$A$34/($V32-1)=0,"",ROUND(P32*$A$34/($V32-1),2))</f>
        <v>78.67</v>
      </c>
      <c r="F32" s="37">
        <f>IF(Q32*$A$32=0,"",ROUND(Q32*$A$32,0))</f>
        <v>10</v>
      </c>
      <c r="G32" s="37">
        <f>IF(Q32*$A$34/($V32-1)=0,"",ROUND(Q32*$A$34/($V32-1),2))</f>
        <v>1.67</v>
      </c>
      <c r="H32" s="37" t="str">
        <f>IF(R32*$A$32=0,"",ROUND(R32*$A$32,0))</f>
        <v/>
      </c>
      <c r="I32" s="37" t="str">
        <f>IF(R32*$A$34/($V32-1)=0,"",ROUND(R32*$A$34/($V32-1),2))</f>
        <v/>
      </c>
      <c r="J32" s="37" t="str">
        <f>IF(S32*$A$32=0,"",ROUND(S32*$A$32,0))</f>
        <v/>
      </c>
      <c r="K32" s="37" t="str">
        <f>IF(S32*$A$34/($V32-1)=0,"",ROUND(S32*$A$34/($V32-1),2))</f>
        <v/>
      </c>
      <c r="L32" s="37" t="str">
        <f>IF(T32=0,"",ROUND(T32,0))</f>
        <v/>
      </c>
      <c r="M32" s="37" t="str">
        <f>IF(U32=0,"",ROUND(U32,3))</f>
        <v/>
      </c>
      <c r="N32">
        <v>1</v>
      </c>
      <c r="O32" s="33" t="s">
        <v>1154</v>
      </c>
      <c r="P32">
        <v>2360</v>
      </c>
      <c r="Q32">
        <v>50</v>
      </c>
      <c r="V32">
        <v>25</v>
      </c>
      <c r="W32">
        <f>IF(P32/D$14+Q32*N32/E$14+R32/F$14+T32/H$14+U32*N32/I$14=0,"",ROUND(P32/D$14+Q32*N32/E$14+R32/F$14+T32/H$14+U32*N32/I$14,2))</f>
        <v>1</v>
      </c>
      <c r="X32" s="37" t="s">
        <v>1155</v>
      </c>
    </row>
    <row r="33" spans="1:28">
      <c r="A33" s="44" t="s">
        <v>1156</v>
      </c>
      <c r="D33" s="37" t="str">
        <f t="shared" ref="D33:D115" si="4">IF(P33*$A$32=0,"",ROUND(P33*$A$32,0))</f>
        <v/>
      </c>
      <c r="E33" s="37" t="str">
        <f t="shared" ref="E33:E115" si="5">IF(P33*$A$34/($V33-1)=0,"",ROUND(P33*$A$34/($V33-1),2))</f>
        <v/>
      </c>
      <c r="F33" s="37" t="str">
        <f t="shared" ref="F33:F115" si="6">IF(Q33*$A$32=0,"",ROUND(Q33*$A$32,0))</f>
        <v/>
      </c>
      <c r="G33" s="37" t="str">
        <f t="shared" ref="G33:G115" si="7">IF(Q33*$A$34/($V33-1)=0,"",ROUND(Q33*$A$34/($V33-1),2))</f>
        <v/>
      </c>
      <c r="H33" s="37" t="str">
        <f t="shared" ref="H33:H115" si="8">IF(R33*$A$32=0,"",ROUND(R33*$A$32,0))</f>
        <v/>
      </c>
      <c r="I33" s="37" t="str">
        <f t="shared" ref="I33:I115" si="9">IF(R33*$A$34/($V33-1)=0,"",ROUND(R33*$A$34/($V33-1),2))</f>
        <v/>
      </c>
      <c r="J33" s="37" t="str">
        <f t="shared" ref="J33:J115" si="10">IF(S33*$A$32=0,"",ROUND(S33*$A$32,0))</f>
        <v/>
      </c>
      <c r="K33" s="37" t="str">
        <f t="shared" ref="K33:K115" si="11">IF(S33*$A$34/($V33-1)=0,"",ROUND(S33*$A$34/($V33-1),2))</f>
        <v/>
      </c>
      <c r="L33" s="37" t="str">
        <f t="shared" ref="L33:L115" si="12">IF(T33=0,"",ROUND(T33,0))</f>
        <v/>
      </c>
      <c r="M33" s="37" t="str">
        <f t="shared" ref="M33:M115" si="13">IF(U33=0,"",ROUND(U33,3))</f>
        <v/>
      </c>
      <c r="N33">
        <v>1</v>
      </c>
      <c r="O33" s="34" t="s">
        <v>1157</v>
      </c>
      <c r="V33">
        <v>25</v>
      </c>
      <c r="W33" t="str">
        <f t="shared" ref="W33:W45" si="14">IF(P33/D$14+Q33*N33/E$14+R33/F$14+T33/H$14+U33*N33/I$14=0,"",ROUND(P33/D$14+Q33*N33/E$14+R33/F$14+T33/H$14+U33*N33/I$14,2))</f>
        <v/>
      </c>
      <c r="X33" s="37"/>
    </row>
    <row r="34" spans="1:28">
      <c r="A34">
        <v>0.8</v>
      </c>
      <c r="D34" s="37" t="str">
        <f t="shared" si="4"/>
        <v/>
      </c>
      <c r="E34" s="37" t="str">
        <f t="shared" si="5"/>
        <v/>
      </c>
      <c r="F34" s="37">
        <f t="shared" si="6"/>
        <v>38</v>
      </c>
      <c r="G34" s="37">
        <f t="shared" si="7"/>
        <v>6.33</v>
      </c>
      <c r="H34" s="37">
        <f t="shared" si="8"/>
        <v>10</v>
      </c>
      <c r="I34" s="37">
        <f t="shared" si="9"/>
        <v>1.67</v>
      </c>
      <c r="J34" s="37" t="str">
        <f t="shared" si="10"/>
        <v/>
      </c>
      <c r="K34" s="37" t="str">
        <f t="shared" si="11"/>
        <v/>
      </c>
      <c r="L34" s="37" t="str">
        <f t="shared" si="12"/>
        <v/>
      </c>
      <c r="M34" s="37" t="str">
        <f t="shared" si="13"/>
        <v/>
      </c>
      <c r="N34">
        <v>1</v>
      </c>
      <c r="O34" s="33" t="s">
        <v>1158</v>
      </c>
      <c r="Q34">
        <v>190</v>
      </c>
      <c r="R34">
        <v>50</v>
      </c>
      <c r="V34">
        <v>25</v>
      </c>
      <c r="W34">
        <f t="shared" si="14"/>
        <v>1</v>
      </c>
      <c r="X34" s="37" t="s">
        <v>1159</v>
      </c>
    </row>
    <row r="35" spans="1:28">
      <c r="D35" s="37" t="str">
        <f t="shared" si="4"/>
        <v/>
      </c>
      <c r="E35" s="37" t="str">
        <f t="shared" si="5"/>
        <v/>
      </c>
      <c r="F35" s="37" t="str">
        <f t="shared" si="6"/>
        <v/>
      </c>
      <c r="G35" s="37" t="str">
        <f t="shared" si="7"/>
        <v/>
      </c>
      <c r="H35" s="37" t="str">
        <f t="shared" si="8"/>
        <v/>
      </c>
      <c r="I35" s="37" t="str">
        <f t="shared" si="9"/>
        <v/>
      </c>
      <c r="J35" s="37" t="str">
        <f t="shared" si="10"/>
        <v/>
      </c>
      <c r="K35" s="37" t="str">
        <f t="shared" si="11"/>
        <v/>
      </c>
      <c r="L35" s="37" t="str">
        <f t="shared" si="12"/>
        <v/>
      </c>
      <c r="M35" s="37" t="str">
        <f t="shared" si="13"/>
        <v/>
      </c>
      <c r="N35">
        <v>1</v>
      </c>
      <c r="O35" s="34" t="s">
        <v>1160</v>
      </c>
      <c r="V35">
        <v>25</v>
      </c>
      <c r="W35" t="str">
        <f t="shared" si="14"/>
        <v/>
      </c>
      <c r="X35" s="37"/>
    </row>
    <row r="36" spans="1:28">
      <c r="D36" s="37" t="str">
        <f t="shared" si="4"/>
        <v/>
      </c>
      <c r="E36" s="37" t="str">
        <f t="shared" si="5"/>
        <v/>
      </c>
      <c r="F36" s="37" t="str">
        <f t="shared" si="6"/>
        <v/>
      </c>
      <c r="G36" s="37" t="str">
        <f t="shared" si="7"/>
        <v/>
      </c>
      <c r="H36" s="37" t="str">
        <f t="shared" si="8"/>
        <v/>
      </c>
      <c r="I36" s="37" t="str">
        <f t="shared" si="9"/>
        <v/>
      </c>
      <c r="J36" s="37" t="str">
        <f t="shared" si="10"/>
        <v/>
      </c>
      <c r="K36" s="37" t="str">
        <f t="shared" si="11"/>
        <v/>
      </c>
      <c r="L36" s="37" t="str">
        <f t="shared" si="12"/>
        <v/>
      </c>
      <c r="M36" s="37" t="str">
        <f t="shared" si="13"/>
        <v/>
      </c>
      <c r="N36">
        <v>1</v>
      </c>
      <c r="O36" s="34" t="s">
        <v>1161</v>
      </c>
      <c r="V36">
        <v>25</v>
      </c>
      <c r="W36" t="str">
        <f t="shared" si="14"/>
        <v/>
      </c>
      <c r="X36" s="37"/>
    </row>
    <row r="37" spans="1:28">
      <c r="D37" s="37" t="str">
        <f t="shared" si="4"/>
        <v/>
      </c>
      <c r="E37" s="37" t="str">
        <f t="shared" si="5"/>
        <v/>
      </c>
      <c r="F37" s="37">
        <f t="shared" si="6"/>
        <v>29</v>
      </c>
      <c r="G37" s="37">
        <f t="shared" si="7"/>
        <v>4.83</v>
      </c>
      <c r="H37" s="37" t="str">
        <f t="shared" si="8"/>
        <v/>
      </c>
      <c r="I37" s="37" t="str">
        <f t="shared" si="9"/>
        <v/>
      </c>
      <c r="J37" s="37" t="str">
        <f t="shared" si="10"/>
        <v/>
      </c>
      <c r="K37" s="37" t="str">
        <f t="shared" si="11"/>
        <v/>
      </c>
      <c r="L37" s="37" t="str">
        <f t="shared" si="12"/>
        <v/>
      </c>
      <c r="M37" s="37">
        <f t="shared" si="13"/>
        <v>0.02</v>
      </c>
      <c r="N37">
        <v>1</v>
      </c>
      <c r="O37" s="33" t="s">
        <v>1162</v>
      </c>
      <c r="Q37">
        <v>145</v>
      </c>
      <c r="U37">
        <v>0.02</v>
      </c>
      <c r="V37">
        <v>25</v>
      </c>
      <c r="W37">
        <f t="shared" si="14"/>
        <v>1</v>
      </c>
      <c r="X37" s="37" t="s">
        <v>1033</v>
      </c>
    </row>
    <row r="38" spans="1:28">
      <c r="D38" s="37" t="str">
        <f t="shared" si="4"/>
        <v/>
      </c>
      <c r="E38" s="37" t="str">
        <f t="shared" si="5"/>
        <v/>
      </c>
      <c r="F38" s="37">
        <f t="shared" si="6"/>
        <v>38</v>
      </c>
      <c r="G38" s="37">
        <f t="shared" si="7"/>
        <v>6.4</v>
      </c>
      <c r="H38" s="37" t="str">
        <f t="shared" si="8"/>
        <v/>
      </c>
      <c r="I38" s="37" t="str">
        <f t="shared" si="9"/>
        <v/>
      </c>
      <c r="J38" s="37" t="str">
        <f t="shared" si="10"/>
        <v/>
      </c>
      <c r="K38" s="37" t="str">
        <f t="shared" si="11"/>
        <v/>
      </c>
      <c r="L38" s="37" t="str">
        <f t="shared" si="12"/>
        <v/>
      </c>
      <c r="M38" s="37">
        <f t="shared" si="13"/>
        <v>0.01</v>
      </c>
      <c r="N38">
        <v>1</v>
      </c>
      <c r="O38" s="33" t="s">
        <v>1163</v>
      </c>
      <c r="Q38">
        <v>192</v>
      </c>
      <c r="U38">
        <v>0.01</v>
      </c>
      <c r="V38">
        <v>25</v>
      </c>
      <c r="W38">
        <f t="shared" si="14"/>
        <v>1</v>
      </c>
      <c r="X38" s="37" t="s">
        <v>1164</v>
      </c>
    </row>
    <row r="39" spans="1:28">
      <c r="D39" s="37">
        <f t="shared" si="4"/>
        <v>600</v>
      </c>
      <c r="E39" s="37">
        <f t="shared" si="5"/>
        <v>100</v>
      </c>
      <c r="F39" s="37" t="str">
        <f t="shared" si="6"/>
        <v/>
      </c>
      <c r="G39" s="37" t="str">
        <f t="shared" si="7"/>
        <v/>
      </c>
      <c r="H39" s="37" t="str">
        <f t="shared" si="8"/>
        <v/>
      </c>
      <c r="I39" s="37" t="str">
        <f t="shared" si="9"/>
        <v/>
      </c>
      <c r="J39" s="37" t="str">
        <f t="shared" si="10"/>
        <v/>
      </c>
      <c r="K39" s="37" t="str">
        <f t="shared" si="11"/>
        <v/>
      </c>
      <c r="L39" s="37" t="str">
        <f t="shared" si="12"/>
        <v/>
      </c>
      <c r="M39" s="37" t="str">
        <f t="shared" si="13"/>
        <v/>
      </c>
      <c r="N39">
        <v>1</v>
      </c>
      <c r="O39" s="32" t="s">
        <v>57</v>
      </c>
      <c r="P39">
        <v>3000</v>
      </c>
      <c r="V39">
        <v>25</v>
      </c>
      <c r="W39">
        <f t="shared" si="14"/>
        <v>1</v>
      </c>
      <c r="X39" s="37" t="s">
        <v>1165</v>
      </c>
    </row>
    <row r="40" spans="1:28">
      <c r="D40" s="37" t="str">
        <f t="shared" si="4"/>
        <v/>
      </c>
      <c r="E40" s="37" t="str">
        <f t="shared" si="5"/>
        <v/>
      </c>
      <c r="F40" s="37">
        <f t="shared" si="6"/>
        <v>12</v>
      </c>
      <c r="G40" s="37">
        <f t="shared" si="7"/>
        <v>2</v>
      </c>
      <c r="H40" s="37" t="str">
        <f t="shared" si="8"/>
        <v/>
      </c>
      <c r="I40" s="37" t="str">
        <f t="shared" si="9"/>
        <v/>
      </c>
      <c r="J40" s="37" t="str">
        <f t="shared" si="10"/>
        <v/>
      </c>
      <c r="K40" s="37" t="str">
        <f t="shared" si="11"/>
        <v/>
      </c>
      <c r="L40" s="37" t="str">
        <f t="shared" si="12"/>
        <v/>
      </c>
      <c r="M40" s="37" t="str">
        <f t="shared" si="13"/>
        <v/>
      </c>
      <c r="N40">
        <v>2</v>
      </c>
      <c r="O40" s="31" t="s">
        <v>1166</v>
      </c>
      <c r="Q40">
        <v>60</v>
      </c>
      <c r="V40">
        <v>25</v>
      </c>
      <c r="W40">
        <f t="shared" si="14"/>
        <v>0.5</v>
      </c>
      <c r="X40" s="37" t="s">
        <v>1167</v>
      </c>
    </row>
    <row r="41" spans="1:28">
      <c r="D41" s="37" t="str">
        <f t="shared" si="4"/>
        <v/>
      </c>
      <c r="E41" s="37" t="str">
        <f t="shared" si="5"/>
        <v/>
      </c>
      <c r="F41" s="37" t="str">
        <f t="shared" si="6"/>
        <v/>
      </c>
      <c r="G41" s="37" t="str">
        <f t="shared" si="7"/>
        <v/>
      </c>
      <c r="H41" s="37">
        <f t="shared" si="8"/>
        <v>48</v>
      </c>
      <c r="I41" s="37">
        <f t="shared" si="9"/>
        <v>8</v>
      </c>
      <c r="J41" s="37" t="str">
        <f t="shared" si="10"/>
        <v/>
      </c>
      <c r="K41" s="37" t="str">
        <f t="shared" si="11"/>
        <v/>
      </c>
      <c r="L41" s="37" t="str">
        <f t="shared" si="12"/>
        <v/>
      </c>
      <c r="M41" s="37" t="str">
        <f t="shared" si="13"/>
        <v/>
      </c>
      <c r="N41">
        <v>1</v>
      </c>
      <c r="O41" s="32" t="s">
        <v>1168</v>
      </c>
      <c r="R41">
        <v>240</v>
      </c>
      <c r="V41">
        <v>25</v>
      </c>
      <c r="W41">
        <f t="shared" si="14"/>
        <v>1</v>
      </c>
      <c r="X41" s="37" t="s">
        <v>1169</v>
      </c>
    </row>
    <row r="42" spans="1:28">
      <c r="D42" s="37">
        <f t="shared" si="4"/>
        <v>240</v>
      </c>
      <c r="E42" s="37">
        <f t="shared" si="5"/>
        <v>40</v>
      </c>
      <c r="F42" s="37" t="str">
        <f t="shared" si="6"/>
        <v/>
      </c>
      <c r="G42" s="37" t="str">
        <f t="shared" si="7"/>
        <v/>
      </c>
      <c r="H42" s="37">
        <f t="shared" si="8"/>
        <v>29</v>
      </c>
      <c r="I42" s="37">
        <f t="shared" si="9"/>
        <v>4.83</v>
      </c>
      <c r="J42" s="37" t="str">
        <f t="shared" si="10"/>
        <v/>
      </c>
      <c r="K42" s="37" t="str">
        <f t="shared" si="11"/>
        <v/>
      </c>
      <c r="L42" s="37" t="str">
        <f t="shared" si="12"/>
        <v/>
      </c>
      <c r="M42" s="37" t="str">
        <f t="shared" si="13"/>
        <v/>
      </c>
      <c r="N42">
        <v>1</v>
      </c>
      <c r="O42" s="32" t="s">
        <v>1170</v>
      </c>
      <c r="P42">
        <v>1200</v>
      </c>
      <c r="R42">
        <v>145</v>
      </c>
      <c r="V42">
        <v>25</v>
      </c>
      <c r="W42">
        <f t="shared" si="14"/>
        <v>1</v>
      </c>
      <c r="X42" s="37" t="s">
        <v>1171</v>
      </c>
    </row>
    <row r="43" spans="1:28">
      <c r="D43" s="37">
        <f t="shared" si="4"/>
        <v>72</v>
      </c>
      <c r="E43" s="37">
        <f t="shared" si="5"/>
        <v>12</v>
      </c>
      <c r="F43" s="37" t="str">
        <f t="shared" si="6"/>
        <v/>
      </c>
      <c r="G43" s="37" t="str">
        <f t="shared" si="7"/>
        <v/>
      </c>
      <c r="H43" s="37" t="str">
        <f t="shared" si="8"/>
        <v/>
      </c>
      <c r="I43" s="37" t="str">
        <f t="shared" si="9"/>
        <v/>
      </c>
      <c r="J43" s="37" t="str">
        <f t="shared" si="10"/>
        <v/>
      </c>
      <c r="K43" s="37" t="str">
        <f t="shared" si="11"/>
        <v/>
      </c>
      <c r="L43" s="37">
        <f t="shared" si="12"/>
        <v>15</v>
      </c>
      <c r="M43" s="37" t="str">
        <f t="shared" si="13"/>
        <v/>
      </c>
      <c r="N43">
        <v>2</v>
      </c>
      <c r="O43" s="31" t="s">
        <v>1172</v>
      </c>
      <c r="P43">
        <v>360</v>
      </c>
      <c r="T43">
        <v>15</v>
      </c>
      <c r="V43">
        <v>25</v>
      </c>
      <c r="W43">
        <f t="shared" si="14"/>
        <v>0.5</v>
      </c>
      <c r="X43" s="37" t="s">
        <v>1173</v>
      </c>
    </row>
    <row r="44" spans="1:28">
      <c r="D44" s="37">
        <f t="shared" si="4"/>
        <v>150</v>
      </c>
      <c r="E44" s="37">
        <f t="shared" si="5"/>
        <v>25</v>
      </c>
      <c r="F44" s="37" t="str">
        <f t="shared" si="6"/>
        <v/>
      </c>
      <c r="G44" s="37" t="str">
        <f t="shared" si="7"/>
        <v/>
      </c>
      <c r="H44" s="37">
        <f t="shared" si="8"/>
        <v>12</v>
      </c>
      <c r="I44" s="37">
        <f t="shared" si="9"/>
        <v>2</v>
      </c>
      <c r="J44" s="37" t="str">
        <f t="shared" si="10"/>
        <v/>
      </c>
      <c r="K44" s="37" t="str">
        <f t="shared" si="11"/>
        <v/>
      </c>
      <c r="L44" s="37" t="str">
        <f t="shared" si="12"/>
        <v/>
      </c>
      <c r="M44" s="37" t="str">
        <f t="shared" si="13"/>
        <v/>
      </c>
      <c r="N44">
        <v>2</v>
      </c>
      <c r="O44" s="31" t="s">
        <v>1174</v>
      </c>
      <c r="P44">
        <v>750</v>
      </c>
      <c r="R44">
        <v>60</v>
      </c>
      <c r="V44">
        <v>25</v>
      </c>
      <c r="W44">
        <f t="shared" si="14"/>
        <v>0.5</v>
      </c>
      <c r="X44" s="37" t="s">
        <v>1175</v>
      </c>
    </row>
    <row r="45" spans="1:28">
      <c r="D45" s="37">
        <f t="shared" si="4"/>
        <v>300</v>
      </c>
      <c r="E45" s="37">
        <f t="shared" si="5"/>
        <v>50</v>
      </c>
      <c r="F45" s="37" t="str">
        <f t="shared" si="6"/>
        <v/>
      </c>
      <c r="G45" s="37" t="str">
        <f t="shared" si="7"/>
        <v/>
      </c>
      <c r="H45" s="37" t="str">
        <f t="shared" si="8"/>
        <v/>
      </c>
      <c r="I45" s="37" t="str">
        <f t="shared" si="9"/>
        <v/>
      </c>
      <c r="J45" s="37" t="str">
        <f t="shared" si="10"/>
        <v/>
      </c>
      <c r="K45" s="37" t="str">
        <f t="shared" si="11"/>
        <v/>
      </c>
      <c r="L45" s="37" t="str">
        <f t="shared" si="12"/>
        <v/>
      </c>
      <c r="M45" s="37" t="str">
        <f t="shared" si="13"/>
        <v/>
      </c>
      <c r="N45">
        <v>2</v>
      </c>
      <c r="O45" s="31" t="s">
        <v>1176</v>
      </c>
      <c r="P45">
        <v>1500</v>
      </c>
      <c r="V45">
        <v>25</v>
      </c>
      <c r="W45">
        <f t="shared" si="14"/>
        <v>0.5</v>
      </c>
      <c r="X45" s="37" t="s">
        <v>1177</v>
      </c>
    </row>
    <row r="46" spans="1:28">
      <c r="D46" s="37"/>
      <c r="E46" s="37"/>
      <c r="F46" s="37"/>
      <c r="G46" s="37"/>
      <c r="H46" s="37"/>
      <c r="I46" s="37"/>
      <c r="J46" s="37"/>
      <c r="K46" s="37"/>
      <c r="L46" s="37"/>
      <c r="M46" s="37"/>
      <c r="N46" s="23" t="s">
        <v>1134</v>
      </c>
      <c r="P46" s="101" t="s">
        <v>1125</v>
      </c>
      <c r="Q46" s="101" t="s">
        <v>1126</v>
      </c>
      <c r="R46" s="101" t="s">
        <v>1127</v>
      </c>
      <c r="S46" s="101" t="s">
        <v>1128</v>
      </c>
      <c r="T46" s="101" t="s">
        <v>1129</v>
      </c>
      <c r="U46" s="101" t="s">
        <v>1130</v>
      </c>
      <c r="V46" s="101" t="s">
        <v>1131</v>
      </c>
      <c r="W46" s="101" t="s">
        <v>1152</v>
      </c>
      <c r="X46" s="37"/>
    </row>
    <row r="47" spans="1:28">
      <c r="D47" s="37">
        <f t="shared" si="4"/>
        <v>380</v>
      </c>
      <c r="E47" s="37">
        <f t="shared" si="5"/>
        <v>63.33</v>
      </c>
      <c r="F47" s="37" t="str">
        <f t="shared" si="6"/>
        <v/>
      </c>
      <c r="G47" s="37" t="str">
        <f t="shared" si="7"/>
        <v/>
      </c>
      <c r="H47" s="37">
        <f t="shared" si="8"/>
        <v>30</v>
      </c>
      <c r="I47" s="37">
        <f t="shared" si="9"/>
        <v>4.93</v>
      </c>
      <c r="J47" s="37" t="str">
        <f t="shared" si="10"/>
        <v/>
      </c>
      <c r="K47" s="37" t="str">
        <f t="shared" si="11"/>
        <v/>
      </c>
      <c r="L47" s="37" t="str">
        <f t="shared" si="12"/>
        <v/>
      </c>
      <c r="M47" s="37" t="str">
        <f t="shared" si="13"/>
        <v/>
      </c>
      <c r="N47">
        <v>1</v>
      </c>
      <c r="O47" s="32" t="s">
        <v>139</v>
      </c>
      <c r="P47">
        <v>1900</v>
      </c>
      <c r="R47">
        <v>148</v>
      </c>
      <c r="V47">
        <v>25</v>
      </c>
      <c r="W47">
        <f>IF(P47/D$15+Q47*N47/E$15+R47/F$15+T47/H$15+U47*N47/I$15=0,"",ROUND(P47/D$15+Q47*N47/E$15+R47/F$15+T47/H$15+U47*N47/I$15,2))</f>
        <v>1</v>
      </c>
      <c r="X47" s="37" t="s">
        <v>1178</v>
      </c>
      <c r="AA47" t="str">
        <f>"[FBB8F8]"&amp;X47&amp;"[-]"</f>
        <v>[FBB8F8]擊退抗性增加30%[-]</v>
      </c>
      <c r="AB47" t="s">
        <v>118</v>
      </c>
    </row>
    <row r="48" spans="1:28">
      <c r="D48" s="37" t="str">
        <f t="shared" si="4"/>
        <v/>
      </c>
      <c r="E48" s="37" t="str">
        <f t="shared" si="5"/>
        <v/>
      </c>
      <c r="F48" s="37">
        <f t="shared" si="6"/>
        <v>41</v>
      </c>
      <c r="G48" s="37">
        <f t="shared" si="7"/>
        <v>6.83</v>
      </c>
      <c r="H48" s="37" t="str">
        <f t="shared" si="8"/>
        <v/>
      </c>
      <c r="I48" s="37" t="str">
        <f t="shared" si="9"/>
        <v/>
      </c>
      <c r="J48" s="37" t="str">
        <f t="shared" si="10"/>
        <v/>
      </c>
      <c r="K48" s="37" t="str">
        <f t="shared" si="11"/>
        <v/>
      </c>
      <c r="L48" s="37" t="str">
        <f t="shared" si="12"/>
        <v/>
      </c>
      <c r="M48" s="37">
        <f t="shared" si="13"/>
        <v>0.02</v>
      </c>
      <c r="N48">
        <v>1</v>
      </c>
      <c r="O48" s="33" t="s">
        <v>62</v>
      </c>
      <c r="Q48">
        <v>205</v>
      </c>
      <c r="U48">
        <v>0.02</v>
      </c>
      <c r="V48">
        <v>25</v>
      </c>
      <c r="W48">
        <f t="shared" ref="W48:W101" si="15">IF(P48/D$15+Q48*N48/E$15+R48/F$15+T48/H$15+U48*N48/I$15=0,"",ROUND(P48/D$15+Q48*N48/E$15+R48/F$15+T48/H$15+U48*N48/I$15,2))</f>
        <v>1</v>
      </c>
      <c r="X48" s="37" t="s">
        <v>1179</v>
      </c>
      <c r="AA48" t="str">
        <f t="shared" ref="AA48:AA81" si="16">"[FBB8F8]"&amp;X48&amp;"[-]"</f>
        <v>[FBB8F8]10%機率造成目標110%水屬性傷害並另目標逃跑持續2秒，冷卻20秒[-]</v>
      </c>
      <c r="AB48" t="s">
        <v>119</v>
      </c>
    </row>
    <row r="49" spans="4:28">
      <c r="D49" s="37">
        <f t="shared" si="4"/>
        <v>300</v>
      </c>
      <c r="E49" s="37">
        <f t="shared" si="5"/>
        <v>50</v>
      </c>
      <c r="F49" s="37">
        <f t="shared" si="6"/>
        <v>18</v>
      </c>
      <c r="G49" s="37">
        <f t="shared" si="7"/>
        <v>3</v>
      </c>
      <c r="H49" s="37" t="str">
        <f t="shared" si="8"/>
        <v/>
      </c>
      <c r="I49" s="37" t="str">
        <f t="shared" si="9"/>
        <v/>
      </c>
      <c r="J49" s="37" t="str">
        <f t="shared" si="10"/>
        <v/>
      </c>
      <c r="K49" s="37" t="str">
        <f t="shared" si="11"/>
        <v/>
      </c>
      <c r="L49" s="37" t="str">
        <f t="shared" si="12"/>
        <v/>
      </c>
      <c r="M49" s="37" t="str">
        <f t="shared" si="13"/>
        <v/>
      </c>
      <c r="N49">
        <v>2</v>
      </c>
      <c r="O49" s="31" t="s">
        <v>78</v>
      </c>
      <c r="P49">
        <v>1500</v>
      </c>
      <c r="Q49">
        <v>90</v>
      </c>
      <c r="V49">
        <v>25</v>
      </c>
      <c r="W49">
        <f t="shared" si="15"/>
        <v>1</v>
      </c>
      <c r="X49" s="37" t="s">
        <v>1180</v>
      </c>
      <c r="AA49" t="str">
        <f t="shared" si="16"/>
        <v>[FBB8F8][騎士][戰士]限定，10%機率造成目標110%光屬性傷害並另自身攻擊力上升10%持續8秒，冷卻20秒[-]</v>
      </c>
      <c r="AB49" t="s">
        <v>120</v>
      </c>
    </row>
    <row r="50" spans="4:28">
      <c r="D50" s="37">
        <f t="shared" si="4"/>
        <v>750</v>
      </c>
      <c r="E50" s="37">
        <f t="shared" si="5"/>
        <v>125</v>
      </c>
      <c r="F50" s="37" t="str">
        <f t="shared" si="6"/>
        <v/>
      </c>
      <c r="G50" s="37" t="str">
        <f t="shared" si="7"/>
        <v/>
      </c>
      <c r="H50" s="37" t="str">
        <f t="shared" si="8"/>
        <v/>
      </c>
      <c r="I50" s="37" t="str">
        <f t="shared" si="9"/>
        <v/>
      </c>
      <c r="J50" s="37" t="str">
        <f t="shared" si="10"/>
        <v/>
      </c>
      <c r="K50" s="37" t="str">
        <f t="shared" si="11"/>
        <v/>
      </c>
      <c r="L50" s="37" t="str">
        <f t="shared" si="12"/>
        <v/>
      </c>
      <c r="M50" s="37" t="str">
        <f t="shared" si="13"/>
        <v/>
      </c>
      <c r="N50">
        <v>1</v>
      </c>
      <c r="O50" s="32" t="s">
        <v>60</v>
      </c>
      <c r="P50">
        <v>3750</v>
      </c>
      <c r="V50">
        <v>25</v>
      </c>
      <c r="W50">
        <f t="shared" si="15"/>
        <v>1</v>
      </c>
      <c r="X50" s="37" t="s">
        <v>1181</v>
      </c>
      <c r="AA50" t="str">
        <f t="shared" si="16"/>
        <v>[FBB8F8]生命+1000[-]</v>
      </c>
      <c r="AB50" t="s">
        <v>121</v>
      </c>
    </row>
    <row r="51" spans="4:28">
      <c r="D51" s="37" t="str">
        <f t="shared" si="4"/>
        <v/>
      </c>
      <c r="E51" s="37" t="str">
        <f t="shared" si="5"/>
        <v/>
      </c>
      <c r="F51" s="37">
        <f t="shared" si="6"/>
        <v>10</v>
      </c>
      <c r="G51" s="37">
        <f t="shared" si="7"/>
        <v>1.7</v>
      </c>
      <c r="H51" s="37" t="str">
        <f t="shared" si="8"/>
        <v/>
      </c>
      <c r="I51" s="37" t="str">
        <f t="shared" si="9"/>
        <v/>
      </c>
      <c r="J51" s="37" t="str">
        <f t="shared" si="10"/>
        <v/>
      </c>
      <c r="K51" s="37" t="str">
        <f t="shared" si="11"/>
        <v/>
      </c>
      <c r="L51" s="37" t="str">
        <f t="shared" si="12"/>
        <v/>
      </c>
      <c r="M51" s="37">
        <f t="shared" si="13"/>
        <v>5.0000000000000001E-3</v>
      </c>
      <c r="N51">
        <v>2</v>
      </c>
      <c r="O51" s="31" t="s">
        <v>79</v>
      </c>
      <c r="Q51">
        <v>51</v>
      </c>
      <c r="U51">
        <v>5.0000000000000001E-3</v>
      </c>
      <c r="V51">
        <v>25</v>
      </c>
      <c r="W51">
        <f t="shared" si="15"/>
        <v>0.5</v>
      </c>
      <c r="X51" s="37" t="s">
        <v>1182</v>
      </c>
      <c r="AA51" t="str">
        <f t="shared" si="16"/>
        <v>[FBB8F8]爆擊增加2%[-]</v>
      </c>
      <c r="AB51" t="s">
        <v>122</v>
      </c>
    </row>
    <row r="52" spans="4:28">
      <c r="D52" s="37">
        <f t="shared" si="4"/>
        <v>226</v>
      </c>
      <c r="E52" s="37">
        <f t="shared" si="5"/>
        <v>37.67</v>
      </c>
      <c r="F52" s="37" t="str">
        <f t="shared" si="6"/>
        <v/>
      </c>
      <c r="G52" s="37" t="str">
        <f t="shared" si="7"/>
        <v/>
      </c>
      <c r="H52" s="37" t="str">
        <f t="shared" si="8"/>
        <v/>
      </c>
      <c r="I52" s="37" t="str">
        <f t="shared" si="9"/>
        <v/>
      </c>
      <c r="J52" s="37" t="str">
        <f t="shared" si="10"/>
        <v/>
      </c>
      <c r="K52" s="37" t="str">
        <f t="shared" si="11"/>
        <v/>
      </c>
      <c r="L52" s="37">
        <f t="shared" si="12"/>
        <v>10</v>
      </c>
      <c r="M52" s="37" t="str">
        <f t="shared" si="13"/>
        <v/>
      </c>
      <c r="N52">
        <v>2</v>
      </c>
      <c r="O52" s="31" t="s">
        <v>1183</v>
      </c>
      <c r="P52">
        <v>1130</v>
      </c>
      <c r="T52">
        <v>10</v>
      </c>
      <c r="V52">
        <v>25</v>
      </c>
      <c r="W52">
        <f t="shared" si="15"/>
        <v>0.5</v>
      </c>
      <c r="X52" s="37" t="s">
        <v>1184</v>
      </c>
      <c r="AA52" t="str">
        <f t="shared" si="16"/>
        <v>[FBB8F8]進場魔力+10[-]</v>
      </c>
      <c r="AB52" t="s">
        <v>123</v>
      </c>
    </row>
    <row r="53" spans="4:28">
      <c r="D53" s="37" t="str">
        <f t="shared" si="4"/>
        <v/>
      </c>
      <c r="E53" s="37" t="str">
        <f t="shared" si="5"/>
        <v/>
      </c>
      <c r="F53" s="37">
        <f t="shared" si="6"/>
        <v>12</v>
      </c>
      <c r="G53" s="37">
        <f t="shared" si="7"/>
        <v>2</v>
      </c>
      <c r="H53" s="37">
        <f t="shared" si="8"/>
        <v>36</v>
      </c>
      <c r="I53" s="37">
        <f t="shared" si="9"/>
        <v>6</v>
      </c>
      <c r="J53" s="37" t="str">
        <f t="shared" si="10"/>
        <v/>
      </c>
      <c r="K53" s="37" t="str">
        <f t="shared" si="11"/>
        <v/>
      </c>
      <c r="L53" s="37">
        <f t="shared" si="12"/>
        <v>10</v>
      </c>
      <c r="M53" s="37" t="str">
        <f t="shared" si="13"/>
        <v/>
      </c>
      <c r="N53">
        <v>1</v>
      </c>
      <c r="O53" s="32" t="s">
        <v>81</v>
      </c>
      <c r="Q53">
        <v>60</v>
      </c>
      <c r="R53">
        <v>180</v>
      </c>
      <c r="T53">
        <v>10</v>
      </c>
      <c r="V53">
        <v>25</v>
      </c>
      <c r="W53">
        <f t="shared" si="15"/>
        <v>1</v>
      </c>
      <c r="X53" s="37" t="s">
        <v>1185</v>
      </c>
      <c r="AA53" t="str">
        <f t="shared" si="16"/>
        <v>[FBB8F8]移動增加30[-]</v>
      </c>
      <c r="AB53" t="s">
        <v>124</v>
      </c>
    </row>
    <row r="54" spans="4:28">
      <c r="D54" s="37" t="str">
        <f t="shared" si="4"/>
        <v/>
      </c>
      <c r="E54" s="37" t="str">
        <f t="shared" si="5"/>
        <v/>
      </c>
      <c r="F54" s="37">
        <f t="shared" si="6"/>
        <v>16</v>
      </c>
      <c r="G54" s="37">
        <f t="shared" si="7"/>
        <v>2.67</v>
      </c>
      <c r="H54" s="37">
        <f t="shared" si="8"/>
        <v>44</v>
      </c>
      <c r="I54" s="37">
        <f t="shared" si="9"/>
        <v>7.33</v>
      </c>
      <c r="J54" s="37" t="str">
        <f t="shared" si="10"/>
        <v/>
      </c>
      <c r="K54" s="37" t="str">
        <f t="shared" si="11"/>
        <v/>
      </c>
      <c r="L54" s="37" t="str">
        <f t="shared" si="12"/>
        <v/>
      </c>
      <c r="M54" s="37" t="str">
        <f t="shared" si="13"/>
        <v/>
      </c>
      <c r="N54">
        <v>1</v>
      </c>
      <c r="O54" s="32" t="s">
        <v>82</v>
      </c>
      <c r="Q54">
        <v>80</v>
      </c>
      <c r="R54">
        <v>220</v>
      </c>
      <c r="V54">
        <v>25</v>
      </c>
      <c r="W54">
        <f t="shared" si="15"/>
        <v>1</v>
      </c>
      <c r="X54" s="37" t="s">
        <v>1186</v>
      </c>
      <c r="AA54" t="str">
        <f t="shared" si="16"/>
        <v>[FBB8F8]防禦增加60[-]</v>
      </c>
      <c r="AB54" t="s">
        <v>125</v>
      </c>
    </row>
    <row r="55" spans="4:28">
      <c r="D55" s="37" t="str">
        <f t="shared" si="4"/>
        <v/>
      </c>
      <c r="E55" s="37" t="str">
        <f t="shared" si="5"/>
        <v/>
      </c>
      <c r="F55" s="37" t="str">
        <f t="shared" si="6"/>
        <v/>
      </c>
      <c r="G55" s="37" t="str">
        <f t="shared" si="7"/>
        <v/>
      </c>
      <c r="H55" s="37">
        <f t="shared" si="8"/>
        <v>11</v>
      </c>
      <c r="I55" s="37">
        <f t="shared" si="9"/>
        <v>1.83</v>
      </c>
      <c r="J55" s="37" t="str">
        <f t="shared" si="10"/>
        <v/>
      </c>
      <c r="K55" s="37" t="str">
        <f t="shared" si="11"/>
        <v/>
      </c>
      <c r="L55" s="37" t="str">
        <f t="shared" si="12"/>
        <v/>
      </c>
      <c r="M55" s="37">
        <f t="shared" si="13"/>
        <v>0.01</v>
      </c>
      <c r="N55">
        <v>2</v>
      </c>
      <c r="O55" s="31" t="s">
        <v>83</v>
      </c>
      <c r="R55">
        <v>55</v>
      </c>
      <c r="U55">
        <v>0.01</v>
      </c>
      <c r="V55">
        <v>25</v>
      </c>
      <c r="W55">
        <f t="shared" si="15"/>
        <v>0.5</v>
      </c>
      <c r="X55" s="37" t="s">
        <v>1187</v>
      </c>
      <c r="AA55" t="str">
        <f t="shared" si="16"/>
        <v>[FBB8F8]100%機率造成目標50%暗屬性傷害並降低攻速20%持續5秒(目標靠近時發動)，冷卻25秒[-]</v>
      </c>
      <c r="AB55" t="s">
        <v>1188</v>
      </c>
    </row>
    <row r="56" spans="4:28">
      <c r="D56" s="37">
        <f t="shared" si="4"/>
        <v>250</v>
      </c>
      <c r="E56" s="37">
        <f t="shared" si="5"/>
        <v>41.67</v>
      </c>
      <c r="F56" s="37" t="str">
        <f t="shared" si="6"/>
        <v/>
      </c>
      <c r="G56" s="37" t="str">
        <f t="shared" si="7"/>
        <v/>
      </c>
      <c r="H56" s="37">
        <f t="shared" si="8"/>
        <v>10</v>
      </c>
      <c r="I56" s="37">
        <f t="shared" si="9"/>
        <v>1.67</v>
      </c>
      <c r="J56" s="37" t="str">
        <f t="shared" si="10"/>
        <v/>
      </c>
      <c r="K56" s="37" t="str">
        <f t="shared" si="11"/>
        <v/>
      </c>
      <c r="L56" s="37" t="str">
        <f t="shared" si="12"/>
        <v/>
      </c>
      <c r="M56" s="37" t="str">
        <f t="shared" si="13"/>
        <v/>
      </c>
      <c r="N56">
        <v>2</v>
      </c>
      <c r="O56" s="31" t="s">
        <v>84</v>
      </c>
      <c r="P56">
        <v>1250</v>
      </c>
      <c r="R56">
        <v>50</v>
      </c>
      <c r="V56">
        <v>25</v>
      </c>
      <c r="W56">
        <f t="shared" si="15"/>
        <v>0.5</v>
      </c>
      <c r="X56" s="37" t="s">
        <v>1189</v>
      </c>
      <c r="AA56" t="str">
        <f t="shared" si="16"/>
        <v>[FBB8F8]10%機率回復自身攻擊的50%生命且並嘲諷周圍目標持續5秒，冷卻25秒[-]</v>
      </c>
      <c r="AB56" t="s">
        <v>126</v>
      </c>
    </row>
    <row r="57" spans="4:28">
      <c r="D57" s="37" t="str">
        <f t="shared" si="4"/>
        <v/>
      </c>
      <c r="E57" s="37" t="str">
        <f t="shared" si="5"/>
        <v/>
      </c>
      <c r="F57" s="37">
        <f t="shared" si="6"/>
        <v>15</v>
      </c>
      <c r="G57" s="37">
        <f t="shared" si="7"/>
        <v>2.5</v>
      </c>
      <c r="H57" s="37" t="str">
        <f t="shared" si="8"/>
        <v/>
      </c>
      <c r="I57" s="37" t="str">
        <f t="shared" si="9"/>
        <v/>
      </c>
      <c r="J57" s="37" t="str">
        <f t="shared" si="10"/>
        <v/>
      </c>
      <c r="K57" s="37" t="str">
        <f t="shared" si="11"/>
        <v/>
      </c>
      <c r="L57" s="37" t="str">
        <f t="shared" si="12"/>
        <v/>
      </c>
      <c r="M57" s="37" t="str">
        <f t="shared" si="13"/>
        <v/>
      </c>
      <c r="N57">
        <v>2</v>
      </c>
      <c r="O57" s="31" t="s">
        <v>85</v>
      </c>
      <c r="Q57">
        <v>75</v>
      </c>
      <c r="V57">
        <v>25</v>
      </c>
      <c r="W57">
        <f t="shared" si="15"/>
        <v>0.5</v>
      </c>
      <c r="X57" s="37" t="s">
        <v>1190</v>
      </c>
      <c r="AA57" t="str">
        <f t="shared" si="16"/>
        <v>[FBB8F8]吸血增加2%+10[-]</v>
      </c>
      <c r="AB57" t="s">
        <v>64</v>
      </c>
    </row>
    <row r="58" spans="4:28">
      <c r="D58" s="37">
        <f t="shared" si="4"/>
        <v>375</v>
      </c>
      <c r="E58" s="37">
        <f t="shared" si="5"/>
        <v>62.5</v>
      </c>
      <c r="F58" s="37" t="str">
        <f t="shared" si="6"/>
        <v/>
      </c>
      <c r="G58" s="37" t="str">
        <f t="shared" si="7"/>
        <v/>
      </c>
      <c r="H58" s="37" t="str">
        <f t="shared" si="8"/>
        <v/>
      </c>
      <c r="I58" s="37" t="str">
        <f t="shared" si="9"/>
        <v/>
      </c>
      <c r="J58" s="37" t="str">
        <f t="shared" si="10"/>
        <v/>
      </c>
      <c r="K58" s="37" t="str">
        <f t="shared" si="11"/>
        <v/>
      </c>
      <c r="L58" s="37" t="str">
        <f t="shared" si="12"/>
        <v/>
      </c>
      <c r="M58" s="37" t="str">
        <f t="shared" si="13"/>
        <v/>
      </c>
      <c r="N58">
        <v>2</v>
      </c>
      <c r="O58" s="31" t="s">
        <v>1191</v>
      </c>
      <c r="P58">
        <v>1875</v>
      </c>
      <c r="V58">
        <v>25</v>
      </c>
      <c r="W58">
        <f t="shared" si="15"/>
        <v>0.5</v>
      </c>
      <c r="X58" s="37" t="s">
        <v>1192</v>
      </c>
      <c r="AA58" t="str">
        <f t="shared" si="16"/>
        <v>[FBB8F8]10%機率對友軍回復攻擊的100%血量，冷卻20秒[-]</v>
      </c>
      <c r="AB58" t="s">
        <v>53</v>
      </c>
    </row>
    <row r="59" spans="4:28">
      <c r="D59" s="37" t="str">
        <f t="shared" si="4"/>
        <v/>
      </c>
      <c r="E59" s="37" t="str">
        <f t="shared" si="5"/>
        <v/>
      </c>
      <c r="F59" s="37">
        <f t="shared" si="6"/>
        <v>10</v>
      </c>
      <c r="G59" s="37">
        <f t="shared" si="7"/>
        <v>1.67</v>
      </c>
      <c r="H59" s="37">
        <f t="shared" si="8"/>
        <v>10</v>
      </c>
      <c r="I59" s="37">
        <f t="shared" si="9"/>
        <v>1.67</v>
      </c>
      <c r="J59" s="37" t="str">
        <f t="shared" si="10"/>
        <v/>
      </c>
      <c r="K59" s="37" t="str">
        <f t="shared" si="11"/>
        <v/>
      </c>
      <c r="L59" s="37" t="str">
        <f t="shared" si="12"/>
        <v/>
      </c>
      <c r="M59" s="37" t="str">
        <f t="shared" si="13"/>
        <v/>
      </c>
      <c r="N59">
        <v>2</v>
      </c>
      <c r="O59" s="31" t="s">
        <v>86</v>
      </c>
      <c r="Q59">
        <v>50</v>
      </c>
      <c r="R59">
        <v>50</v>
      </c>
      <c r="V59">
        <v>25</v>
      </c>
      <c r="W59">
        <f t="shared" si="15"/>
        <v>0.5</v>
      </c>
      <c r="X59" s="37" t="s">
        <v>1193</v>
      </c>
      <c r="AA59" t="str">
        <f t="shared" si="16"/>
        <v>[FBB8F8]5%機率造成目標100%水屬性傷害並造成混亂持續2秒，冷卻25秒[-]</v>
      </c>
      <c r="AB59" t="s">
        <v>54</v>
      </c>
    </row>
    <row r="60" spans="4:28">
      <c r="D60" s="37" t="str">
        <f t="shared" si="4"/>
        <v/>
      </c>
      <c r="E60" s="37" t="str">
        <f t="shared" si="5"/>
        <v/>
      </c>
      <c r="F60" s="37">
        <f t="shared" si="6"/>
        <v>10</v>
      </c>
      <c r="G60" s="37">
        <f t="shared" si="7"/>
        <v>1.7</v>
      </c>
      <c r="H60" s="37" t="str">
        <f t="shared" si="8"/>
        <v/>
      </c>
      <c r="I60" s="37" t="str">
        <f t="shared" si="9"/>
        <v/>
      </c>
      <c r="J60" s="37" t="str">
        <f t="shared" si="10"/>
        <v/>
      </c>
      <c r="K60" s="37" t="str">
        <f t="shared" si="11"/>
        <v/>
      </c>
      <c r="L60" s="37" t="str">
        <f t="shared" si="12"/>
        <v/>
      </c>
      <c r="M60" s="37">
        <f t="shared" si="13"/>
        <v>5.0000000000000001E-3</v>
      </c>
      <c r="N60">
        <v>2</v>
      </c>
      <c r="O60" s="31" t="s">
        <v>1194</v>
      </c>
      <c r="Q60">
        <v>51</v>
      </c>
      <c r="U60">
        <v>5.0000000000000001E-3</v>
      </c>
      <c r="V60">
        <v>25</v>
      </c>
      <c r="W60">
        <f t="shared" si="15"/>
        <v>0.5</v>
      </c>
      <c r="X60" s="37" t="s">
        <v>1195</v>
      </c>
      <c r="AA60" t="str">
        <f t="shared" si="16"/>
        <v>[FBB8F8]10%機率造成自身周圍110%水屬性傷害並每秒扣血1%+50持續3秒(目標靠近時發動)，冷卻25秒[-]</v>
      </c>
      <c r="AB60" t="s">
        <v>55</v>
      </c>
    </row>
    <row r="61" spans="4:28">
      <c r="D61" s="37">
        <f t="shared" si="4"/>
        <v>200</v>
      </c>
      <c r="E61" s="37">
        <f t="shared" si="5"/>
        <v>33.33</v>
      </c>
      <c r="F61" s="37" t="str">
        <f t="shared" si="6"/>
        <v/>
      </c>
      <c r="G61" s="37" t="str">
        <f t="shared" si="7"/>
        <v/>
      </c>
      <c r="H61" s="37">
        <f t="shared" si="8"/>
        <v>14</v>
      </c>
      <c r="I61" s="37">
        <f t="shared" si="9"/>
        <v>2.33</v>
      </c>
      <c r="J61" s="37" t="str">
        <f t="shared" si="10"/>
        <v/>
      </c>
      <c r="K61" s="37" t="str">
        <f t="shared" si="11"/>
        <v/>
      </c>
      <c r="L61" s="37" t="str">
        <f t="shared" si="12"/>
        <v/>
      </c>
      <c r="M61" s="37" t="str">
        <f t="shared" si="13"/>
        <v/>
      </c>
      <c r="N61">
        <v>2</v>
      </c>
      <c r="O61" s="31" t="s">
        <v>87</v>
      </c>
      <c r="P61">
        <v>1000</v>
      </c>
      <c r="R61">
        <v>70</v>
      </c>
      <c r="V61">
        <v>25</v>
      </c>
      <c r="W61">
        <f t="shared" si="15"/>
        <v>0.5</v>
      </c>
      <c r="X61" s="37" t="s">
        <v>1196</v>
      </c>
      <c r="AA61" t="str">
        <f t="shared" si="16"/>
        <v>[FBB8F8]水屬性抗性提升10%+100[-]</v>
      </c>
      <c r="AB61" t="s">
        <v>56</v>
      </c>
    </row>
    <row r="62" spans="4:28">
      <c r="D62" s="37">
        <f t="shared" si="4"/>
        <v>750</v>
      </c>
      <c r="E62" s="37">
        <f t="shared" si="5"/>
        <v>125</v>
      </c>
      <c r="F62" s="37" t="str">
        <f t="shared" si="6"/>
        <v/>
      </c>
      <c r="G62" s="37" t="str">
        <f t="shared" si="7"/>
        <v/>
      </c>
      <c r="H62" s="37" t="str">
        <f t="shared" si="8"/>
        <v/>
      </c>
      <c r="I62" s="37" t="str">
        <f t="shared" si="9"/>
        <v/>
      </c>
      <c r="J62" s="37" t="str">
        <f t="shared" si="10"/>
        <v/>
      </c>
      <c r="K62" s="37" t="str">
        <f t="shared" si="11"/>
        <v/>
      </c>
      <c r="L62" s="37" t="str">
        <f t="shared" si="12"/>
        <v/>
      </c>
      <c r="M62" s="37" t="str">
        <f t="shared" si="13"/>
        <v/>
      </c>
      <c r="N62">
        <v>1</v>
      </c>
      <c r="O62" s="32" t="s">
        <v>1197</v>
      </c>
      <c r="P62">
        <v>3750</v>
      </c>
      <c r="V62">
        <v>25</v>
      </c>
      <c r="W62">
        <f t="shared" si="15"/>
        <v>1</v>
      </c>
      <c r="X62" s="37" t="s">
        <v>1198</v>
      </c>
      <c r="AA62" t="str">
        <f t="shared" si="16"/>
        <v>[FBB8F8]持續傷害抗性+30%[-]</v>
      </c>
      <c r="AB62" t="s">
        <v>127</v>
      </c>
    </row>
    <row r="63" spans="4:28">
      <c r="D63" s="37">
        <f t="shared" si="4"/>
        <v>270</v>
      </c>
      <c r="E63" s="37">
        <f t="shared" si="5"/>
        <v>45</v>
      </c>
      <c r="F63" s="37">
        <f t="shared" si="6"/>
        <v>24</v>
      </c>
      <c r="G63" s="37">
        <f t="shared" si="7"/>
        <v>4</v>
      </c>
      <c r="H63" s="37">
        <f t="shared" si="8"/>
        <v>15</v>
      </c>
      <c r="I63" s="37">
        <f t="shared" si="9"/>
        <v>2.4300000000000002</v>
      </c>
      <c r="J63" s="37" t="str">
        <f t="shared" si="10"/>
        <v/>
      </c>
      <c r="K63" s="37" t="str">
        <f t="shared" si="11"/>
        <v/>
      </c>
      <c r="L63" s="37" t="str">
        <f t="shared" si="12"/>
        <v/>
      </c>
      <c r="M63" s="37" t="str">
        <f t="shared" si="13"/>
        <v/>
      </c>
      <c r="N63">
        <v>1</v>
      </c>
      <c r="O63" s="33" t="s">
        <v>89</v>
      </c>
      <c r="P63">
        <v>1350</v>
      </c>
      <c r="Q63">
        <v>120</v>
      </c>
      <c r="R63">
        <v>73</v>
      </c>
      <c r="V63">
        <v>25</v>
      </c>
      <c r="W63">
        <f t="shared" si="15"/>
        <v>1</v>
      </c>
      <c r="X63" s="37" t="s">
        <v>1199</v>
      </c>
      <c r="AA63" t="str">
        <f t="shared" si="16"/>
        <v>[FBB8F8]10%機率造成目標110%火屬性傷害並另目標暈眩持續2秒，冷卻20秒[-]</v>
      </c>
      <c r="AB63" t="s">
        <v>1200</v>
      </c>
    </row>
    <row r="64" spans="4:28">
      <c r="D64" s="37">
        <f t="shared" si="4"/>
        <v>276</v>
      </c>
      <c r="E64" s="37">
        <f t="shared" si="5"/>
        <v>46</v>
      </c>
      <c r="F64" s="37" t="str">
        <f t="shared" si="6"/>
        <v/>
      </c>
      <c r="G64" s="37" t="str">
        <f t="shared" si="7"/>
        <v/>
      </c>
      <c r="H64" s="37">
        <f t="shared" si="8"/>
        <v>20</v>
      </c>
      <c r="I64" s="37">
        <f t="shared" si="9"/>
        <v>3.33</v>
      </c>
      <c r="J64" s="37" t="str">
        <f t="shared" si="10"/>
        <v/>
      </c>
      <c r="K64" s="37" t="str">
        <f t="shared" si="11"/>
        <v/>
      </c>
      <c r="L64" s="37">
        <f t="shared" si="12"/>
        <v>15</v>
      </c>
      <c r="M64" s="37" t="str">
        <f t="shared" si="13"/>
        <v/>
      </c>
      <c r="N64">
        <v>1</v>
      </c>
      <c r="O64" s="32" t="s">
        <v>1201</v>
      </c>
      <c r="P64">
        <v>1380</v>
      </c>
      <c r="R64">
        <v>100</v>
      </c>
      <c r="T64">
        <v>15</v>
      </c>
      <c r="V64">
        <v>25</v>
      </c>
      <c r="W64">
        <f t="shared" si="15"/>
        <v>1</v>
      </c>
      <c r="X64" s="37" t="s">
        <v>936</v>
      </c>
      <c r="AA64" t="str">
        <f t="shared" si="16"/>
        <v>[FBB8F8]10%機率對隨機目標造成100%火屬性傷害並拉取至身旁，冷卻25秒[-]</v>
      </c>
      <c r="AB64" t="s">
        <v>101</v>
      </c>
    </row>
    <row r="65" spans="4:28">
      <c r="D65" s="37" t="str">
        <f t="shared" si="4"/>
        <v/>
      </c>
      <c r="E65" s="37" t="str">
        <f t="shared" si="5"/>
        <v/>
      </c>
      <c r="F65" s="37">
        <f t="shared" si="6"/>
        <v>15</v>
      </c>
      <c r="G65" s="37">
        <f t="shared" si="7"/>
        <v>2.5</v>
      </c>
      <c r="H65" s="37" t="str">
        <f t="shared" si="8"/>
        <v/>
      </c>
      <c r="I65" s="37" t="str">
        <f t="shared" si="9"/>
        <v/>
      </c>
      <c r="J65" s="37" t="str">
        <f t="shared" si="10"/>
        <v/>
      </c>
      <c r="K65" s="37" t="str">
        <f t="shared" si="11"/>
        <v/>
      </c>
      <c r="L65" s="37" t="str">
        <f t="shared" si="12"/>
        <v/>
      </c>
      <c r="M65" s="37" t="str">
        <f t="shared" si="13"/>
        <v/>
      </c>
      <c r="N65">
        <v>2</v>
      </c>
      <c r="O65" s="31" t="s">
        <v>61</v>
      </c>
      <c r="Q65">
        <v>75</v>
      </c>
      <c r="V65">
        <v>25</v>
      </c>
      <c r="W65">
        <f t="shared" si="15"/>
        <v>0.5</v>
      </c>
      <c r="X65" s="37" t="s">
        <v>1202</v>
      </c>
      <c r="AA65" t="str">
        <f t="shared" si="16"/>
        <v>[FBB8F8]攻擊力增加60[-]</v>
      </c>
      <c r="AB65" t="s">
        <v>128</v>
      </c>
    </row>
    <row r="66" spans="4:28">
      <c r="D66" s="37">
        <f t="shared" si="4"/>
        <v>136</v>
      </c>
      <c r="E66" s="37">
        <f t="shared" si="5"/>
        <v>22.67</v>
      </c>
      <c r="F66" s="37" t="str">
        <f t="shared" si="6"/>
        <v/>
      </c>
      <c r="G66" s="37" t="str">
        <f t="shared" si="7"/>
        <v/>
      </c>
      <c r="H66" s="37" t="str">
        <f t="shared" si="8"/>
        <v/>
      </c>
      <c r="I66" s="37" t="str">
        <f t="shared" si="9"/>
        <v/>
      </c>
      <c r="J66" s="37" t="str">
        <f t="shared" si="10"/>
        <v/>
      </c>
      <c r="K66" s="37" t="str">
        <f t="shared" si="11"/>
        <v/>
      </c>
      <c r="L66" s="37" t="str">
        <f t="shared" si="12"/>
        <v/>
      </c>
      <c r="M66" s="37">
        <f t="shared" si="13"/>
        <v>0.01</v>
      </c>
      <c r="N66">
        <v>2</v>
      </c>
      <c r="O66" s="31" t="s">
        <v>90</v>
      </c>
      <c r="P66">
        <v>680</v>
      </c>
      <c r="U66">
        <v>0.01</v>
      </c>
      <c r="V66">
        <v>25</v>
      </c>
      <c r="W66">
        <f t="shared" si="15"/>
        <v>0.5</v>
      </c>
      <c r="X66" s="37" t="s">
        <v>941</v>
      </c>
      <c r="AA66" t="str">
        <f t="shared" si="16"/>
        <v>[FBB8F8]自身每秒扣血0.7%，每秒回能+1[-]</v>
      </c>
      <c r="AB66" t="s">
        <v>129</v>
      </c>
    </row>
    <row r="67" spans="4:28">
      <c r="D67" s="37">
        <f t="shared" si="4"/>
        <v>372</v>
      </c>
      <c r="E67" s="37">
        <f t="shared" si="5"/>
        <v>62</v>
      </c>
      <c r="F67" s="37" t="str">
        <f t="shared" si="6"/>
        <v/>
      </c>
      <c r="G67" s="37" t="str">
        <f t="shared" si="7"/>
        <v/>
      </c>
      <c r="H67" s="37" t="str">
        <f t="shared" si="8"/>
        <v/>
      </c>
      <c r="I67" s="37" t="str">
        <f t="shared" si="9"/>
        <v/>
      </c>
      <c r="J67" s="37" t="str">
        <f t="shared" si="10"/>
        <v/>
      </c>
      <c r="K67" s="37" t="str">
        <f t="shared" si="11"/>
        <v/>
      </c>
      <c r="L67" s="37" t="str">
        <f t="shared" si="12"/>
        <v/>
      </c>
      <c r="M67" s="37" t="str">
        <f t="shared" si="13"/>
        <v/>
      </c>
      <c r="N67">
        <v>2</v>
      </c>
      <c r="O67" s="31" t="s">
        <v>91</v>
      </c>
      <c r="P67">
        <v>1860</v>
      </c>
      <c r="V67">
        <v>25</v>
      </c>
      <c r="W67">
        <f t="shared" si="15"/>
        <v>0.5</v>
      </c>
      <c r="X67" s="37" t="s">
        <v>1203</v>
      </c>
      <c r="AA67" t="str">
        <f t="shared" si="16"/>
        <v>[FBB8F8]每秒生命回復50[-]</v>
      </c>
      <c r="AB67" t="s">
        <v>130</v>
      </c>
    </row>
    <row r="68" spans="4:28">
      <c r="D68" s="37">
        <f t="shared" si="4"/>
        <v>100</v>
      </c>
      <c r="E68" s="37">
        <f t="shared" si="5"/>
        <v>16.670000000000002</v>
      </c>
      <c r="F68" s="37" t="str">
        <f t="shared" si="6"/>
        <v/>
      </c>
      <c r="G68" s="37" t="str">
        <f t="shared" si="7"/>
        <v/>
      </c>
      <c r="H68" s="37">
        <f t="shared" si="8"/>
        <v>22</v>
      </c>
      <c r="I68" s="37">
        <f t="shared" si="9"/>
        <v>3.67</v>
      </c>
      <c r="J68" s="37" t="str">
        <f t="shared" si="10"/>
        <v/>
      </c>
      <c r="K68" s="37" t="str">
        <f t="shared" si="11"/>
        <v/>
      </c>
      <c r="L68" s="37" t="str">
        <f t="shared" si="12"/>
        <v/>
      </c>
      <c r="M68" s="37" t="str">
        <f t="shared" si="13"/>
        <v/>
      </c>
      <c r="N68">
        <v>2</v>
      </c>
      <c r="O68" s="31" t="s">
        <v>92</v>
      </c>
      <c r="P68">
        <v>500</v>
      </c>
      <c r="R68">
        <v>110</v>
      </c>
      <c r="V68">
        <v>25</v>
      </c>
      <c r="W68">
        <f t="shared" si="15"/>
        <v>0.5</v>
      </c>
      <c r="X68" s="37" t="s">
        <v>1204</v>
      </c>
      <c r="AA68" t="str">
        <f t="shared" si="16"/>
        <v>[FBB8F8]10%機率造成回復自身攻擊的50%血量並持續回血100持續5秒，冷卻25秒[-]</v>
      </c>
      <c r="AB68" t="s">
        <v>131</v>
      </c>
    </row>
    <row r="69" spans="4:28">
      <c r="D69" s="37" t="str">
        <f t="shared" si="4"/>
        <v/>
      </c>
      <c r="E69" s="37" t="str">
        <f t="shared" si="5"/>
        <v/>
      </c>
      <c r="F69" s="37">
        <f t="shared" si="6"/>
        <v>30</v>
      </c>
      <c r="G69" s="37">
        <f t="shared" si="7"/>
        <v>5</v>
      </c>
      <c r="H69" s="37">
        <f t="shared" si="8"/>
        <v>20</v>
      </c>
      <c r="I69" s="37">
        <f t="shared" si="9"/>
        <v>3.4</v>
      </c>
      <c r="J69" s="37" t="str">
        <f t="shared" si="10"/>
        <v/>
      </c>
      <c r="K69" s="37" t="str">
        <f t="shared" si="11"/>
        <v/>
      </c>
      <c r="L69" s="37" t="str">
        <f t="shared" si="12"/>
        <v/>
      </c>
      <c r="M69" s="37">
        <f t="shared" si="13"/>
        <v>0.01</v>
      </c>
      <c r="N69">
        <v>1</v>
      </c>
      <c r="O69" s="33" t="s">
        <v>93</v>
      </c>
      <c r="Q69">
        <v>150</v>
      </c>
      <c r="R69">
        <v>102</v>
      </c>
      <c r="U69">
        <v>0.01</v>
      </c>
      <c r="V69">
        <v>25</v>
      </c>
      <c r="W69">
        <f t="shared" si="15"/>
        <v>1</v>
      </c>
      <c r="X69" s="37" t="s">
        <v>1205</v>
      </c>
      <c r="AA69" t="str">
        <f t="shared" si="16"/>
        <v>[FBB8F8]100%機率造成目標100%光屬性傷害並擊退暈眩1秒(目標靠近時發動)，冷卻30秒[-]</v>
      </c>
      <c r="AB69" t="s">
        <v>132</v>
      </c>
    </row>
    <row r="70" spans="4:28">
      <c r="D70" s="37">
        <f t="shared" si="4"/>
        <v>372</v>
      </c>
      <c r="E70" s="37">
        <f t="shared" si="5"/>
        <v>62</v>
      </c>
      <c r="F70" s="37" t="str">
        <f t="shared" si="6"/>
        <v/>
      </c>
      <c r="G70" s="37" t="str">
        <f t="shared" si="7"/>
        <v/>
      </c>
      <c r="H70" s="37">
        <f t="shared" si="8"/>
        <v>30</v>
      </c>
      <c r="I70" s="37">
        <f t="shared" si="9"/>
        <v>5</v>
      </c>
      <c r="J70" s="37" t="str">
        <f t="shared" si="10"/>
        <v/>
      </c>
      <c r="K70" s="37" t="str">
        <f t="shared" si="11"/>
        <v/>
      </c>
      <c r="L70" s="37" t="str">
        <f t="shared" si="12"/>
        <v/>
      </c>
      <c r="M70" s="37" t="str">
        <f t="shared" si="13"/>
        <v/>
      </c>
      <c r="N70">
        <v>1</v>
      </c>
      <c r="O70" s="32" t="s">
        <v>1206</v>
      </c>
      <c r="P70">
        <v>1860</v>
      </c>
      <c r="R70">
        <v>150</v>
      </c>
      <c r="V70">
        <v>25</v>
      </c>
      <c r="W70">
        <f t="shared" si="15"/>
        <v>1</v>
      </c>
      <c r="X70" s="37" t="s">
        <v>937</v>
      </c>
      <c r="AA70" t="str">
        <f t="shared" si="16"/>
        <v>[FBB8F8]10%機率對自身周圍造成攻速降低20%持續6秒(目標靠近時發動)，冷卻30秒。[-]</v>
      </c>
      <c r="AB70" t="s">
        <v>133</v>
      </c>
    </row>
    <row r="71" spans="4:28">
      <c r="D71" s="37">
        <f t="shared" si="4"/>
        <v>72</v>
      </c>
      <c r="E71" s="37">
        <f t="shared" si="5"/>
        <v>12</v>
      </c>
      <c r="F71" s="37">
        <f t="shared" si="6"/>
        <v>6</v>
      </c>
      <c r="G71" s="37">
        <f t="shared" si="7"/>
        <v>1</v>
      </c>
      <c r="H71" s="37">
        <f t="shared" si="8"/>
        <v>12</v>
      </c>
      <c r="I71" s="37">
        <f t="shared" si="9"/>
        <v>2</v>
      </c>
      <c r="J71" s="37" t="str">
        <f t="shared" si="10"/>
        <v/>
      </c>
      <c r="K71" s="37" t="str">
        <f t="shared" si="11"/>
        <v/>
      </c>
      <c r="L71" s="37" t="str">
        <f t="shared" si="12"/>
        <v/>
      </c>
      <c r="M71" s="37" t="str">
        <f t="shared" si="13"/>
        <v/>
      </c>
      <c r="N71">
        <v>2</v>
      </c>
      <c r="O71" s="31" t="s">
        <v>1207</v>
      </c>
      <c r="P71">
        <v>360</v>
      </c>
      <c r="Q71">
        <v>30</v>
      </c>
      <c r="R71">
        <v>60</v>
      </c>
      <c r="V71">
        <v>25</v>
      </c>
      <c r="W71">
        <f t="shared" si="15"/>
        <v>0.5</v>
      </c>
      <c r="X71" s="37" t="s">
        <v>1208</v>
      </c>
      <c r="AA71" t="str">
        <f t="shared" si="16"/>
        <v>[FBB8F8]10%機率對目標造成130%光屬性傷害但有機率同時傷害到友軍，冷卻20秒[-]</v>
      </c>
      <c r="AB71" t="s">
        <v>1209</v>
      </c>
    </row>
    <row r="72" spans="4:28">
      <c r="D72" s="37" t="str">
        <f t="shared" si="4"/>
        <v/>
      </c>
      <c r="E72" s="37" t="str">
        <f t="shared" si="5"/>
        <v/>
      </c>
      <c r="F72" s="37">
        <f t="shared" si="6"/>
        <v>41</v>
      </c>
      <c r="G72" s="37">
        <f t="shared" si="7"/>
        <v>6.83</v>
      </c>
      <c r="H72" s="37" t="str">
        <f t="shared" si="8"/>
        <v/>
      </c>
      <c r="I72" s="37" t="str">
        <f t="shared" si="9"/>
        <v/>
      </c>
      <c r="J72" s="37" t="str">
        <f t="shared" si="10"/>
        <v/>
      </c>
      <c r="K72" s="37" t="str">
        <f t="shared" si="11"/>
        <v/>
      </c>
      <c r="L72" s="37" t="str">
        <f t="shared" si="12"/>
        <v/>
      </c>
      <c r="M72" s="37">
        <f t="shared" si="13"/>
        <v>0.02</v>
      </c>
      <c r="N72">
        <v>1</v>
      </c>
      <c r="O72" s="33" t="s">
        <v>141</v>
      </c>
      <c r="Q72">
        <v>205</v>
      </c>
      <c r="U72">
        <v>0.02</v>
      </c>
      <c r="V72">
        <v>25</v>
      </c>
      <c r="W72">
        <f t="shared" si="15"/>
        <v>1</v>
      </c>
      <c r="X72" s="37" t="s">
        <v>1210</v>
      </c>
      <c r="AA72" t="str">
        <f t="shared" si="16"/>
        <v>[FBB8F8]10%機率擊退目標並造成110%火屬性傷害，冷卻20秒[-]</v>
      </c>
      <c r="AB72" t="s">
        <v>137</v>
      </c>
    </row>
    <row r="73" spans="4:28">
      <c r="D73" s="37">
        <f t="shared" si="4"/>
        <v>300</v>
      </c>
      <c r="E73" s="37">
        <f t="shared" si="5"/>
        <v>50</v>
      </c>
      <c r="F73" s="37" t="str">
        <f t="shared" si="6"/>
        <v/>
      </c>
      <c r="G73" s="37" t="str">
        <f t="shared" si="7"/>
        <v/>
      </c>
      <c r="H73" s="37">
        <f t="shared" si="8"/>
        <v>36</v>
      </c>
      <c r="I73" s="37">
        <f t="shared" si="9"/>
        <v>6</v>
      </c>
      <c r="J73" s="37" t="str">
        <f t="shared" si="10"/>
        <v/>
      </c>
      <c r="K73" s="37" t="str">
        <f t="shared" si="11"/>
        <v/>
      </c>
      <c r="L73" s="37" t="str">
        <f t="shared" si="12"/>
        <v/>
      </c>
      <c r="M73" s="37" t="str">
        <f t="shared" si="13"/>
        <v/>
      </c>
      <c r="N73">
        <v>1</v>
      </c>
      <c r="O73" s="32" t="s">
        <v>95</v>
      </c>
      <c r="P73">
        <v>1500</v>
      </c>
      <c r="R73">
        <v>180</v>
      </c>
      <c r="V73">
        <v>25</v>
      </c>
      <c r="W73">
        <f t="shared" si="15"/>
        <v>1</v>
      </c>
      <c r="X73" s="37" t="s">
        <v>1211</v>
      </c>
      <c r="AA73" t="str">
        <f t="shared" si="16"/>
        <v>[FBB8F8]10%機率回復自身攻擊的100%血量並清除負面狀態，冷卻25秒[-]</v>
      </c>
      <c r="AB73" t="s">
        <v>134</v>
      </c>
    </row>
    <row r="74" spans="4:28">
      <c r="D74" s="37" t="str">
        <f t="shared" si="4"/>
        <v/>
      </c>
      <c r="E74" s="37" t="str">
        <f t="shared" si="5"/>
        <v/>
      </c>
      <c r="F74" s="37" t="str">
        <f t="shared" si="6"/>
        <v/>
      </c>
      <c r="G74" s="37" t="str">
        <f t="shared" si="7"/>
        <v/>
      </c>
      <c r="H74" s="37">
        <f t="shared" si="8"/>
        <v>24</v>
      </c>
      <c r="I74" s="37">
        <f t="shared" si="9"/>
        <v>4</v>
      </c>
      <c r="J74" s="37" t="str">
        <f t="shared" si="10"/>
        <v/>
      </c>
      <c r="K74" s="37" t="str">
        <f t="shared" si="11"/>
        <v/>
      </c>
      <c r="L74" s="37">
        <f t="shared" si="12"/>
        <v>30</v>
      </c>
      <c r="M74" s="37" t="str">
        <f t="shared" si="13"/>
        <v/>
      </c>
      <c r="N74">
        <v>1</v>
      </c>
      <c r="O74" s="32" t="s">
        <v>1212</v>
      </c>
      <c r="R74">
        <v>120</v>
      </c>
      <c r="T74">
        <v>30</v>
      </c>
      <c r="V74">
        <v>25</v>
      </c>
      <c r="W74">
        <f t="shared" si="15"/>
        <v>1</v>
      </c>
      <c r="X74" s="37" t="s">
        <v>1308</v>
      </c>
      <c r="AA74" t="str">
        <f t="shared" si="16"/>
        <v>[FBB8F8][騎士][戰士]限定，100%機率向前衝刺造成目標110%風屬性傷害並擊退且增加自身防禦10%持續3秒，冷卻30秒。[-]</v>
      </c>
      <c r="AB74" t="s">
        <v>63</v>
      </c>
    </row>
    <row r="75" spans="4:28">
      <c r="D75" s="37" t="str">
        <f t="shared" si="4"/>
        <v/>
      </c>
      <c r="E75" s="37" t="str">
        <f t="shared" si="5"/>
        <v/>
      </c>
      <c r="F75" s="37">
        <f t="shared" si="6"/>
        <v>31</v>
      </c>
      <c r="G75" s="37">
        <f t="shared" si="7"/>
        <v>5.17</v>
      </c>
      <c r="H75" s="37" t="str">
        <f t="shared" si="8"/>
        <v/>
      </c>
      <c r="I75" s="37" t="str">
        <f t="shared" si="9"/>
        <v/>
      </c>
      <c r="J75" s="37" t="str">
        <f t="shared" si="10"/>
        <v/>
      </c>
      <c r="K75" s="37" t="str">
        <f t="shared" si="11"/>
        <v/>
      </c>
      <c r="L75" s="37" t="str">
        <f t="shared" si="12"/>
        <v/>
      </c>
      <c r="M75" s="37">
        <f t="shared" si="13"/>
        <v>0.03</v>
      </c>
      <c r="N75">
        <v>1</v>
      </c>
      <c r="O75" s="33" t="s">
        <v>96</v>
      </c>
      <c r="Q75">
        <v>155</v>
      </c>
      <c r="U75">
        <v>0.03</v>
      </c>
      <c r="V75">
        <v>25</v>
      </c>
      <c r="W75">
        <f t="shared" si="15"/>
        <v>1</v>
      </c>
      <c r="X75" s="37" t="s">
        <v>1213</v>
      </c>
      <c r="AA75" t="str">
        <f t="shared" si="16"/>
        <v>[FBB8F8]10%機率對目標造成110%暗屬性傷害，同時暈眩敵人1秒並減少10%防禦維持5秒，冷卻25秒。[-]</v>
      </c>
      <c r="AB75" t="s">
        <v>1214</v>
      </c>
    </row>
    <row r="76" spans="4:28">
      <c r="D76" s="37" t="str">
        <f t="shared" si="4"/>
        <v/>
      </c>
      <c r="E76" s="37" t="str">
        <f t="shared" si="5"/>
        <v/>
      </c>
      <c r="F76" s="37">
        <f t="shared" si="6"/>
        <v>30</v>
      </c>
      <c r="G76" s="37">
        <f t="shared" si="7"/>
        <v>5</v>
      </c>
      <c r="H76" s="37">
        <f t="shared" si="8"/>
        <v>30</v>
      </c>
      <c r="I76" s="37">
        <f t="shared" si="9"/>
        <v>5</v>
      </c>
      <c r="J76" s="37" t="str">
        <f t="shared" si="10"/>
        <v/>
      </c>
      <c r="K76" s="37" t="str">
        <f t="shared" si="11"/>
        <v/>
      </c>
      <c r="L76" s="37" t="str">
        <f t="shared" si="12"/>
        <v/>
      </c>
      <c r="M76" s="37" t="str">
        <f t="shared" si="13"/>
        <v/>
      </c>
      <c r="N76">
        <v>1</v>
      </c>
      <c r="O76" s="33" t="s">
        <v>138</v>
      </c>
      <c r="Q76">
        <v>150</v>
      </c>
      <c r="R76">
        <v>150</v>
      </c>
      <c r="V76">
        <v>25</v>
      </c>
      <c r="W76">
        <f t="shared" si="15"/>
        <v>1</v>
      </c>
      <c r="X76" s="37" t="s">
        <v>1215</v>
      </c>
      <c r="AA76" t="str">
        <f t="shared" si="16"/>
        <v>[FBB8F8]10%機率對目標造成110%光屬性傷害，並自身獲得防禦提升15%，維持8秒，冷卻20秒。[-]</v>
      </c>
      <c r="AB76" t="s">
        <v>1216</v>
      </c>
    </row>
    <row r="77" spans="4:28">
      <c r="D77" s="37">
        <f t="shared" si="4"/>
        <v>372</v>
      </c>
      <c r="E77" s="37">
        <f t="shared" si="5"/>
        <v>62</v>
      </c>
      <c r="F77" s="37" t="str">
        <f t="shared" si="6"/>
        <v/>
      </c>
      <c r="G77" s="37" t="str">
        <f t="shared" si="7"/>
        <v/>
      </c>
      <c r="H77" s="37" t="str">
        <f t="shared" si="8"/>
        <v/>
      </c>
      <c r="I77" s="37" t="str">
        <f t="shared" si="9"/>
        <v/>
      </c>
      <c r="J77" s="37" t="str">
        <f t="shared" si="10"/>
        <v/>
      </c>
      <c r="K77" s="37" t="str">
        <f t="shared" si="11"/>
        <v/>
      </c>
      <c r="L77" s="37" t="str">
        <f t="shared" si="12"/>
        <v/>
      </c>
      <c r="M77" s="37" t="str">
        <f t="shared" si="13"/>
        <v/>
      </c>
      <c r="N77">
        <v>2</v>
      </c>
      <c r="O77" s="31" t="s">
        <v>97</v>
      </c>
      <c r="P77">
        <v>1860</v>
      </c>
      <c r="V77">
        <v>25</v>
      </c>
      <c r="W77">
        <f t="shared" si="15"/>
        <v>0.5</v>
      </c>
      <c r="X77" s="37" t="s">
        <v>1217</v>
      </c>
      <c r="AA77" t="str">
        <f t="shared" si="16"/>
        <v>[FBB8F8]10%機率對目標造成100%風屬性傷害，並使敵人沉默6秒，冷卻時間25秒。[-]</v>
      </c>
      <c r="AB77" t="s">
        <v>1188</v>
      </c>
    </row>
    <row r="78" spans="4:28">
      <c r="D78" s="37" t="str">
        <f t="shared" si="4"/>
        <v/>
      </c>
      <c r="E78" s="37" t="str">
        <f t="shared" si="5"/>
        <v/>
      </c>
      <c r="F78" s="37">
        <f t="shared" si="6"/>
        <v>41</v>
      </c>
      <c r="G78" s="37">
        <f t="shared" si="7"/>
        <v>6.83</v>
      </c>
      <c r="H78" s="37" t="str">
        <f t="shared" si="8"/>
        <v/>
      </c>
      <c r="I78" s="37" t="str">
        <f t="shared" si="9"/>
        <v/>
      </c>
      <c r="J78" s="37" t="str">
        <f t="shared" si="10"/>
        <v/>
      </c>
      <c r="K78" s="37" t="str">
        <f t="shared" si="11"/>
        <v/>
      </c>
      <c r="L78" s="37" t="str">
        <f t="shared" si="12"/>
        <v/>
      </c>
      <c r="M78" s="37">
        <f t="shared" si="13"/>
        <v>0.02</v>
      </c>
      <c r="N78">
        <v>1</v>
      </c>
      <c r="O78" s="33" t="s">
        <v>98</v>
      </c>
      <c r="Q78">
        <v>205</v>
      </c>
      <c r="U78">
        <v>0.02</v>
      </c>
      <c r="V78">
        <v>25</v>
      </c>
      <c r="W78">
        <f t="shared" si="15"/>
        <v>1</v>
      </c>
      <c r="X78" s="37" t="s">
        <v>1218</v>
      </c>
      <c r="AA78" t="str">
        <f t="shared" si="16"/>
        <v>[FBB8F8]10%機率對目標造成110%水屬性傷害，並使目標爆擊機率降低15%，持續8秒，冷卻25秒。[-]</v>
      </c>
      <c r="AB78" t="s">
        <v>135</v>
      </c>
    </row>
    <row r="79" spans="4:28">
      <c r="D79" s="37">
        <f t="shared" si="4"/>
        <v>200</v>
      </c>
      <c r="E79" s="37">
        <f t="shared" si="5"/>
        <v>33.33</v>
      </c>
      <c r="F79" s="37">
        <f t="shared" si="6"/>
        <v>30</v>
      </c>
      <c r="G79" s="37">
        <f t="shared" si="7"/>
        <v>5</v>
      </c>
      <c r="H79" s="37">
        <f t="shared" si="8"/>
        <v>14</v>
      </c>
      <c r="I79" s="37">
        <f t="shared" si="9"/>
        <v>2.33</v>
      </c>
      <c r="J79" s="37" t="str">
        <f t="shared" si="10"/>
        <v/>
      </c>
      <c r="K79" s="37" t="str">
        <f t="shared" si="11"/>
        <v/>
      </c>
      <c r="L79" s="37" t="str">
        <f t="shared" si="12"/>
        <v/>
      </c>
      <c r="M79" s="37" t="str">
        <f t="shared" si="13"/>
        <v/>
      </c>
      <c r="N79">
        <v>1</v>
      </c>
      <c r="O79" s="33" t="s">
        <v>99</v>
      </c>
      <c r="P79">
        <v>1000</v>
      </c>
      <c r="Q79">
        <v>150</v>
      </c>
      <c r="R79">
        <v>70</v>
      </c>
      <c r="V79">
        <v>25</v>
      </c>
      <c r="W79">
        <f t="shared" si="15"/>
        <v>1</v>
      </c>
      <c r="X79" s="37" t="s">
        <v>939</v>
      </c>
      <c r="AA79" t="str">
        <f t="shared" si="16"/>
        <v>[FBB8F8]10%機率對目標造成110%火屬性傷害並使目標魔力-10，冷卻20秒。[-]</v>
      </c>
      <c r="AB79" t="s">
        <v>64</v>
      </c>
    </row>
    <row r="80" spans="4:28">
      <c r="D80" s="37" t="str">
        <f t="shared" si="4"/>
        <v/>
      </c>
      <c r="E80" s="37" t="str">
        <f t="shared" si="5"/>
        <v/>
      </c>
      <c r="F80" s="37">
        <f t="shared" si="6"/>
        <v>30</v>
      </c>
      <c r="G80" s="37">
        <f t="shared" si="7"/>
        <v>5</v>
      </c>
      <c r="H80" s="37">
        <f t="shared" si="8"/>
        <v>21</v>
      </c>
      <c r="I80" s="37">
        <f t="shared" si="9"/>
        <v>3.43</v>
      </c>
      <c r="J80" s="37" t="str">
        <f t="shared" si="10"/>
        <v/>
      </c>
      <c r="K80" s="37" t="str">
        <f t="shared" si="11"/>
        <v/>
      </c>
      <c r="L80" s="37" t="str">
        <f t="shared" si="12"/>
        <v/>
      </c>
      <c r="M80" s="37">
        <f t="shared" si="13"/>
        <v>0.01</v>
      </c>
      <c r="N80">
        <v>1</v>
      </c>
      <c r="O80" s="33" t="s">
        <v>100</v>
      </c>
      <c r="Q80">
        <v>150</v>
      </c>
      <c r="R80">
        <v>103</v>
      </c>
      <c r="U80">
        <v>0.01</v>
      </c>
      <c r="V80">
        <v>25</v>
      </c>
      <c r="W80">
        <f t="shared" si="15"/>
        <v>1</v>
      </c>
      <c r="X80" s="37" t="s">
        <v>938</v>
      </c>
      <c r="AA80" t="str">
        <f t="shared" si="16"/>
        <v>[FBB8F8]10%機率造成目標115%暗屬性傷害，並持續扣血1%，持續3秒，冷卻20秒。[-]</v>
      </c>
      <c r="AB80" t="s">
        <v>65</v>
      </c>
    </row>
    <row r="81" spans="4:28">
      <c r="D81" s="37" t="str">
        <f t="shared" si="4"/>
        <v/>
      </c>
      <c r="E81" s="37" t="str">
        <f t="shared" si="5"/>
        <v/>
      </c>
      <c r="F81" s="37" t="str">
        <f t="shared" si="6"/>
        <v/>
      </c>
      <c r="G81" s="37" t="str">
        <f t="shared" si="7"/>
        <v/>
      </c>
      <c r="H81" s="37">
        <f t="shared" si="8"/>
        <v>30</v>
      </c>
      <c r="I81" s="37">
        <f t="shared" si="9"/>
        <v>5</v>
      </c>
      <c r="J81" s="37" t="str">
        <f t="shared" si="10"/>
        <v/>
      </c>
      <c r="K81" s="37" t="str">
        <f t="shared" si="11"/>
        <v/>
      </c>
      <c r="L81" s="37" t="str">
        <f t="shared" si="12"/>
        <v/>
      </c>
      <c r="M81" s="37" t="str">
        <f t="shared" si="13"/>
        <v/>
      </c>
      <c r="N81">
        <v>2</v>
      </c>
      <c r="O81" s="31" t="s">
        <v>101</v>
      </c>
      <c r="R81">
        <v>150</v>
      </c>
      <c r="V81">
        <v>25</v>
      </c>
      <c r="W81">
        <f t="shared" si="15"/>
        <v>0.5</v>
      </c>
      <c r="X81" s="37" t="s">
        <v>1219</v>
      </c>
      <c r="AA81" t="str">
        <f t="shared" si="16"/>
        <v>[FBB8F8]100%機率造成目標50%風屬性傷害，並降低目標傷害30%，持續5秒(目標靠近時發動)。冷卻25秒。[-]</v>
      </c>
      <c r="AB81" t="s">
        <v>40</v>
      </c>
    </row>
    <row r="82" spans="4:28">
      <c r="D82" s="37"/>
      <c r="E82" s="37"/>
      <c r="F82" s="37"/>
      <c r="G82" s="37"/>
      <c r="H82" s="37"/>
      <c r="I82" s="37"/>
      <c r="J82" s="37"/>
      <c r="K82" s="37"/>
      <c r="L82" s="37"/>
      <c r="M82" s="37"/>
      <c r="N82" s="23" t="s">
        <v>1136</v>
      </c>
      <c r="X82" s="37"/>
    </row>
    <row r="83" spans="4:28">
      <c r="D83" s="37" t="str">
        <f t="shared" ref="D83" si="17">IF(P83*$A$32=0,"",ROUND(P83*$A$32,0))</f>
        <v/>
      </c>
      <c r="E83" s="37" t="str">
        <f t="shared" ref="E83" si="18">IF(P83*$A$34/($V83-1)=0,"",ROUND(P83*$A$34/($V83-1),2))</f>
        <v/>
      </c>
      <c r="F83" s="37">
        <f t="shared" ref="F83" si="19">IF(Q83*$A$32=0,"",ROUND(Q83*$A$32,0))</f>
        <v>46</v>
      </c>
      <c r="G83" s="37">
        <f t="shared" ref="G83" si="20">IF(Q83*$A$34/($V83-1)=0,"",ROUND(Q83*$A$34/($V83-1),2))</f>
        <v>7.6</v>
      </c>
      <c r="H83" s="37" t="str">
        <f t="shared" ref="H83" si="21">IF(R83*$A$32=0,"",ROUND(R83*$A$32,0))</f>
        <v/>
      </c>
      <c r="I83" s="37" t="str">
        <f t="shared" ref="I83" si="22">IF(R83*$A$34/($V83-1)=0,"",ROUND(R83*$A$34/($V83-1),2))</f>
        <v/>
      </c>
      <c r="J83" s="37" t="str">
        <f t="shared" ref="J83" si="23">IF(S83*$A$32=0,"",ROUND(S83*$A$32,0))</f>
        <v/>
      </c>
      <c r="K83" s="37" t="str">
        <f t="shared" ref="K83" si="24">IF(S83*$A$34/($V83-1)=0,"",ROUND(S83*$A$34/($V83-1),2))</f>
        <v/>
      </c>
      <c r="L83" s="37" t="str">
        <f t="shared" ref="L83" si="25">IF(T83=0,"",ROUND(T83,0))</f>
        <v/>
      </c>
      <c r="M83" s="37">
        <f t="shared" ref="M83" si="26">IF(U83=0,"",ROUND(U83,3))</f>
        <v>0.02</v>
      </c>
      <c r="N83">
        <v>1</v>
      </c>
      <c r="O83" s="33" t="s">
        <v>1303</v>
      </c>
      <c r="Q83">
        <v>228</v>
      </c>
      <c r="U83">
        <v>0.02</v>
      </c>
      <c r="V83">
        <v>25</v>
      </c>
      <c r="W83">
        <f t="shared" ref="W83:W94" si="27">IF(P83/D$17+Q83*N83/E$17+R83/F$17+T83/H$17+U83*N83/I$17=0,"",ROUND(P83/D$17+Q83*N83/E$17+R83/F$17+T83/H$17+U83*N83/I$17,2))</f>
        <v>1</v>
      </c>
      <c r="X83" s="30" t="s">
        <v>1338</v>
      </c>
      <c r="AA83" t="str">
        <f t="shared" ref="AA83" si="28">"[FBB8F8]"&amp;X83&amp;"[-]"</f>
        <v>[FBB8F8][騎士][戰士]限定，10%機率造成目標110%火屬性傷害並持續扣血1%+300，持續3秒，冷卻20秒[-]</v>
      </c>
      <c r="AB83" s="30" t="s">
        <v>1321</v>
      </c>
    </row>
    <row r="84" spans="4:28">
      <c r="D84" s="37">
        <f t="shared" ref="D84:D86" si="29">IF(P84*$A$32=0,"",ROUND(P84*$A$32,0))</f>
        <v>316</v>
      </c>
      <c r="E84" s="37">
        <f t="shared" ref="E84:E86" si="30">IF(P84*$A$34/($V84-1)=0,"",ROUND(P84*$A$34/($V84-1),2))</f>
        <v>52.67</v>
      </c>
      <c r="F84" s="37">
        <f t="shared" ref="F84:F86" si="31">IF(Q84*$A$32=0,"",ROUND(Q84*$A$32,0))</f>
        <v>30</v>
      </c>
      <c r="G84" s="37">
        <f t="shared" ref="G84:G86" si="32">IF(Q84*$A$34/($V84-1)=0,"",ROUND(Q84*$A$34/($V84-1),2))</f>
        <v>5</v>
      </c>
      <c r="H84" s="37" t="str">
        <f t="shared" ref="H84:H86" si="33">IF(R84*$A$32=0,"",ROUND(R84*$A$32,0))</f>
        <v/>
      </c>
      <c r="I84" s="37" t="str">
        <f t="shared" ref="I84:I86" si="34">IF(R84*$A$34/($V84-1)=0,"",ROUND(R84*$A$34/($V84-1),2))</f>
        <v/>
      </c>
      <c r="J84" s="37" t="str">
        <f t="shared" ref="J84:J86" si="35">IF(S84*$A$32=0,"",ROUND(S84*$A$32,0))</f>
        <v/>
      </c>
      <c r="K84" s="37" t="str">
        <f t="shared" ref="K84:K86" si="36">IF(S84*$A$34/($V84-1)=0,"",ROUND(S84*$A$34/($V84-1),2))</f>
        <v/>
      </c>
      <c r="L84" s="37" t="str">
        <f t="shared" ref="L84:L86" si="37">IF(T84=0,"",ROUND(T84,0))</f>
        <v/>
      </c>
      <c r="M84" s="37">
        <f t="shared" ref="M84:M86" si="38">IF(U84=0,"",ROUND(U84,3))</f>
        <v>0.01</v>
      </c>
      <c r="N84">
        <v>1</v>
      </c>
      <c r="O84" s="33" t="s">
        <v>1304</v>
      </c>
      <c r="P84">
        <v>1580</v>
      </c>
      <c r="Q84">
        <v>150</v>
      </c>
      <c r="U84">
        <v>0.01</v>
      </c>
      <c r="V84">
        <v>25</v>
      </c>
      <c r="W84">
        <f t="shared" si="27"/>
        <v>1</v>
      </c>
      <c r="X84" s="30" t="s">
        <v>1339</v>
      </c>
      <c r="AA84" t="str">
        <f t="shared" ref="AA84:AA85" si="39">"[FBB8F8]"&amp;X84&amp;"[-]"</f>
        <v>[FBB8F8][騎士][戰士]限定，10%機率回復自身攻擊200%的血量並清除負面狀態，冷卻25秒[-]</v>
      </c>
      <c r="AB84" s="30" t="s">
        <v>1322</v>
      </c>
    </row>
    <row r="85" spans="4:28">
      <c r="D85" s="37">
        <f t="shared" si="29"/>
        <v>300</v>
      </c>
      <c r="E85" s="37">
        <f t="shared" si="30"/>
        <v>50</v>
      </c>
      <c r="F85" s="37">
        <f t="shared" si="31"/>
        <v>35</v>
      </c>
      <c r="G85" s="37">
        <f t="shared" si="32"/>
        <v>5.83</v>
      </c>
      <c r="H85" s="37">
        <f t="shared" si="33"/>
        <v>6</v>
      </c>
      <c r="I85" s="37">
        <f t="shared" si="34"/>
        <v>1</v>
      </c>
      <c r="J85" s="37" t="str">
        <f t="shared" si="35"/>
        <v/>
      </c>
      <c r="K85" s="37" t="str">
        <f t="shared" si="36"/>
        <v/>
      </c>
      <c r="L85" s="37" t="str">
        <f t="shared" si="37"/>
        <v/>
      </c>
      <c r="M85" s="37" t="str">
        <f t="shared" si="38"/>
        <v/>
      </c>
      <c r="N85">
        <v>1</v>
      </c>
      <c r="O85" s="33" t="s">
        <v>1311</v>
      </c>
      <c r="P85">
        <v>1500</v>
      </c>
      <c r="Q85">
        <v>175</v>
      </c>
      <c r="R85">
        <v>30</v>
      </c>
      <c r="V85">
        <v>25</v>
      </c>
      <c r="W85">
        <f t="shared" si="27"/>
        <v>1</v>
      </c>
      <c r="X85" s="30" t="s">
        <v>1340</v>
      </c>
      <c r="AA85" t="str">
        <f t="shared" si="39"/>
        <v>[FBB8F8][弓手][法師]限定， 20%機率造成100%光屬性傷害並定身敵方持續3秒(靠近敵方時發動)，自身向後逃跑，冷卻25秒。[-]</v>
      </c>
      <c r="AB85" s="30" t="s">
        <v>1323</v>
      </c>
    </row>
    <row r="86" spans="4:28">
      <c r="D86" s="37">
        <f t="shared" si="29"/>
        <v>400</v>
      </c>
      <c r="E86" s="37">
        <f t="shared" si="30"/>
        <v>66.67</v>
      </c>
      <c r="F86" s="37" t="str">
        <f t="shared" si="31"/>
        <v/>
      </c>
      <c r="G86" s="37" t="str">
        <f t="shared" si="32"/>
        <v/>
      </c>
      <c r="H86" s="37">
        <f t="shared" si="33"/>
        <v>23</v>
      </c>
      <c r="I86" s="37">
        <f t="shared" si="34"/>
        <v>3.83</v>
      </c>
      <c r="J86" s="37" t="str">
        <f t="shared" si="35"/>
        <v/>
      </c>
      <c r="K86" s="37" t="str">
        <f t="shared" si="36"/>
        <v/>
      </c>
      <c r="L86" s="37" t="str">
        <f t="shared" si="37"/>
        <v/>
      </c>
      <c r="M86" s="37">
        <f t="shared" si="38"/>
        <v>0.01</v>
      </c>
      <c r="N86">
        <v>1</v>
      </c>
      <c r="O86" s="32" t="s">
        <v>1305</v>
      </c>
      <c r="P86">
        <v>2000</v>
      </c>
      <c r="R86">
        <v>115</v>
      </c>
      <c r="U86">
        <v>0.01</v>
      </c>
      <c r="V86">
        <v>25</v>
      </c>
      <c r="W86">
        <f t="shared" si="27"/>
        <v>1</v>
      </c>
      <c r="X86" s="30" t="s">
        <v>1335</v>
      </c>
      <c r="AA86" t="str">
        <f>"[FBB8F8]"&amp;X86&amp;"[-]"</f>
        <v>[FBB8F8][騎士][戰士]限定，10%機率回復自身攻擊100%並嘲諷周圍敵人，持續5秒，冷卻30秒。 [-]</v>
      </c>
      <c r="AB86" s="30" t="s">
        <v>1324</v>
      </c>
    </row>
    <row r="87" spans="4:28">
      <c r="D87" s="37">
        <f t="shared" ref="D87" si="40">IF(P87*$A$32=0,"",ROUND(P87*$A$32,0))</f>
        <v>586</v>
      </c>
      <c r="E87" s="37">
        <f t="shared" ref="E87" si="41">IF(P87*$A$34/($V87-1)=0,"",ROUND(P87*$A$34/($V87-1),2))</f>
        <v>97.67</v>
      </c>
      <c r="F87" s="37" t="str">
        <f t="shared" ref="F87" si="42">IF(Q87*$A$32=0,"",ROUND(Q87*$A$32,0))</f>
        <v/>
      </c>
      <c r="G87" s="37" t="str">
        <f t="shared" ref="G87" si="43">IF(Q87*$A$34/($V87-1)=0,"",ROUND(Q87*$A$34/($V87-1),2))</f>
        <v/>
      </c>
      <c r="H87" s="37">
        <f t="shared" ref="H87" si="44">IF(R87*$A$32=0,"",ROUND(R87*$A$32,0))</f>
        <v>18</v>
      </c>
      <c r="I87" s="37">
        <f t="shared" ref="I87" si="45">IF(R87*$A$34/($V87-1)=0,"",ROUND(R87*$A$34/($V87-1),2))</f>
        <v>3</v>
      </c>
      <c r="J87" s="37" t="str">
        <f t="shared" ref="J87" si="46">IF(S87*$A$32=0,"",ROUND(S87*$A$32,0))</f>
        <v/>
      </c>
      <c r="K87" s="37" t="str">
        <f t="shared" ref="K87:K88" si="47">IF(S87*$A$34/($V87-1)=0,"",ROUND(S87*$A$34/($V87-1),2))</f>
        <v/>
      </c>
      <c r="L87" s="37" t="str">
        <f t="shared" ref="L87" si="48">IF(T87=0,"",ROUND(T87,0))</f>
        <v/>
      </c>
      <c r="M87" s="37" t="str">
        <f t="shared" ref="M87" si="49">IF(U87=0,"",ROUND(U87,3))</f>
        <v/>
      </c>
      <c r="N87">
        <v>1</v>
      </c>
      <c r="O87" s="32" t="s">
        <v>1310</v>
      </c>
      <c r="P87">
        <v>2930</v>
      </c>
      <c r="R87">
        <v>90</v>
      </c>
      <c r="V87">
        <v>25</v>
      </c>
      <c r="W87">
        <f t="shared" si="27"/>
        <v>1</v>
      </c>
      <c r="X87" s="30" t="s">
        <v>1317</v>
      </c>
      <c r="AA87" t="str">
        <f>"[FBB8F8]"&amp;X87&amp;"[-]"</f>
        <v>[FBB8F8]提升自身生命1000，每秒回復20生命。[-]</v>
      </c>
      <c r="AB87" s="30" t="s">
        <v>1325</v>
      </c>
    </row>
    <row r="88" spans="4:28">
      <c r="D88" s="37">
        <f t="shared" ref="D88:D89" si="50">IF(P88*$A$32=0,"",ROUND(P88*$A$32,0))</f>
        <v>500</v>
      </c>
      <c r="E88" s="37">
        <f t="shared" ref="E88:E89" si="51">IF(P88*$A$34/($V88-1)=0,"",ROUND(P88*$A$34/($V88-1),2))</f>
        <v>83.33</v>
      </c>
      <c r="F88" s="37" t="str">
        <f t="shared" ref="F88:F89" si="52">IF(Q88*$A$32=0,"",ROUND(Q88*$A$32,0))</f>
        <v/>
      </c>
      <c r="G88" s="37" t="str">
        <f t="shared" ref="G88:G89" si="53">IF(Q88*$A$34/($V88-1)=0,"",ROUND(Q88*$A$34/($V88-1),2))</f>
        <v/>
      </c>
      <c r="H88" s="37">
        <f t="shared" ref="H88:H89" si="54">IF(R88*$A$32=0,"",ROUND(R88*$A$32,0))</f>
        <v>25</v>
      </c>
      <c r="I88" s="37">
        <f t="shared" ref="I88:I89" si="55">IF(R88*$A$34/($V88-1)=0,"",ROUND(R88*$A$34/($V88-1),2))</f>
        <v>4.17</v>
      </c>
      <c r="J88" s="37" t="str">
        <f t="shared" ref="J88:J89" si="56">IF(S88*$A$32=0,"",ROUND(S88*$A$32,0))</f>
        <v/>
      </c>
      <c r="K88" s="37" t="str">
        <f t="shared" si="47"/>
        <v/>
      </c>
      <c r="L88" s="37" t="str">
        <f t="shared" ref="L88:L89" si="57">IF(T88=0,"",ROUND(T88,0))</f>
        <v/>
      </c>
      <c r="M88" s="37" t="str">
        <f t="shared" ref="M88:M89" si="58">IF(U88=0,"",ROUND(U88,3))</f>
        <v/>
      </c>
      <c r="N88">
        <v>1</v>
      </c>
      <c r="O88" s="32" t="s">
        <v>1309</v>
      </c>
      <c r="P88">
        <v>2500</v>
      </c>
      <c r="R88">
        <v>125</v>
      </c>
      <c r="V88">
        <v>25</v>
      </c>
      <c r="W88">
        <f t="shared" si="27"/>
        <v>1</v>
      </c>
      <c r="X88" s="30" t="s">
        <v>1343</v>
      </c>
      <c r="AA88" t="str">
        <f>"[FBB8F8]"&amp;X88&amp;"[-]"</f>
        <v>[FBB8F8]被攻擊有20%會回復自身1%+200血量。(不得疊加)[-]</v>
      </c>
      <c r="AB88" s="30" t="s">
        <v>1326</v>
      </c>
    </row>
    <row r="89" spans="4:28">
      <c r="D89" s="37">
        <f t="shared" si="50"/>
        <v>58</v>
      </c>
      <c r="E89" s="37">
        <f t="shared" si="51"/>
        <v>9.67</v>
      </c>
      <c r="F89" s="37">
        <f t="shared" si="52"/>
        <v>10</v>
      </c>
      <c r="G89" s="37">
        <f t="shared" si="53"/>
        <v>1.67</v>
      </c>
      <c r="H89" s="37">
        <f t="shared" si="54"/>
        <v>8</v>
      </c>
      <c r="I89" s="37">
        <f t="shared" si="55"/>
        <v>1.33</v>
      </c>
      <c r="J89" s="37" t="str">
        <f t="shared" si="56"/>
        <v/>
      </c>
      <c r="K89" s="37" t="str">
        <f t="shared" ref="K89" si="59">IF(S89*$A$34/($V89-1)=0,"",ROUND(S89*$A$34/($V89-1),2))</f>
        <v/>
      </c>
      <c r="L89" s="37" t="str">
        <f t="shared" si="57"/>
        <v/>
      </c>
      <c r="M89" s="37" t="str">
        <f t="shared" si="58"/>
        <v/>
      </c>
      <c r="N89">
        <v>2</v>
      </c>
      <c r="O89" s="31" t="s">
        <v>1312</v>
      </c>
      <c r="P89">
        <v>290</v>
      </c>
      <c r="Q89">
        <v>50</v>
      </c>
      <c r="R89">
        <v>40</v>
      </c>
      <c r="V89">
        <v>25</v>
      </c>
      <c r="W89">
        <f t="shared" si="27"/>
        <v>0.5</v>
      </c>
      <c r="X89" s="30" t="s">
        <v>1342</v>
      </c>
      <c r="AA89" t="str">
        <f t="shared" ref="AA89" si="60">"[FBB8F8]"&amp;X89&amp;"[-]"</f>
        <v>[FBB8F8]10%機率造成100%暗屬性傷害並提升我方全體攻擊力10%，持續5秒，冷卻25秒。 (不得疊加)[-]</v>
      </c>
      <c r="AB89" s="30" t="s">
        <v>1327</v>
      </c>
    </row>
    <row r="90" spans="4:28">
      <c r="D90" s="37">
        <f t="shared" ref="D90" si="61">IF(P90*$A$32=0,"",ROUND(P90*$A$32,0))</f>
        <v>96</v>
      </c>
      <c r="E90" s="37">
        <f t="shared" ref="E90" si="62">IF(P90*$A$34/($V90-1)=0,"",ROUND(P90*$A$34/($V90-1),2))</f>
        <v>16</v>
      </c>
      <c r="F90" s="37">
        <f t="shared" ref="F90" si="63">IF(Q90*$A$32=0,"",ROUND(Q90*$A$32,0))</f>
        <v>10</v>
      </c>
      <c r="G90" s="37">
        <f t="shared" ref="G90" si="64">IF(Q90*$A$34/($V90-1)=0,"",ROUND(Q90*$A$34/($V90-1),2))</f>
        <v>1.67</v>
      </c>
      <c r="H90" s="37">
        <f t="shared" ref="H90" si="65">IF(R90*$A$32=0,"",ROUND(R90*$A$32,0))</f>
        <v>5</v>
      </c>
      <c r="I90" s="37">
        <f t="shared" ref="I90" si="66">IF(R90*$A$34/($V90-1)=0,"",ROUND(R90*$A$34/($V90-1),2))</f>
        <v>0.83</v>
      </c>
      <c r="J90" s="37" t="str">
        <f t="shared" ref="J90" si="67">IF(S90*$A$32=0,"",ROUND(S90*$A$32,0))</f>
        <v/>
      </c>
      <c r="K90" s="37" t="str">
        <f t="shared" ref="K90" si="68">IF(S90*$A$34/($V90-1)=0,"",ROUND(S90*$A$34/($V90-1),2))</f>
        <v/>
      </c>
      <c r="L90" s="37" t="str">
        <f t="shared" ref="L90" si="69">IF(T90=0,"",ROUND(T90,0))</f>
        <v/>
      </c>
      <c r="M90" s="37" t="str">
        <f t="shared" ref="M90" si="70">IF(U90=0,"",ROUND(U90,3))</f>
        <v/>
      </c>
      <c r="N90">
        <v>2</v>
      </c>
      <c r="O90" s="31" t="s">
        <v>1306</v>
      </c>
      <c r="P90">
        <v>480</v>
      </c>
      <c r="Q90">
        <v>50</v>
      </c>
      <c r="R90">
        <v>25</v>
      </c>
      <c r="V90">
        <v>25</v>
      </c>
      <c r="W90">
        <f t="shared" si="27"/>
        <v>0.5</v>
      </c>
      <c r="X90" s="30" t="s">
        <v>1341</v>
      </c>
      <c r="AA90" t="str">
        <f t="shared" ref="AA90" si="71">"[FBB8F8]"&amp;X90&amp;"[-]"</f>
        <v>[FBB8F8]10%機率擊造成120%火屬性傷害並清除自身與目標正面狀態，冷卻20秒。[-]</v>
      </c>
      <c r="AB90" s="30" t="s">
        <v>1328</v>
      </c>
    </row>
    <row r="91" spans="4:28">
      <c r="D91" s="37">
        <f t="shared" ref="D91" si="72">IF(P91*$A$32=0,"",ROUND(P91*$A$32,0))</f>
        <v>406</v>
      </c>
      <c r="E91" s="37">
        <f t="shared" ref="E91" si="73">IF(P91*$A$34/($V91-1)=0,"",ROUND(P91*$A$34/($V91-1),2))</f>
        <v>67.67</v>
      </c>
      <c r="F91" s="37" t="str">
        <f t="shared" ref="F91" si="74">IF(Q91*$A$32=0,"",ROUND(Q91*$A$32,0))</f>
        <v/>
      </c>
      <c r="G91" s="37" t="str">
        <f t="shared" ref="G91" si="75">IF(Q91*$A$34/($V91-1)=0,"",ROUND(Q91*$A$34/($V91-1),2))</f>
        <v/>
      </c>
      <c r="H91" s="37" t="str">
        <f t="shared" ref="H91" si="76">IF(R91*$A$32=0,"",ROUND(R91*$A$32,0))</f>
        <v/>
      </c>
      <c r="I91" s="37" t="str">
        <f t="shared" ref="I91" si="77">IF(R91*$A$34/($V91-1)=0,"",ROUND(R91*$A$34/($V91-1),2))</f>
        <v/>
      </c>
      <c r="J91" s="37" t="str">
        <f t="shared" ref="J91" si="78">IF(S91*$A$32=0,"",ROUND(S91*$A$32,0))</f>
        <v/>
      </c>
      <c r="K91" s="37" t="str">
        <f t="shared" ref="K91" si="79">IF(S91*$A$34/($V91-1)=0,"",ROUND(S91*$A$34/($V91-1),2))</f>
        <v/>
      </c>
      <c r="L91" s="37" t="str">
        <f t="shared" ref="L91" si="80">IF(T91=0,"",ROUND(T91,0))</f>
        <v/>
      </c>
      <c r="M91" s="37" t="str">
        <f t="shared" ref="M91" si="81">IF(U91=0,"",ROUND(U91,3))</f>
        <v/>
      </c>
      <c r="N91">
        <v>2</v>
      </c>
      <c r="O91" s="31" t="s">
        <v>1307</v>
      </c>
      <c r="P91">
        <v>2030</v>
      </c>
      <c r="V91">
        <v>25</v>
      </c>
      <c r="W91">
        <f t="shared" si="27"/>
        <v>0.5</v>
      </c>
      <c r="X91" s="30" t="s">
        <v>1336</v>
      </c>
      <c r="AA91" t="str">
        <f t="shared" ref="AA91" si="82">"[FBB8F8]"&amp;X91&amp;"[-]"</f>
        <v>[FBB8F8]30%暈眩狀抗性[-]</v>
      </c>
      <c r="AB91" s="30" t="s">
        <v>1329</v>
      </c>
    </row>
    <row r="92" spans="4:28">
      <c r="D92" s="37">
        <f t="shared" ref="D92:D93" si="83">IF(P92*$A$32=0,"",ROUND(P92*$A$32,0))</f>
        <v>126</v>
      </c>
      <c r="E92" s="37">
        <f t="shared" ref="E92:E93" si="84">IF(P92*$A$34/($V92-1)=0,"",ROUND(P92*$A$34/($V92-1),2))</f>
        <v>21</v>
      </c>
      <c r="F92" s="37" t="str">
        <f t="shared" ref="F92:F93" si="85">IF(Q92*$A$32=0,"",ROUND(Q92*$A$32,0))</f>
        <v/>
      </c>
      <c r="G92" s="37" t="str">
        <f t="shared" ref="G92:G93" si="86">IF(Q92*$A$34/($V92-1)=0,"",ROUND(Q92*$A$34/($V92-1),2))</f>
        <v/>
      </c>
      <c r="H92" s="37">
        <f t="shared" ref="H92:H93" si="87">IF(R92*$A$32=0,"",ROUND(R92*$A$32,0))</f>
        <v>22</v>
      </c>
      <c r="I92" s="37">
        <f t="shared" ref="I92:I93" si="88">IF(R92*$A$34/($V92-1)=0,"",ROUND(R92*$A$34/($V92-1),2))</f>
        <v>3.67</v>
      </c>
      <c r="J92" s="37" t="str">
        <f t="shared" ref="J92:J93" si="89">IF(S92*$A$32=0,"",ROUND(S92*$A$32,0))</f>
        <v/>
      </c>
      <c r="K92" s="37" t="str">
        <f t="shared" ref="K92:K93" si="90">IF(S92*$A$34/($V92-1)=0,"",ROUND(S92*$A$34/($V92-1),2))</f>
        <v/>
      </c>
      <c r="L92" s="37" t="str">
        <f t="shared" ref="L92:L93" si="91">IF(T92=0,"",ROUND(T92,0))</f>
        <v/>
      </c>
      <c r="M92" s="37" t="str">
        <f t="shared" ref="M92:M93" si="92">IF(U92=0,"",ROUND(U92,3))</f>
        <v/>
      </c>
      <c r="N92">
        <v>2</v>
      </c>
      <c r="O92" s="31" t="s">
        <v>1320</v>
      </c>
      <c r="P92">
        <v>630</v>
      </c>
      <c r="R92">
        <v>110</v>
      </c>
      <c r="V92">
        <v>25</v>
      </c>
      <c r="W92">
        <f t="shared" si="27"/>
        <v>0.5</v>
      </c>
      <c r="X92" s="30" t="s">
        <v>1337</v>
      </c>
      <c r="AA92" t="str">
        <f t="shared" ref="AA92:AA93" si="93">"[FBB8F8]"&amp;X92&amp;"[-]"</f>
        <v>[FBB8F8]10%機率自身扣血2%並賦予我方全體1000護盾持續20秒，冷卻30秒(無法疊加)。[-]</v>
      </c>
      <c r="AB92" s="30" t="s">
        <v>1330</v>
      </c>
    </row>
    <row r="93" spans="4:28">
      <c r="D93" s="37">
        <f t="shared" si="83"/>
        <v>254</v>
      </c>
      <c r="E93" s="37">
        <f t="shared" si="84"/>
        <v>42.33</v>
      </c>
      <c r="F93" s="37" t="str">
        <f t="shared" si="85"/>
        <v/>
      </c>
      <c r="G93" s="37" t="str">
        <f t="shared" si="86"/>
        <v/>
      </c>
      <c r="H93" s="37">
        <f t="shared" si="87"/>
        <v>12</v>
      </c>
      <c r="I93" s="37">
        <f t="shared" si="88"/>
        <v>2</v>
      </c>
      <c r="J93" s="37" t="str">
        <f t="shared" si="89"/>
        <v/>
      </c>
      <c r="K93" s="37" t="str">
        <f t="shared" si="90"/>
        <v/>
      </c>
      <c r="L93" s="37" t="str">
        <f t="shared" si="91"/>
        <v/>
      </c>
      <c r="M93" s="37" t="str">
        <f t="shared" si="92"/>
        <v/>
      </c>
      <c r="N93">
        <v>2</v>
      </c>
      <c r="O93" s="31" t="s">
        <v>1313</v>
      </c>
      <c r="P93">
        <v>1270</v>
      </c>
      <c r="R93">
        <v>60</v>
      </c>
      <c r="V93">
        <v>25</v>
      </c>
      <c r="W93">
        <f t="shared" si="27"/>
        <v>0.5</v>
      </c>
      <c r="X93" s="30" t="s">
        <v>1333</v>
      </c>
      <c r="AA93" t="str">
        <f t="shared" si="93"/>
        <v>[FBB8F8]光屬性抗性提升10%+300[-]</v>
      </c>
      <c r="AB93" s="30" t="s">
        <v>1331</v>
      </c>
    </row>
    <row r="94" spans="4:28">
      <c r="D94" s="37" t="str">
        <f t="shared" ref="D94" si="94">IF(P94*$A$32=0,"",ROUND(P94*$A$32,0))</f>
        <v/>
      </c>
      <c r="E94" s="37" t="str">
        <f t="shared" ref="E94" si="95">IF(P94*$A$34/($V94-1)=0,"",ROUND(P94*$A$34/($V94-1),2))</f>
        <v/>
      </c>
      <c r="F94" s="37">
        <f t="shared" ref="F94" si="96">IF(Q94*$A$32=0,"",ROUND(Q94*$A$32,0))</f>
        <v>12</v>
      </c>
      <c r="G94" s="37">
        <f t="shared" ref="G94" si="97">IF(Q94*$A$34/($V94-1)=0,"",ROUND(Q94*$A$34/($V94-1),2))</f>
        <v>2</v>
      </c>
      <c r="H94" s="37">
        <f t="shared" ref="H94" si="98">IF(R94*$A$32=0,"",ROUND(R94*$A$32,0))</f>
        <v>9</v>
      </c>
      <c r="I94" s="37">
        <f t="shared" ref="I94" si="99">IF(R94*$A$34/($V94-1)=0,"",ROUND(R94*$A$34/($V94-1),2))</f>
        <v>1.43</v>
      </c>
      <c r="J94" s="37" t="str">
        <f t="shared" ref="J94" si="100">IF(S94*$A$32=0,"",ROUND(S94*$A$32,0))</f>
        <v/>
      </c>
      <c r="K94" s="37" t="str">
        <f t="shared" ref="K94" si="101">IF(S94*$A$34/($V94-1)=0,"",ROUND(S94*$A$34/($V94-1),2))</f>
        <v/>
      </c>
      <c r="L94" s="37" t="str">
        <f t="shared" ref="L94" si="102">IF(T94=0,"",ROUND(T94,0))</f>
        <v/>
      </c>
      <c r="M94" s="37" t="str">
        <f t="shared" ref="M94" si="103">IF(U94=0,"",ROUND(U94,3))</f>
        <v/>
      </c>
      <c r="N94">
        <v>2</v>
      </c>
      <c r="O94" s="31" t="s">
        <v>1318</v>
      </c>
      <c r="Q94">
        <v>60</v>
      </c>
      <c r="R94">
        <v>43</v>
      </c>
      <c r="V94">
        <v>25</v>
      </c>
      <c r="W94">
        <f t="shared" si="27"/>
        <v>0.5</v>
      </c>
      <c r="X94" s="30" t="s">
        <v>1334</v>
      </c>
      <c r="AA94" t="str">
        <f t="shared" ref="AA94" si="104">"[FBB8F8]"&amp;X94&amp;"[-]"</f>
        <v>[FBB8F8]10%機率造成100%暗屬性傷害並且沉默目標5秒，冷卻20秒。[-]</v>
      </c>
      <c r="AB94" s="30" t="s">
        <v>1332</v>
      </c>
    </row>
    <row r="95" spans="4:28">
      <c r="D95" s="37"/>
      <c r="E95" s="37"/>
      <c r="F95" s="37"/>
      <c r="G95" s="37"/>
      <c r="H95" s="37"/>
      <c r="I95" s="37"/>
      <c r="J95" s="37"/>
      <c r="K95" s="37"/>
      <c r="L95" s="37"/>
      <c r="M95" s="37"/>
      <c r="N95" s="23" t="s">
        <v>1138</v>
      </c>
      <c r="P95" s="101" t="s">
        <v>1125</v>
      </c>
      <c r="Q95" s="101" t="s">
        <v>1126</v>
      </c>
      <c r="R95" s="101" t="s">
        <v>1127</v>
      </c>
      <c r="S95" s="101" t="s">
        <v>1128</v>
      </c>
      <c r="T95" s="101" t="s">
        <v>1129</v>
      </c>
      <c r="U95" s="101" t="s">
        <v>1130</v>
      </c>
      <c r="V95" s="101" t="s">
        <v>1131</v>
      </c>
      <c r="W95" s="101" t="s">
        <v>1152</v>
      </c>
    </row>
    <row r="96" spans="4:28">
      <c r="D96" s="37">
        <f t="shared" ref="D96:D101" si="105">IF(P96*$A$32=0,"",ROUND(P96*$A$32,0))</f>
        <v>280</v>
      </c>
      <c r="E96" s="37">
        <f t="shared" ref="E96:E101" si="106">IF(P96*$A$34/($V96-1)=0,"",ROUND(P96*$A$34/($V96-1),2))</f>
        <v>46.67</v>
      </c>
      <c r="F96" s="37" t="str">
        <f t="shared" ref="F96:F101" si="107">IF(Q96*$A$32=0,"",ROUND(Q96*$A$32,0))</f>
        <v/>
      </c>
      <c r="G96" s="37" t="str">
        <f t="shared" ref="G96:G101" si="108">IF(Q96*$A$34/($V96-1)=0,"",ROUND(Q96*$A$34/($V96-1),2))</f>
        <v/>
      </c>
      <c r="H96" s="37">
        <f t="shared" ref="H96:H101" si="109">IF(R96*$A$32=0,"",ROUND(R96*$A$32,0))</f>
        <v>9</v>
      </c>
      <c r="I96" s="37">
        <f t="shared" ref="I96:I101" si="110">IF(R96*$A$34/($V96-1)=0,"",ROUND(R96*$A$34/($V96-1),2))</f>
        <v>1.5</v>
      </c>
      <c r="J96" s="37"/>
      <c r="K96" s="37"/>
      <c r="L96" s="37"/>
      <c r="M96" s="37"/>
      <c r="N96">
        <v>2</v>
      </c>
      <c r="O96" s="31" t="s">
        <v>1291</v>
      </c>
      <c r="P96">
        <v>1400</v>
      </c>
      <c r="R96">
        <v>45</v>
      </c>
      <c r="V96">
        <v>25</v>
      </c>
      <c r="W96">
        <f>IF(P96/D$16+Q96*N96/E$16+R96/F$16+T96/H$16+U96*N96/I$16=0,"",ROUND(P96/D$16+Q96*N96/E$16+R96/F$16+T96/H$16+U96*N96/I$16,2))</f>
        <v>0.5</v>
      </c>
      <c r="X96" s="37" t="s">
        <v>1289</v>
      </c>
    </row>
    <row r="97" spans="4:24">
      <c r="D97" s="37">
        <f t="shared" si="105"/>
        <v>280</v>
      </c>
      <c r="E97" s="37">
        <f t="shared" si="106"/>
        <v>46.67</v>
      </c>
      <c r="F97" s="37" t="str">
        <f t="shared" si="107"/>
        <v/>
      </c>
      <c r="G97" s="37" t="str">
        <f t="shared" si="108"/>
        <v/>
      </c>
      <c r="H97" s="37">
        <f t="shared" si="109"/>
        <v>9</v>
      </c>
      <c r="I97" s="37">
        <f t="shared" si="110"/>
        <v>1.5</v>
      </c>
      <c r="J97" s="37"/>
      <c r="K97" s="37"/>
      <c r="L97" s="37"/>
      <c r="M97" s="37"/>
      <c r="N97">
        <v>2</v>
      </c>
      <c r="O97" s="31" t="s">
        <v>1290</v>
      </c>
      <c r="P97">
        <v>1400</v>
      </c>
      <c r="R97">
        <v>45</v>
      </c>
      <c r="V97">
        <v>25</v>
      </c>
      <c r="W97">
        <f>IF(P97/D$16+Q97*N97/E$16+R97/F$16+T97/H$16+U97*N97/I$16=0,"",ROUND(P97/D$16+Q97*N97/E$16+R97/F$16+T97/H$16+U97*N97/I$16,2))</f>
        <v>0.5</v>
      </c>
      <c r="X97" s="37" t="s">
        <v>1292</v>
      </c>
    </row>
    <row r="98" spans="4:24">
      <c r="D98" s="37">
        <f t="shared" ref="D98" si="111">IF(P98*$A$32=0,"",ROUND(P98*$A$32,0))</f>
        <v>270</v>
      </c>
      <c r="E98" s="37">
        <f t="shared" ref="E98" si="112">IF(P98*$A$34/($V98-1)=0,"",ROUND(P98*$A$34/($V98-1),2))</f>
        <v>45</v>
      </c>
      <c r="F98" s="37">
        <f t="shared" ref="F98" si="113">IF(Q98*$A$32=0,"",ROUND(Q98*$A$32,0))</f>
        <v>15</v>
      </c>
      <c r="G98" s="37">
        <f t="shared" ref="G98" si="114">IF(Q98*$A$34/($V98-1)=0,"",ROUND(Q98*$A$34/($V98-1),2))</f>
        <v>2.4300000000000002</v>
      </c>
      <c r="H98" s="37">
        <f t="shared" ref="H98" si="115">IF(R98*$A$32=0,"",ROUND(R98*$A$32,0))</f>
        <v>24</v>
      </c>
      <c r="I98" s="37">
        <f t="shared" ref="I98" si="116">IF(R98*$A$34/($V98-1)=0,"",ROUND(R98*$A$34/($V98-1),2))</f>
        <v>4</v>
      </c>
      <c r="J98" s="37"/>
      <c r="K98" s="37"/>
      <c r="L98" s="37"/>
      <c r="M98" s="37"/>
      <c r="N98">
        <v>2</v>
      </c>
      <c r="O98" s="33" t="s">
        <v>1344</v>
      </c>
      <c r="P98">
        <v>1350</v>
      </c>
      <c r="Q98">
        <v>73</v>
      </c>
      <c r="R98">
        <v>120</v>
      </c>
      <c r="V98">
        <v>25</v>
      </c>
      <c r="W98">
        <f>IF(P98/D$16+Q98*N98/E$16+R98/F$16+T98/H$16+U98*N98/I$16=0,"",ROUND(P98/D$16+Q98*N98/E$16+R98/F$16+T98/H$16+U98*N98/I$16,2))</f>
        <v>1.2</v>
      </c>
      <c r="X98" s="110" t="s">
        <v>1345</v>
      </c>
    </row>
    <row r="99" spans="4:24">
      <c r="D99" s="37" t="str">
        <f>IF(P99*$A$32=0,"",ROUND(P99*$A$32,0))</f>
        <v/>
      </c>
      <c r="E99" s="37" t="str">
        <f t="shared" ref="E99" si="117">IF(P99*$A$34/($V99-1)=0,"",ROUND(P99*$A$34/($V99-1),2))</f>
        <v/>
      </c>
      <c r="F99" s="37" t="str">
        <f t="shared" ref="F99" si="118">IF(Q99*$A$32=0,"",ROUND(Q99*$A$32,0))</f>
        <v/>
      </c>
      <c r="G99" s="37" t="str">
        <f t="shared" ref="G99" si="119">IF(Q99*$A$34/($V99-1)=0,"",ROUND(Q99*$A$34/($V99-1),2))</f>
        <v/>
      </c>
      <c r="H99" s="37">
        <f t="shared" ref="H99" si="120">IF(R99*$A$32=0,"",ROUND(R99*$A$32,0))</f>
        <v>10</v>
      </c>
      <c r="I99" s="37">
        <f t="shared" ref="I99" si="121">IF(R99*$A$34/($V99-1)=0,"",ROUND(R99*$A$34/($V99-1),2))</f>
        <v>1.67</v>
      </c>
      <c r="J99" s="37"/>
      <c r="K99" s="37"/>
      <c r="L99" s="37"/>
      <c r="M99" s="37"/>
      <c r="O99" s="31" t="s">
        <v>1346</v>
      </c>
      <c r="R99">
        <v>50</v>
      </c>
      <c r="V99">
        <v>25</v>
      </c>
      <c r="W99">
        <f>IF(P99/D$16+Q99*N99/E$16+R99/F$16+T99/H$16+U99*N99/I$16=0,"",ROUND(P99/D$16+Q99*N99/E$16+R99/F$16+T99/H$16+U99*N99/I$16,2))</f>
        <v>0.16</v>
      </c>
      <c r="X99" s="37" t="s">
        <v>1347</v>
      </c>
    </row>
    <row r="100" spans="4:24">
      <c r="D100" s="37" t="str">
        <f t="shared" si="105"/>
        <v/>
      </c>
      <c r="E100" s="37" t="str">
        <f t="shared" si="106"/>
        <v/>
      </c>
      <c r="F100" s="37" t="str">
        <f t="shared" si="107"/>
        <v/>
      </c>
      <c r="G100" s="37" t="str">
        <f t="shared" si="108"/>
        <v/>
      </c>
      <c r="H100" s="37" t="str">
        <f t="shared" si="109"/>
        <v/>
      </c>
      <c r="I100" s="37" t="str">
        <f t="shared" si="110"/>
        <v/>
      </c>
      <c r="J100" s="37"/>
      <c r="K100" s="37"/>
      <c r="L100" s="37"/>
      <c r="M100" s="37"/>
      <c r="O100" s="107"/>
      <c r="W100" t="str">
        <f t="shared" si="15"/>
        <v/>
      </c>
      <c r="X100" s="37"/>
    </row>
    <row r="101" spans="4:24">
      <c r="D101" s="37" t="str">
        <f t="shared" si="105"/>
        <v/>
      </c>
      <c r="E101" s="37" t="str">
        <f t="shared" si="106"/>
        <v/>
      </c>
      <c r="F101" s="37" t="str">
        <f t="shared" si="107"/>
        <v/>
      </c>
      <c r="G101" s="37" t="str">
        <f t="shared" si="108"/>
        <v/>
      </c>
      <c r="H101" s="37" t="str">
        <f t="shared" si="109"/>
        <v/>
      </c>
      <c r="I101" s="37" t="str">
        <f t="shared" si="110"/>
        <v/>
      </c>
      <c r="J101" s="37"/>
      <c r="K101" s="37"/>
      <c r="L101" s="37"/>
      <c r="M101" s="37"/>
      <c r="O101" s="107"/>
      <c r="W101" t="str">
        <f t="shared" si="15"/>
        <v/>
      </c>
      <c r="X101" s="37"/>
    </row>
    <row r="102" spans="4:24">
      <c r="D102" s="37"/>
      <c r="E102" s="37"/>
      <c r="F102" s="37"/>
      <c r="G102" s="37"/>
      <c r="H102" s="37"/>
      <c r="I102" s="37"/>
      <c r="J102" s="37"/>
      <c r="K102" s="37"/>
      <c r="L102" s="37"/>
      <c r="M102" s="37"/>
      <c r="N102" s="23" t="s">
        <v>1220</v>
      </c>
      <c r="P102" s="101" t="s">
        <v>1125</v>
      </c>
      <c r="Q102" s="101" t="s">
        <v>1126</v>
      </c>
      <c r="R102" s="101" t="s">
        <v>1127</v>
      </c>
      <c r="S102" s="101" t="s">
        <v>1128</v>
      </c>
      <c r="T102" s="101" t="s">
        <v>1129</v>
      </c>
      <c r="U102" s="101" t="s">
        <v>1130</v>
      </c>
      <c r="V102" s="101" t="s">
        <v>1131</v>
      </c>
      <c r="W102" s="101" t="s">
        <v>1152</v>
      </c>
    </row>
    <row r="103" spans="4:24">
      <c r="D103" s="37" t="str">
        <f t="shared" si="4"/>
        <v/>
      </c>
      <c r="E103" s="37" t="str">
        <f t="shared" si="5"/>
        <v/>
      </c>
      <c r="F103" s="37">
        <f t="shared" si="6"/>
        <v>16</v>
      </c>
      <c r="G103" s="37">
        <f t="shared" si="7"/>
        <v>2.7</v>
      </c>
      <c r="H103" s="37" t="str">
        <f t="shared" si="8"/>
        <v/>
      </c>
      <c r="I103" s="37" t="str">
        <f t="shared" si="9"/>
        <v/>
      </c>
      <c r="J103" s="37" t="str">
        <f t="shared" si="10"/>
        <v/>
      </c>
      <c r="K103" s="37" t="str">
        <f t="shared" si="11"/>
        <v/>
      </c>
      <c r="L103" s="37" t="str">
        <f t="shared" si="12"/>
        <v/>
      </c>
      <c r="M103" s="37" t="str">
        <f t="shared" si="13"/>
        <v/>
      </c>
      <c r="N103">
        <v>2</v>
      </c>
      <c r="O103" s="31" t="s">
        <v>1221</v>
      </c>
      <c r="Q103">
        <v>81</v>
      </c>
      <c r="V103">
        <v>25</v>
      </c>
      <c r="W103">
        <f t="shared" ref="W103:W114" si="122">IF(P103/D$18+Q103*N103/E$18+R103/F$18+T103/H$18+U103*N103/I$18=0,"",ROUND(P103/D$18+Q103*N103/E$18+R103/F$18+T103/H$18+U103*N103/I$18,2))</f>
        <v>0.5</v>
      </c>
    </row>
    <row r="104" spans="4:24">
      <c r="D104" s="37">
        <f t="shared" si="4"/>
        <v>336</v>
      </c>
      <c r="E104" s="37">
        <f t="shared" si="5"/>
        <v>56</v>
      </c>
      <c r="F104" s="37">
        <f t="shared" si="6"/>
        <v>38</v>
      </c>
      <c r="G104" s="37">
        <f t="shared" si="7"/>
        <v>6.33</v>
      </c>
      <c r="H104" s="37" t="str">
        <f t="shared" si="8"/>
        <v/>
      </c>
      <c r="I104" s="37" t="str">
        <f t="shared" si="9"/>
        <v/>
      </c>
      <c r="J104" s="37" t="str">
        <f t="shared" si="10"/>
        <v/>
      </c>
      <c r="K104" s="37" t="str">
        <f t="shared" si="11"/>
        <v/>
      </c>
      <c r="L104" s="37" t="str">
        <f t="shared" si="12"/>
        <v/>
      </c>
      <c r="M104" s="37" t="str">
        <f t="shared" si="13"/>
        <v/>
      </c>
      <c r="N104">
        <v>1</v>
      </c>
      <c r="O104" s="33" t="s">
        <v>1222</v>
      </c>
      <c r="P104">
        <v>1680</v>
      </c>
      <c r="Q104">
        <v>190</v>
      </c>
      <c r="V104">
        <v>25</v>
      </c>
      <c r="W104">
        <f t="shared" si="122"/>
        <v>1</v>
      </c>
    </row>
    <row r="105" spans="4:24">
      <c r="D105" s="37">
        <f t="shared" si="4"/>
        <v>810</v>
      </c>
      <c r="E105" s="37">
        <f t="shared" si="5"/>
        <v>135</v>
      </c>
      <c r="F105" s="37" t="str">
        <f t="shared" si="6"/>
        <v/>
      </c>
      <c r="G105" s="37" t="str">
        <f t="shared" si="7"/>
        <v/>
      </c>
      <c r="H105" s="37" t="str">
        <f t="shared" si="8"/>
        <v/>
      </c>
      <c r="I105" s="37" t="str">
        <f t="shared" si="9"/>
        <v/>
      </c>
      <c r="J105" s="37" t="str">
        <f t="shared" si="10"/>
        <v/>
      </c>
      <c r="K105" s="37" t="str">
        <f t="shared" si="11"/>
        <v/>
      </c>
      <c r="L105" s="37" t="str">
        <f t="shared" si="12"/>
        <v/>
      </c>
      <c r="M105" s="37" t="str">
        <f t="shared" si="13"/>
        <v/>
      </c>
      <c r="N105">
        <v>1</v>
      </c>
      <c r="O105" s="33" t="s">
        <v>1223</v>
      </c>
      <c r="P105">
        <v>4050</v>
      </c>
      <c r="V105">
        <v>25</v>
      </c>
      <c r="W105">
        <f t="shared" si="122"/>
        <v>1</v>
      </c>
    </row>
    <row r="106" spans="4:24">
      <c r="D106" s="37" t="str">
        <f t="shared" si="4"/>
        <v/>
      </c>
      <c r="E106" s="37" t="str">
        <f t="shared" si="5"/>
        <v/>
      </c>
      <c r="F106" s="37">
        <f t="shared" si="6"/>
        <v>11</v>
      </c>
      <c r="G106" s="37">
        <f t="shared" si="7"/>
        <v>1.9</v>
      </c>
      <c r="H106" s="37" t="str">
        <f t="shared" si="8"/>
        <v/>
      </c>
      <c r="I106" s="37" t="str">
        <f t="shared" si="9"/>
        <v/>
      </c>
      <c r="J106" s="37" t="str">
        <f t="shared" si="10"/>
        <v/>
      </c>
      <c r="K106" s="37" t="str">
        <f t="shared" si="11"/>
        <v/>
      </c>
      <c r="L106" s="37" t="str">
        <f t="shared" si="12"/>
        <v/>
      </c>
      <c r="M106" s="37">
        <f t="shared" si="13"/>
        <v>5.0000000000000001E-3</v>
      </c>
      <c r="N106">
        <v>2</v>
      </c>
      <c r="O106" s="31" t="s">
        <v>1224</v>
      </c>
      <c r="Q106">
        <v>57</v>
      </c>
      <c r="U106">
        <v>5.0000000000000001E-3</v>
      </c>
      <c r="V106">
        <v>25</v>
      </c>
      <c r="W106">
        <f t="shared" si="122"/>
        <v>0.5</v>
      </c>
    </row>
    <row r="107" spans="4:24">
      <c r="D107" s="37" t="str">
        <f t="shared" si="4"/>
        <v/>
      </c>
      <c r="E107" s="37" t="str">
        <f t="shared" si="5"/>
        <v/>
      </c>
      <c r="F107" s="37" t="str">
        <f t="shared" si="6"/>
        <v/>
      </c>
      <c r="G107" s="37" t="str">
        <f t="shared" si="7"/>
        <v/>
      </c>
      <c r="H107" s="37">
        <f t="shared" si="8"/>
        <v>65</v>
      </c>
      <c r="I107" s="37">
        <f t="shared" si="9"/>
        <v>10.83</v>
      </c>
      <c r="J107" s="37" t="str">
        <f t="shared" si="10"/>
        <v/>
      </c>
      <c r="K107" s="37" t="str">
        <f t="shared" si="11"/>
        <v/>
      </c>
      <c r="L107" s="37" t="str">
        <f t="shared" si="12"/>
        <v/>
      </c>
      <c r="M107" s="37" t="str">
        <f t="shared" si="13"/>
        <v/>
      </c>
      <c r="N107">
        <v>1</v>
      </c>
      <c r="O107" s="32" t="s">
        <v>1225</v>
      </c>
      <c r="R107">
        <v>325</v>
      </c>
      <c r="V107">
        <v>25</v>
      </c>
      <c r="W107">
        <f t="shared" si="122"/>
        <v>1</v>
      </c>
    </row>
    <row r="108" spans="4:24">
      <c r="D108" s="37" t="str">
        <f t="shared" si="4"/>
        <v/>
      </c>
      <c r="E108" s="37" t="str">
        <f t="shared" si="5"/>
        <v/>
      </c>
      <c r="F108" s="37">
        <f t="shared" si="6"/>
        <v>46</v>
      </c>
      <c r="G108" s="37">
        <f t="shared" si="7"/>
        <v>7.6</v>
      </c>
      <c r="H108" s="37" t="str">
        <f t="shared" si="8"/>
        <v/>
      </c>
      <c r="I108" s="37" t="str">
        <f t="shared" si="9"/>
        <v/>
      </c>
      <c r="J108" s="37" t="str">
        <f t="shared" si="10"/>
        <v/>
      </c>
      <c r="K108" s="37" t="str">
        <f t="shared" si="11"/>
        <v/>
      </c>
      <c r="L108" s="37" t="str">
        <f t="shared" si="12"/>
        <v/>
      </c>
      <c r="M108" s="37">
        <f t="shared" si="13"/>
        <v>0.02</v>
      </c>
      <c r="N108">
        <v>1</v>
      </c>
      <c r="O108" s="33" t="s">
        <v>1226</v>
      </c>
      <c r="Q108">
        <v>228</v>
      </c>
      <c r="U108">
        <v>0.02</v>
      </c>
      <c r="V108">
        <v>25</v>
      </c>
      <c r="W108">
        <f t="shared" si="122"/>
        <v>1</v>
      </c>
    </row>
    <row r="109" spans="4:24">
      <c r="D109" s="37" t="str">
        <f t="shared" si="4"/>
        <v/>
      </c>
      <c r="E109" s="37" t="str">
        <f t="shared" si="5"/>
        <v/>
      </c>
      <c r="F109" s="37">
        <f t="shared" si="6"/>
        <v>16</v>
      </c>
      <c r="G109" s="37">
        <f t="shared" si="7"/>
        <v>2.7</v>
      </c>
      <c r="H109" s="37" t="str">
        <f t="shared" si="8"/>
        <v/>
      </c>
      <c r="I109" s="37" t="str">
        <f t="shared" si="9"/>
        <v/>
      </c>
      <c r="J109" s="37" t="str">
        <f t="shared" si="10"/>
        <v/>
      </c>
      <c r="K109" s="37" t="str">
        <f t="shared" si="11"/>
        <v/>
      </c>
      <c r="L109" s="37" t="str">
        <f t="shared" si="12"/>
        <v/>
      </c>
      <c r="M109" s="37" t="str">
        <f t="shared" si="13"/>
        <v/>
      </c>
      <c r="N109">
        <v>2</v>
      </c>
      <c r="O109" s="31" t="s">
        <v>1227</v>
      </c>
      <c r="Q109">
        <v>81</v>
      </c>
      <c r="V109">
        <v>25</v>
      </c>
      <c r="W109">
        <f t="shared" si="122"/>
        <v>0.5</v>
      </c>
    </row>
    <row r="110" spans="4:24">
      <c r="D110" s="37" t="str">
        <f t="shared" si="4"/>
        <v/>
      </c>
      <c r="E110" s="37" t="str">
        <f t="shared" si="5"/>
        <v/>
      </c>
      <c r="F110" s="37" t="str">
        <f t="shared" si="6"/>
        <v/>
      </c>
      <c r="G110" s="37" t="str">
        <f t="shared" si="7"/>
        <v/>
      </c>
      <c r="H110" s="37">
        <f t="shared" si="8"/>
        <v>35</v>
      </c>
      <c r="I110" s="37">
        <f t="shared" si="9"/>
        <v>5.83</v>
      </c>
      <c r="J110" s="37" t="str">
        <f t="shared" si="10"/>
        <v/>
      </c>
      <c r="K110" s="37" t="str">
        <f t="shared" si="11"/>
        <v/>
      </c>
      <c r="L110" s="37">
        <f t="shared" si="12"/>
        <v>25</v>
      </c>
      <c r="M110" s="37" t="str">
        <f t="shared" si="13"/>
        <v/>
      </c>
      <c r="N110">
        <v>1</v>
      </c>
      <c r="O110" s="32" t="s">
        <v>1228</v>
      </c>
      <c r="R110">
        <v>175</v>
      </c>
      <c r="T110">
        <v>25</v>
      </c>
      <c r="V110">
        <v>25</v>
      </c>
      <c r="W110">
        <f t="shared" si="122"/>
        <v>1</v>
      </c>
    </row>
    <row r="111" spans="4:24">
      <c r="D111" s="37">
        <f t="shared" si="4"/>
        <v>430</v>
      </c>
      <c r="E111" s="37">
        <f t="shared" si="5"/>
        <v>71.67</v>
      </c>
      <c r="F111" s="37" t="str">
        <f t="shared" si="6"/>
        <v/>
      </c>
      <c r="G111" s="37" t="str">
        <f t="shared" si="7"/>
        <v/>
      </c>
      <c r="H111" s="37">
        <f t="shared" si="8"/>
        <v>30</v>
      </c>
      <c r="I111" s="37">
        <f t="shared" si="9"/>
        <v>5.07</v>
      </c>
      <c r="J111" s="37" t="str">
        <f t="shared" si="10"/>
        <v/>
      </c>
      <c r="K111" s="37" t="str">
        <f t="shared" si="11"/>
        <v/>
      </c>
      <c r="L111" s="37" t="str">
        <f t="shared" si="12"/>
        <v/>
      </c>
      <c r="M111" s="37" t="str">
        <f t="shared" si="13"/>
        <v/>
      </c>
      <c r="N111">
        <v>1</v>
      </c>
      <c r="O111" s="32" t="s">
        <v>1229</v>
      </c>
      <c r="P111">
        <v>2150</v>
      </c>
      <c r="R111">
        <v>152</v>
      </c>
      <c r="V111">
        <v>25</v>
      </c>
      <c r="W111">
        <f t="shared" si="122"/>
        <v>1</v>
      </c>
    </row>
    <row r="112" spans="4:24">
      <c r="D112" s="37">
        <f t="shared" si="4"/>
        <v>405</v>
      </c>
      <c r="E112" s="37">
        <f t="shared" si="5"/>
        <v>67.5</v>
      </c>
      <c r="F112" s="37" t="str">
        <f t="shared" si="6"/>
        <v/>
      </c>
      <c r="G112" s="37" t="str">
        <f t="shared" si="7"/>
        <v/>
      </c>
      <c r="H112" s="37" t="str">
        <f t="shared" si="8"/>
        <v/>
      </c>
      <c r="I112" s="37" t="str">
        <f t="shared" si="9"/>
        <v/>
      </c>
      <c r="J112" s="37" t="str">
        <f t="shared" si="10"/>
        <v/>
      </c>
      <c r="K112" s="37" t="str">
        <f t="shared" si="11"/>
        <v/>
      </c>
      <c r="L112" s="37" t="str">
        <f t="shared" si="12"/>
        <v/>
      </c>
      <c r="M112" s="37" t="str">
        <f t="shared" si="13"/>
        <v/>
      </c>
      <c r="N112">
        <v>2</v>
      </c>
      <c r="O112" s="31" t="s">
        <v>1230</v>
      </c>
      <c r="P112">
        <v>2025</v>
      </c>
      <c r="V112">
        <v>25</v>
      </c>
      <c r="W112">
        <f t="shared" si="122"/>
        <v>0.5</v>
      </c>
    </row>
    <row r="113" spans="4:24">
      <c r="D113" s="37" t="str">
        <f t="shared" si="4"/>
        <v/>
      </c>
      <c r="E113" s="37" t="str">
        <f t="shared" si="5"/>
        <v/>
      </c>
      <c r="F113" s="37" t="str">
        <f t="shared" si="6"/>
        <v/>
      </c>
      <c r="G113" s="37" t="str">
        <f t="shared" si="7"/>
        <v/>
      </c>
      <c r="H113" s="37">
        <f t="shared" si="8"/>
        <v>21</v>
      </c>
      <c r="I113" s="37">
        <f t="shared" si="9"/>
        <v>3.43</v>
      </c>
      <c r="J113" s="37" t="str">
        <f t="shared" si="10"/>
        <v/>
      </c>
      <c r="K113" s="37" t="str">
        <f t="shared" si="11"/>
        <v/>
      </c>
      <c r="L113" s="37">
        <f t="shared" si="12"/>
        <v>10</v>
      </c>
      <c r="M113" s="37" t="str">
        <f t="shared" si="13"/>
        <v/>
      </c>
      <c r="N113">
        <v>2</v>
      </c>
      <c r="O113" s="31" t="s">
        <v>1231</v>
      </c>
      <c r="R113">
        <v>103</v>
      </c>
      <c r="T113">
        <v>10</v>
      </c>
      <c r="V113">
        <v>25</v>
      </c>
      <c r="W113">
        <f t="shared" si="122"/>
        <v>0.5</v>
      </c>
    </row>
    <row r="114" spans="4:24">
      <c r="D114" s="37">
        <f t="shared" si="4"/>
        <v>256</v>
      </c>
      <c r="E114" s="37">
        <f t="shared" si="5"/>
        <v>42.67</v>
      </c>
      <c r="F114" s="37" t="str">
        <f t="shared" si="6"/>
        <v/>
      </c>
      <c r="G114" s="37" t="str">
        <f t="shared" si="7"/>
        <v/>
      </c>
      <c r="H114" s="37" t="str">
        <f t="shared" si="8"/>
        <v/>
      </c>
      <c r="I114" s="37" t="str">
        <f t="shared" si="9"/>
        <v/>
      </c>
      <c r="J114" s="37" t="str">
        <f t="shared" si="10"/>
        <v/>
      </c>
      <c r="K114" s="37" t="str">
        <f t="shared" si="11"/>
        <v/>
      </c>
      <c r="L114" s="37">
        <f t="shared" si="12"/>
        <v>10</v>
      </c>
      <c r="M114" s="37" t="str">
        <f t="shared" si="13"/>
        <v/>
      </c>
      <c r="N114">
        <v>2</v>
      </c>
      <c r="O114" s="31" t="s">
        <v>1232</v>
      </c>
      <c r="P114">
        <v>1280</v>
      </c>
      <c r="T114">
        <v>10</v>
      </c>
      <c r="V114">
        <v>25</v>
      </c>
      <c r="W114">
        <f t="shared" si="122"/>
        <v>0.5</v>
      </c>
    </row>
    <row r="115" spans="4:24">
      <c r="D115" s="37" t="str">
        <f t="shared" si="4"/>
        <v/>
      </c>
      <c r="E115" s="37" t="str">
        <f t="shared" si="5"/>
        <v/>
      </c>
      <c r="F115" s="37" t="str">
        <f t="shared" si="6"/>
        <v/>
      </c>
      <c r="G115" s="37" t="str">
        <f t="shared" si="7"/>
        <v/>
      </c>
      <c r="H115" s="37" t="str">
        <f t="shared" si="8"/>
        <v/>
      </c>
      <c r="I115" s="37" t="str">
        <f t="shared" si="9"/>
        <v/>
      </c>
      <c r="J115" s="37" t="str">
        <f t="shared" si="10"/>
        <v/>
      </c>
      <c r="K115" s="37" t="str">
        <f t="shared" si="11"/>
        <v/>
      </c>
      <c r="L115" s="37" t="str">
        <f t="shared" si="12"/>
        <v/>
      </c>
      <c r="M115" s="37" t="str">
        <f t="shared" si="13"/>
        <v/>
      </c>
      <c r="O115" s="33"/>
    </row>
    <row r="116" spans="4:24" ht="39" customHeight="1">
      <c r="D116" s="37"/>
      <c r="E116" s="37"/>
      <c r="F116" s="37"/>
      <c r="G116" s="37"/>
      <c r="H116" s="37"/>
      <c r="I116" s="37"/>
      <c r="J116" s="37"/>
      <c r="K116" s="37"/>
      <c r="L116" s="37"/>
      <c r="M116" s="37"/>
      <c r="N116" s="23" t="s">
        <v>77</v>
      </c>
      <c r="P116" s="101" t="s">
        <v>1125</v>
      </c>
      <c r="Q116" s="101" t="s">
        <v>1126</v>
      </c>
      <c r="R116" s="101" t="s">
        <v>1127</v>
      </c>
      <c r="S116" s="101" t="s">
        <v>1128</v>
      </c>
      <c r="T116" s="101" t="s">
        <v>1129</v>
      </c>
      <c r="U116" s="101" t="s">
        <v>1130</v>
      </c>
      <c r="V116" s="101" t="s">
        <v>1131</v>
      </c>
      <c r="W116" s="101" t="s">
        <v>1152</v>
      </c>
    </row>
    <row r="117" spans="4:24">
      <c r="D117" s="37">
        <f t="shared" ref="D117:D180" si="123">IF(P117*$A$32=0,"",ROUND(P117*$A$32,0))</f>
        <v>300</v>
      </c>
      <c r="E117" s="37">
        <f t="shared" ref="E117:E180" si="124">IF(P117*$A$34/($V117-1)=0,"",ROUND(P117*$A$34/($V117-1),2))</f>
        <v>50</v>
      </c>
      <c r="F117" s="37" t="str">
        <f t="shared" ref="F117:F180" si="125">IF(Q117*$A$32=0,"",ROUND(Q117*$A$32,0))</f>
        <v/>
      </c>
      <c r="G117" s="37" t="str">
        <f t="shared" ref="G117:G180" si="126">IF(Q117*$A$34/($V117-1)=0,"",ROUND(Q117*$A$34/($V117-1),2))</f>
        <v/>
      </c>
      <c r="H117" s="37">
        <f t="shared" ref="H117:H180" si="127">IF(R117*$A$32=0,"",ROUND(R117*$A$32,0))</f>
        <v>46</v>
      </c>
      <c r="I117" s="37">
        <f t="shared" ref="I117:I180" si="128">IF(R117*$A$34/($V117-1)=0,"",ROUND(R117*$A$34/($V117-1),2))</f>
        <v>7.6</v>
      </c>
      <c r="J117" s="37" t="str">
        <f t="shared" ref="J117:J180" si="129">IF(S117*$A$32=0,"",ROUND(S117*$A$32,0))</f>
        <v/>
      </c>
      <c r="K117" s="37" t="str">
        <f t="shared" ref="K117:K180" si="130">IF(S117*$A$34/($V117-1)=0,"",ROUND(S117*$A$34/($V117-1),2))</f>
        <v/>
      </c>
      <c r="L117" s="37" t="str">
        <f t="shared" ref="L117:L180" si="131">IF(T117=0,"",ROUND(T117,0))</f>
        <v/>
      </c>
      <c r="M117" s="37" t="str">
        <f t="shared" ref="M117:M180" si="132">IF(U117=0,"",ROUND(U117,3))</f>
        <v/>
      </c>
      <c r="N117">
        <v>1</v>
      </c>
      <c r="O117" s="43" t="s">
        <v>68</v>
      </c>
      <c r="P117">
        <v>1500</v>
      </c>
      <c r="R117">
        <v>228</v>
      </c>
      <c r="V117">
        <v>25</v>
      </c>
      <c r="W117">
        <f>IF(P117/D$26+Q117*N117/E$26+R117/F$26+T117/H$26+U117*N117/I$26=0,"",ROUND(P117/D$26+Q117*N117/E$26+R117/F$26+T117/H$26+U117*N117/I$26,2))</f>
        <v>1</v>
      </c>
      <c r="X117" s="37" t="s">
        <v>1078</v>
      </c>
    </row>
    <row r="118" spans="4:24">
      <c r="D118" s="37" t="str">
        <f t="shared" si="123"/>
        <v/>
      </c>
      <c r="E118" s="37" t="str">
        <f t="shared" si="124"/>
        <v/>
      </c>
      <c r="F118" s="37">
        <f t="shared" si="125"/>
        <v>31</v>
      </c>
      <c r="G118" s="37">
        <f t="shared" si="126"/>
        <v>5.17</v>
      </c>
      <c r="H118" s="37" t="str">
        <f t="shared" si="127"/>
        <v/>
      </c>
      <c r="I118" s="37" t="str">
        <f t="shared" si="128"/>
        <v/>
      </c>
      <c r="J118" s="37" t="str">
        <f t="shared" si="129"/>
        <v/>
      </c>
      <c r="K118" s="37" t="str">
        <f t="shared" si="130"/>
        <v/>
      </c>
      <c r="L118" s="37" t="str">
        <f t="shared" si="131"/>
        <v/>
      </c>
      <c r="M118" s="37">
        <f t="shared" si="132"/>
        <v>0.04</v>
      </c>
      <c r="N118">
        <v>1</v>
      </c>
      <c r="O118" s="41" t="s">
        <v>1233</v>
      </c>
      <c r="Q118">
        <v>155</v>
      </c>
      <c r="U118">
        <v>0.04</v>
      </c>
      <c r="V118">
        <v>25</v>
      </c>
      <c r="W118">
        <f t="shared" ref="W118:W139" si="133">IF(P118/D$26+Q118*N118/E$26+R118/F$26+T118/H$26+U118*N118/I$26=0,"",ROUND(P118/D$26+Q118*N118/E$26+R118/F$26+T118/H$26+U118*N118/I$26,2))</f>
        <v>1</v>
      </c>
      <c r="X118" s="37" t="s">
        <v>940</v>
      </c>
    </row>
    <row r="119" spans="4:24">
      <c r="D119" s="37" t="str">
        <f t="shared" si="123"/>
        <v/>
      </c>
      <c r="E119" s="37" t="str">
        <f t="shared" si="124"/>
        <v/>
      </c>
      <c r="F119" s="37">
        <f t="shared" si="125"/>
        <v>38</v>
      </c>
      <c r="G119" s="37">
        <f t="shared" si="126"/>
        <v>6.4</v>
      </c>
      <c r="H119" s="37" t="str">
        <f t="shared" si="127"/>
        <v/>
      </c>
      <c r="I119" s="37" t="str">
        <f t="shared" si="128"/>
        <v/>
      </c>
      <c r="J119" s="37" t="str">
        <f t="shared" si="129"/>
        <v/>
      </c>
      <c r="K119" s="37" t="str">
        <f t="shared" si="130"/>
        <v/>
      </c>
      <c r="L119" s="37">
        <f t="shared" si="131"/>
        <v>10</v>
      </c>
      <c r="M119" s="37">
        <f t="shared" si="132"/>
        <v>0.02</v>
      </c>
      <c r="N119">
        <v>1</v>
      </c>
      <c r="O119" s="41" t="s">
        <v>69</v>
      </c>
      <c r="Q119">
        <v>192</v>
      </c>
      <c r="T119">
        <v>10</v>
      </c>
      <c r="U119">
        <v>0.02</v>
      </c>
      <c r="V119">
        <v>25</v>
      </c>
      <c r="W119">
        <f t="shared" si="133"/>
        <v>1</v>
      </c>
      <c r="X119" s="37" t="s">
        <v>1079</v>
      </c>
    </row>
    <row r="120" spans="4:24">
      <c r="D120" s="37">
        <f t="shared" si="123"/>
        <v>246</v>
      </c>
      <c r="E120" s="37">
        <f t="shared" si="124"/>
        <v>41</v>
      </c>
      <c r="F120" s="37">
        <f t="shared" si="125"/>
        <v>50</v>
      </c>
      <c r="G120" s="37">
        <f t="shared" si="126"/>
        <v>8.33</v>
      </c>
      <c r="H120" s="37" t="str">
        <f t="shared" si="127"/>
        <v/>
      </c>
      <c r="I120" s="37" t="str">
        <f t="shared" si="128"/>
        <v/>
      </c>
      <c r="J120" s="37" t="str">
        <f t="shared" si="129"/>
        <v/>
      </c>
      <c r="K120" s="37" t="str">
        <f t="shared" si="130"/>
        <v/>
      </c>
      <c r="L120" s="37" t="str">
        <f t="shared" si="131"/>
        <v/>
      </c>
      <c r="M120" s="37" t="str">
        <f t="shared" si="132"/>
        <v/>
      </c>
      <c r="N120">
        <v>1</v>
      </c>
      <c r="O120" s="41" t="s">
        <v>70</v>
      </c>
      <c r="P120">
        <v>1230</v>
      </c>
      <c r="Q120">
        <v>250</v>
      </c>
      <c r="V120">
        <v>25</v>
      </c>
      <c r="W120">
        <f t="shared" si="133"/>
        <v>1</v>
      </c>
      <c r="X120" s="37" t="s">
        <v>1234</v>
      </c>
    </row>
    <row r="121" spans="4:24">
      <c r="D121" s="37" t="str">
        <f t="shared" si="123"/>
        <v/>
      </c>
      <c r="E121" s="37" t="str">
        <f t="shared" si="124"/>
        <v/>
      </c>
      <c r="F121" s="37">
        <f t="shared" si="125"/>
        <v>50</v>
      </c>
      <c r="G121" s="37">
        <f t="shared" si="126"/>
        <v>8.33</v>
      </c>
      <c r="H121" s="37">
        <f t="shared" si="127"/>
        <v>19</v>
      </c>
      <c r="I121" s="37">
        <f t="shared" si="128"/>
        <v>3.23</v>
      </c>
      <c r="J121" s="37" t="str">
        <f t="shared" si="129"/>
        <v/>
      </c>
      <c r="K121" s="37" t="str">
        <f t="shared" si="130"/>
        <v/>
      </c>
      <c r="L121" s="37" t="str">
        <f t="shared" si="131"/>
        <v/>
      </c>
      <c r="M121" s="37" t="str">
        <f t="shared" si="132"/>
        <v/>
      </c>
      <c r="N121">
        <v>1</v>
      </c>
      <c r="O121" s="41" t="s">
        <v>71</v>
      </c>
      <c r="Q121">
        <v>250</v>
      </c>
      <c r="R121">
        <v>97</v>
      </c>
      <c r="V121">
        <v>25</v>
      </c>
      <c r="W121">
        <f t="shared" si="133"/>
        <v>1</v>
      </c>
      <c r="X121" s="37" t="s">
        <v>1080</v>
      </c>
    </row>
    <row r="122" spans="4:24">
      <c r="D122" s="37">
        <f t="shared" si="123"/>
        <v>370</v>
      </c>
      <c r="E122" s="37">
        <f t="shared" si="124"/>
        <v>61.67</v>
      </c>
      <c r="F122" s="37">
        <f t="shared" si="125"/>
        <v>40</v>
      </c>
      <c r="G122" s="37">
        <f t="shared" si="126"/>
        <v>6.67</v>
      </c>
      <c r="H122" s="37" t="str">
        <f t="shared" si="127"/>
        <v/>
      </c>
      <c r="I122" s="37" t="str">
        <f t="shared" si="128"/>
        <v/>
      </c>
      <c r="J122" s="37" t="str">
        <f t="shared" si="129"/>
        <v/>
      </c>
      <c r="K122" s="37" t="str">
        <f t="shared" si="130"/>
        <v/>
      </c>
      <c r="L122" s="37" t="str">
        <f t="shared" si="131"/>
        <v/>
      </c>
      <c r="M122" s="37" t="str">
        <f t="shared" si="132"/>
        <v/>
      </c>
      <c r="N122">
        <v>1</v>
      </c>
      <c r="O122" s="41" t="s">
        <v>72</v>
      </c>
      <c r="P122">
        <v>1850</v>
      </c>
      <c r="Q122">
        <v>200</v>
      </c>
      <c r="V122">
        <v>25</v>
      </c>
      <c r="W122">
        <f t="shared" si="133"/>
        <v>1</v>
      </c>
      <c r="X122" s="37" t="s">
        <v>1077</v>
      </c>
    </row>
    <row r="123" spans="4:24">
      <c r="D123" s="37" t="str">
        <f t="shared" si="123"/>
        <v/>
      </c>
      <c r="E123" s="37" t="str">
        <f t="shared" si="124"/>
        <v/>
      </c>
      <c r="F123" s="37">
        <f t="shared" si="125"/>
        <v>45</v>
      </c>
      <c r="G123" s="37">
        <f t="shared" si="126"/>
        <v>7.57</v>
      </c>
      <c r="H123" s="37" t="str">
        <f t="shared" si="127"/>
        <v/>
      </c>
      <c r="I123" s="37" t="str">
        <f t="shared" si="128"/>
        <v/>
      </c>
      <c r="J123" s="37" t="str">
        <f t="shared" si="129"/>
        <v/>
      </c>
      <c r="K123" s="37" t="str">
        <f t="shared" si="130"/>
        <v/>
      </c>
      <c r="L123" s="37">
        <f t="shared" si="131"/>
        <v>20</v>
      </c>
      <c r="M123" s="37" t="str">
        <f t="shared" si="132"/>
        <v/>
      </c>
      <c r="N123">
        <v>1</v>
      </c>
      <c r="O123" s="41" t="s">
        <v>73</v>
      </c>
      <c r="Q123">
        <v>227</v>
      </c>
      <c r="T123">
        <v>20</v>
      </c>
      <c r="V123">
        <v>25</v>
      </c>
      <c r="W123">
        <f t="shared" si="133"/>
        <v>1</v>
      </c>
      <c r="X123" s="37" t="s">
        <v>1081</v>
      </c>
    </row>
    <row r="124" spans="4:24">
      <c r="D124" s="37" t="str">
        <f t="shared" si="123"/>
        <v/>
      </c>
      <c r="E124" s="37" t="str">
        <f t="shared" si="124"/>
        <v/>
      </c>
      <c r="F124" s="37" t="str">
        <f t="shared" si="125"/>
        <v/>
      </c>
      <c r="G124" s="37" t="str">
        <f t="shared" si="126"/>
        <v/>
      </c>
      <c r="H124" s="37">
        <f t="shared" si="127"/>
        <v>17</v>
      </c>
      <c r="I124" s="37">
        <f t="shared" si="128"/>
        <v>2.83</v>
      </c>
      <c r="J124" s="37" t="str">
        <f t="shared" si="129"/>
        <v/>
      </c>
      <c r="K124" s="37" t="str">
        <f t="shared" si="130"/>
        <v/>
      </c>
      <c r="L124" s="37">
        <f t="shared" si="131"/>
        <v>15</v>
      </c>
      <c r="M124" s="37" t="str">
        <f t="shared" si="132"/>
        <v/>
      </c>
      <c r="N124">
        <v>2</v>
      </c>
      <c r="O124" s="31" t="s">
        <v>66</v>
      </c>
      <c r="R124">
        <v>85</v>
      </c>
      <c r="T124">
        <v>15</v>
      </c>
      <c r="V124">
        <v>25</v>
      </c>
      <c r="W124">
        <f t="shared" si="133"/>
        <v>0.5</v>
      </c>
      <c r="X124" s="37" t="s">
        <v>1082</v>
      </c>
    </row>
    <row r="125" spans="4:24">
      <c r="D125" s="37" t="str">
        <f t="shared" si="123"/>
        <v/>
      </c>
      <c r="E125" s="37" t="str">
        <f t="shared" si="124"/>
        <v/>
      </c>
      <c r="F125" s="37">
        <f t="shared" si="125"/>
        <v>8</v>
      </c>
      <c r="G125" s="37">
        <f t="shared" si="126"/>
        <v>1.3</v>
      </c>
      <c r="H125" s="37" t="str">
        <f t="shared" si="127"/>
        <v/>
      </c>
      <c r="I125" s="37" t="str">
        <f t="shared" si="128"/>
        <v/>
      </c>
      <c r="J125" s="37" t="str">
        <f t="shared" si="129"/>
        <v/>
      </c>
      <c r="K125" s="37" t="str">
        <f t="shared" si="130"/>
        <v/>
      </c>
      <c r="L125" s="37" t="str">
        <f t="shared" si="131"/>
        <v/>
      </c>
      <c r="M125" s="37">
        <f t="shared" si="132"/>
        <v>0.01</v>
      </c>
      <c r="N125">
        <v>2</v>
      </c>
      <c r="O125" s="42" t="s">
        <v>74</v>
      </c>
      <c r="Q125">
        <v>39</v>
      </c>
      <c r="U125">
        <v>0.01</v>
      </c>
      <c r="V125">
        <v>25</v>
      </c>
      <c r="W125">
        <f t="shared" si="133"/>
        <v>0.5</v>
      </c>
      <c r="X125" s="37" t="s">
        <v>1083</v>
      </c>
    </row>
    <row r="126" spans="4:24">
      <c r="D126" s="37">
        <f t="shared" si="123"/>
        <v>435</v>
      </c>
      <c r="E126" s="37">
        <f t="shared" si="124"/>
        <v>72.5</v>
      </c>
      <c r="F126" s="37" t="str">
        <f t="shared" si="125"/>
        <v/>
      </c>
      <c r="G126" s="37" t="str">
        <f t="shared" si="126"/>
        <v/>
      </c>
      <c r="H126" s="37" t="str">
        <f t="shared" si="127"/>
        <v/>
      </c>
      <c r="I126" s="37" t="str">
        <f t="shared" si="128"/>
        <v/>
      </c>
      <c r="J126" s="37" t="str">
        <f t="shared" si="129"/>
        <v/>
      </c>
      <c r="K126" s="37" t="str">
        <f t="shared" si="130"/>
        <v/>
      </c>
      <c r="L126" s="37" t="str">
        <f t="shared" si="131"/>
        <v/>
      </c>
      <c r="M126" s="37" t="str">
        <f t="shared" si="132"/>
        <v/>
      </c>
      <c r="N126">
        <v>2</v>
      </c>
      <c r="O126" s="42" t="s">
        <v>1235</v>
      </c>
      <c r="P126">
        <v>2175</v>
      </c>
      <c r="V126">
        <v>25</v>
      </c>
      <c r="W126">
        <f t="shared" si="133"/>
        <v>0.5</v>
      </c>
      <c r="X126" s="37" t="s">
        <v>1084</v>
      </c>
    </row>
    <row r="127" spans="4:24">
      <c r="D127" s="37" t="str">
        <f t="shared" si="123"/>
        <v/>
      </c>
      <c r="E127" s="37" t="str">
        <f t="shared" si="124"/>
        <v/>
      </c>
      <c r="F127" s="37">
        <f t="shared" si="125"/>
        <v>40</v>
      </c>
      <c r="G127" s="37">
        <f t="shared" si="126"/>
        <v>6.6</v>
      </c>
      <c r="H127" s="37">
        <f t="shared" si="127"/>
        <v>30</v>
      </c>
      <c r="I127" s="37">
        <f t="shared" si="128"/>
        <v>5</v>
      </c>
      <c r="J127" s="37" t="str">
        <f t="shared" si="129"/>
        <v/>
      </c>
      <c r="K127" s="37" t="str">
        <f t="shared" si="130"/>
        <v/>
      </c>
      <c r="L127" s="37" t="str">
        <f t="shared" si="131"/>
        <v/>
      </c>
      <c r="M127" s="37" t="str">
        <f t="shared" si="132"/>
        <v/>
      </c>
      <c r="N127">
        <v>1</v>
      </c>
      <c r="O127" s="33" t="s">
        <v>67</v>
      </c>
      <c r="Q127">
        <v>198</v>
      </c>
      <c r="R127">
        <v>150</v>
      </c>
      <c r="V127">
        <v>25</v>
      </c>
      <c r="W127">
        <f t="shared" si="133"/>
        <v>1</v>
      </c>
      <c r="X127" s="37" t="s">
        <v>1085</v>
      </c>
    </row>
    <row r="128" spans="4:24">
      <c r="D128" s="37">
        <f t="shared" si="123"/>
        <v>310</v>
      </c>
      <c r="E128" s="37">
        <f t="shared" si="124"/>
        <v>51.67</v>
      </c>
      <c r="F128" s="37" t="str">
        <f t="shared" si="125"/>
        <v/>
      </c>
      <c r="G128" s="37" t="str">
        <f t="shared" si="126"/>
        <v/>
      </c>
      <c r="H128" s="37">
        <f t="shared" si="127"/>
        <v>10</v>
      </c>
      <c r="I128" s="37">
        <f t="shared" si="128"/>
        <v>1.67</v>
      </c>
      <c r="J128" s="37" t="str">
        <f t="shared" si="129"/>
        <v/>
      </c>
      <c r="K128" s="37" t="str">
        <f t="shared" si="130"/>
        <v/>
      </c>
      <c r="L128" s="37" t="str">
        <f t="shared" si="131"/>
        <v/>
      </c>
      <c r="M128" s="37" t="str">
        <f t="shared" si="132"/>
        <v/>
      </c>
      <c r="N128">
        <v>2</v>
      </c>
      <c r="O128" s="42" t="s">
        <v>108</v>
      </c>
      <c r="P128">
        <v>1550</v>
      </c>
      <c r="R128">
        <v>50</v>
      </c>
      <c r="V128">
        <v>25</v>
      </c>
      <c r="W128">
        <f t="shared" si="133"/>
        <v>0.5</v>
      </c>
      <c r="X128" s="37" t="s">
        <v>942</v>
      </c>
    </row>
    <row r="129" spans="4:24">
      <c r="D129" s="37" t="str">
        <f t="shared" si="123"/>
        <v/>
      </c>
      <c r="E129" s="37" t="str">
        <f t="shared" si="124"/>
        <v/>
      </c>
      <c r="F129" s="37" t="str">
        <f t="shared" si="125"/>
        <v/>
      </c>
      <c r="G129" s="37" t="str">
        <f t="shared" si="126"/>
        <v/>
      </c>
      <c r="H129" s="37">
        <f t="shared" si="127"/>
        <v>52</v>
      </c>
      <c r="I129" s="37">
        <f t="shared" si="128"/>
        <v>8.6</v>
      </c>
      <c r="J129" s="37" t="str">
        <f t="shared" si="129"/>
        <v/>
      </c>
      <c r="K129" s="37" t="str">
        <f t="shared" si="130"/>
        <v/>
      </c>
      <c r="L129" s="37">
        <f t="shared" si="131"/>
        <v>15</v>
      </c>
      <c r="M129" s="37" t="str">
        <f t="shared" si="132"/>
        <v/>
      </c>
      <c r="N129">
        <v>1</v>
      </c>
      <c r="O129" s="43" t="s">
        <v>111</v>
      </c>
      <c r="R129">
        <v>258</v>
      </c>
      <c r="T129">
        <v>15</v>
      </c>
      <c r="V129">
        <v>25</v>
      </c>
      <c r="W129">
        <f t="shared" si="133"/>
        <v>1</v>
      </c>
      <c r="X129" s="37" t="s">
        <v>1086</v>
      </c>
    </row>
    <row r="130" spans="4:24">
      <c r="D130" s="37">
        <f t="shared" si="123"/>
        <v>646</v>
      </c>
      <c r="E130" s="37">
        <f t="shared" si="124"/>
        <v>107.67</v>
      </c>
      <c r="F130" s="37" t="str">
        <f t="shared" si="125"/>
        <v/>
      </c>
      <c r="G130" s="37" t="str">
        <f t="shared" si="126"/>
        <v/>
      </c>
      <c r="H130" s="37" t="str">
        <f t="shared" si="127"/>
        <v/>
      </c>
      <c r="I130" s="37" t="str">
        <f t="shared" si="128"/>
        <v/>
      </c>
      <c r="J130" s="37" t="str">
        <f t="shared" si="129"/>
        <v/>
      </c>
      <c r="K130" s="37" t="str">
        <f t="shared" si="130"/>
        <v/>
      </c>
      <c r="L130" s="37">
        <f t="shared" si="131"/>
        <v>15</v>
      </c>
      <c r="M130" s="37" t="str">
        <f t="shared" si="132"/>
        <v/>
      </c>
      <c r="N130">
        <v>1</v>
      </c>
      <c r="O130" s="43" t="s">
        <v>112</v>
      </c>
      <c r="P130">
        <v>3230</v>
      </c>
      <c r="T130">
        <v>15</v>
      </c>
      <c r="V130">
        <v>25</v>
      </c>
      <c r="W130">
        <f t="shared" si="133"/>
        <v>1</v>
      </c>
      <c r="X130" s="37" t="s">
        <v>1087</v>
      </c>
    </row>
    <row r="131" spans="4:24">
      <c r="D131" s="37" t="str">
        <f t="shared" si="123"/>
        <v/>
      </c>
      <c r="E131" s="37" t="str">
        <f t="shared" si="124"/>
        <v/>
      </c>
      <c r="F131" s="37">
        <f t="shared" si="125"/>
        <v>52</v>
      </c>
      <c r="G131" s="37">
        <f t="shared" si="126"/>
        <v>8.6</v>
      </c>
      <c r="H131" s="37" t="str">
        <f t="shared" si="127"/>
        <v/>
      </c>
      <c r="I131" s="37" t="str">
        <f t="shared" si="128"/>
        <v/>
      </c>
      <c r="J131" s="37" t="str">
        <f t="shared" si="129"/>
        <v/>
      </c>
      <c r="K131" s="37" t="str">
        <f t="shared" si="130"/>
        <v/>
      </c>
      <c r="L131" s="37">
        <f t="shared" si="131"/>
        <v>15</v>
      </c>
      <c r="M131" s="37" t="str">
        <f t="shared" si="132"/>
        <v/>
      </c>
      <c r="N131">
        <v>1</v>
      </c>
      <c r="O131" s="43" t="s">
        <v>113</v>
      </c>
      <c r="Q131">
        <v>258</v>
      </c>
      <c r="T131">
        <v>15</v>
      </c>
      <c r="V131">
        <v>25</v>
      </c>
      <c r="W131">
        <f t="shared" si="133"/>
        <v>1</v>
      </c>
      <c r="X131" s="37" t="s">
        <v>943</v>
      </c>
    </row>
    <row r="132" spans="4:24">
      <c r="D132" s="37" t="str">
        <f t="shared" si="123"/>
        <v/>
      </c>
      <c r="E132" s="37" t="str">
        <f t="shared" si="124"/>
        <v/>
      </c>
      <c r="F132" s="37" t="str">
        <f t="shared" si="125"/>
        <v/>
      </c>
      <c r="G132" s="37" t="str">
        <f t="shared" si="126"/>
        <v/>
      </c>
      <c r="H132" s="37">
        <f t="shared" si="127"/>
        <v>70</v>
      </c>
      <c r="I132" s="37">
        <f t="shared" si="128"/>
        <v>11.6</v>
      </c>
      <c r="J132" s="37" t="str">
        <f t="shared" si="129"/>
        <v/>
      </c>
      <c r="K132" s="37" t="str">
        <f t="shared" si="130"/>
        <v/>
      </c>
      <c r="L132" s="37" t="str">
        <f t="shared" si="131"/>
        <v/>
      </c>
      <c r="M132" s="37" t="str">
        <f t="shared" si="132"/>
        <v/>
      </c>
      <c r="N132">
        <v>1</v>
      </c>
      <c r="O132" s="43" t="s">
        <v>114</v>
      </c>
      <c r="R132">
        <v>348</v>
      </c>
      <c r="V132">
        <v>25</v>
      </c>
      <c r="W132">
        <f t="shared" si="133"/>
        <v>1</v>
      </c>
      <c r="X132" s="37" t="s">
        <v>944</v>
      </c>
    </row>
    <row r="133" spans="4:24">
      <c r="D133" s="37">
        <f t="shared" si="123"/>
        <v>210</v>
      </c>
      <c r="E133" s="37">
        <f t="shared" si="124"/>
        <v>35</v>
      </c>
      <c r="F133" s="37" t="str">
        <f t="shared" si="125"/>
        <v/>
      </c>
      <c r="G133" s="37" t="str">
        <f t="shared" si="126"/>
        <v/>
      </c>
      <c r="H133" s="37" t="str">
        <f t="shared" si="127"/>
        <v/>
      </c>
      <c r="I133" s="37" t="str">
        <f t="shared" si="128"/>
        <v/>
      </c>
      <c r="J133" s="37" t="str">
        <f t="shared" si="129"/>
        <v/>
      </c>
      <c r="K133" s="37" t="str">
        <f t="shared" si="130"/>
        <v/>
      </c>
      <c r="L133" s="37">
        <f t="shared" si="131"/>
        <v>15</v>
      </c>
      <c r="M133" s="37" t="str">
        <f t="shared" si="132"/>
        <v/>
      </c>
      <c r="N133">
        <v>2</v>
      </c>
      <c r="O133" s="42" t="s">
        <v>1236</v>
      </c>
      <c r="P133">
        <v>1050</v>
      </c>
      <c r="T133">
        <v>15</v>
      </c>
      <c r="V133">
        <v>25</v>
      </c>
      <c r="W133">
        <f t="shared" si="133"/>
        <v>0.5</v>
      </c>
      <c r="X133" s="36" t="s">
        <v>1319</v>
      </c>
    </row>
    <row r="134" spans="4:24">
      <c r="D134" s="37">
        <f t="shared" si="123"/>
        <v>314</v>
      </c>
      <c r="E134" s="37">
        <f t="shared" si="124"/>
        <v>52.33</v>
      </c>
      <c r="F134" s="37" t="str">
        <f t="shared" si="125"/>
        <v/>
      </c>
      <c r="G134" s="37" t="str">
        <f t="shared" si="126"/>
        <v/>
      </c>
      <c r="H134" s="37" t="str">
        <f t="shared" si="127"/>
        <v/>
      </c>
      <c r="I134" s="37" t="str">
        <f t="shared" si="128"/>
        <v/>
      </c>
      <c r="J134" s="37" t="str">
        <f t="shared" si="129"/>
        <v/>
      </c>
      <c r="K134" s="37" t="str">
        <f t="shared" si="130"/>
        <v/>
      </c>
      <c r="L134" s="37" t="str">
        <f t="shared" si="131"/>
        <v/>
      </c>
      <c r="M134" s="37">
        <f t="shared" si="132"/>
        <v>5.0000000000000001E-3</v>
      </c>
      <c r="N134">
        <v>2</v>
      </c>
      <c r="O134" s="42" t="s">
        <v>1314</v>
      </c>
      <c r="P134">
        <v>1570</v>
      </c>
      <c r="U134">
        <v>5.0000000000000001E-3</v>
      </c>
      <c r="V134">
        <v>25</v>
      </c>
      <c r="W134">
        <f t="shared" si="133"/>
        <v>0.5</v>
      </c>
      <c r="X134" s="37" t="s">
        <v>945</v>
      </c>
    </row>
    <row r="135" spans="4:24">
      <c r="D135" s="37" t="str">
        <f t="shared" si="123"/>
        <v/>
      </c>
      <c r="E135" s="37" t="str">
        <f t="shared" si="124"/>
        <v/>
      </c>
      <c r="F135" s="37">
        <f t="shared" si="125"/>
        <v>13</v>
      </c>
      <c r="G135" s="37">
        <f t="shared" si="126"/>
        <v>2.1</v>
      </c>
      <c r="H135" s="37" t="str">
        <f t="shared" si="127"/>
        <v/>
      </c>
      <c r="I135" s="37" t="str">
        <f t="shared" si="128"/>
        <v/>
      </c>
      <c r="J135" s="37" t="str">
        <f t="shared" si="129"/>
        <v/>
      </c>
      <c r="K135" s="37" t="str">
        <f t="shared" si="130"/>
        <v/>
      </c>
      <c r="L135" s="37" t="str">
        <f t="shared" si="131"/>
        <v/>
      </c>
      <c r="M135" s="37">
        <f t="shared" si="132"/>
        <v>5.0000000000000001E-3</v>
      </c>
      <c r="N135">
        <v>2</v>
      </c>
      <c r="O135" s="42" t="s">
        <v>115</v>
      </c>
      <c r="Q135">
        <v>63</v>
      </c>
      <c r="U135">
        <v>5.0000000000000001E-3</v>
      </c>
      <c r="V135">
        <v>25</v>
      </c>
      <c r="W135">
        <f t="shared" si="133"/>
        <v>0.5</v>
      </c>
      <c r="X135" s="37" t="s">
        <v>1315</v>
      </c>
    </row>
    <row r="136" spans="4:24">
      <c r="D136" s="37">
        <f t="shared" si="123"/>
        <v>432</v>
      </c>
      <c r="E136" s="37">
        <f t="shared" si="124"/>
        <v>72</v>
      </c>
      <c r="F136" s="37" t="str">
        <f t="shared" si="125"/>
        <v/>
      </c>
      <c r="G136" s="37" t="str">
        <f t="shared" si="126"/>
        <v/>
      </c>
      <c r="H136" s="37" t="str">
        <f t="shared" si="127"/>
        <v/>
      </c>
      <c r="I136" s="37" t="str">
        <f t="shared" si="128"/>
        <v/>
      </c>
      <c r="J136" s="37" t="str">
        <f t="shared" si="129"/>
        <v/>
      </c>
      <c r="K136" s="37" t="str">
        <f t="shared" si="130"/>
        <v/>
      </c>
      <c r="L136" s="37" t="str">
        <f t="shared" si="131"/>
        <v/>
      </c>
      <c r="M136" s="37" t="str">
        <f t="shared" si="132"/>
        <v/>
      </c>
      <c r="N136">
        <v>2</v>
      </c>
      <c r="O136" s="42" t="s">
        <v>109</v>
      </c>
      <c r="P136">
        <v>2160</v>
      </c>
      <c r="V136">
        <v>25</v>
      </c>
      <c r="W136">
        <f t="shared" si="133"/>
        <v>0.5</v>
      </c>
      <c r="X136" s="37" t="s">
        <v>1316</v>
      </c>
    </row>
    <row r="137" spans="4:24">
      <c r="D137" s="37" t="str">
        <f t="shared" si="123"/>
        <v/>
      </c>
      <c r="E137" s="37" t="str">
        <f t="shared" si="124"/>
        <v/>
      </c>
      <c r="F137" s="37" t="str">
        <f t="shared" si="125"/>
        <v/>
      </c>
      <c r="G137" s="37" t="str">
        <f t="shared" si="126"/>
        <v/>
      </c>
      <c r="H137" s="37">
        <f t="shared" si="127"/>
        <v>40</v>
      </c>
      <c r="I137" s="37">
        <f t="shared" si="128"/>
        <v>6.6</v>
      </c>
      <c r="J137" s="37" t="str">
        <f t="shared" si="129"/>
        <v/>
      </c>
      <c r="K137" s="37" t="str">
        <f t="shared" si="130"/>
        <v/>
      </c>
      <c r="L137" s="37">
        <f t="shared" si="131"/>
        <v>25</v>
      </c>
      <c r="M137" s="37" t="str">
        <f t="shared" si="132"/>
        <v/>
      </c>
      <c r="N137">
        <v>1</v>
      </c>
      <c r="O137" s="43" t="s">
        <v>116</v>
      </c>
      <c r="R137">
        <v>198</v>
      </c>
      <c r="T137">
        <v>25</v>
      </c>
      <c r="V137">
        <v>25</v>
      </c>
      <c r="W137">
        <f t="shared" si="133"/>
        <v>1</v>
      </c>
      <c r="X137" s="37" t="s">
        <v>1088</v>
      </c>
    </row>
    <row r="138" spans="4:24">
      <c r="D138" s="37">
        <f t="shared" si="123"/>
        <v>420</v>
      </c>
      <c r="E138" s="37">
        <f t="shared" si="124"/>
        <v>70</v>
      </c>
      <c r="F138" s="37">
        <f t="shared" si="125"/>
        <v>18</v>
      </c>
      <c r="G138" s="37">
        <f t="shared" si="126"/>
        <v>3</v>
      </c>
      <c r="H138" s="37" t="str">
        <f t="shared" si="127"/>
        <v/>
      </c>
      <c r="I138" s="37" t="str">
        <f t="shared" si="128"/>
        <v/>
      </c>
      <c r="J138" s="37" t="str">
        <f t="shared" si="129"/>
        <v/>
      </c>
      <c r="K138" s="37" t="str">
        <f t="shared" si="130"/>
        <v/>
      </c>
      <c r="L138" s="37">
        <f t="shared" si="131"/>
        <v>15</v>
      </c>
      <c r="M138" s="37" t="str">
        <f t="shared" si="132"/>
        <v/>
      </c>
      <c r="N138">
        <v>1</v>
      </c>
      <c r="O138" s="43" t="s">
        <v>117</v>
      </c>
      <c r="P138">
        <v>2100</v>
      </c>
      <c r="Q138">
        <v>90</v>
      </c>
      <c r="T138">
        <v>15</v>
      </c>
      <c r="V138">
        <v>25</v>
      </c>
      <c r="W138">
        <f t="shared" si="133"/>
        <v>1</v>
      </c>
      <c r="X138" s="37" t="s">
        <v>1089</v>
      </c>
    </row>
    <row r="139" spans="4:24">
      <c r="D139" s="37">
        <f t="shared" si="123"/>
        <v>370</v>
      </c>
      <c r="E139" s="37">
        <f t="shared" si="124"/>
        <v>61.67</v>
      </c>
      <c r="F139" s="37">
        <f t="shared" si="125"/>
        <v>20</v>
      </c>
      <c r="G139" s="37">
        <f t="shared" si="126"/>
        <v>3.33</v>
      </c>
      <c r="H139" s="37">
        <f t="shared" si="127"/>
        <v>20</v>
      </c>
      <c r="I139" s="37">
        <f t="shared" si="128"/>
        <v>3.33</v>
      </c>
      <c r="J139" s="37" t="str">
        <f t="shared" si="129"/>
        <v/>
      </c>
      <c r="K139" s="37" t="str">
        <f t="shared" si="130"/>
        <v/>
      </c>
      <c r="L139" s="37" t="str">
        <f t="shared" si="131"/>
        <v/>
      </c>
      <c r="M139" s="37" t="str">
        <f t="shared" si="132"/>
        <v/>
      </c>
      <c r="N139">
        <v>1</v>
      </c>
      <c r="O139" s="33" t="s">
        <v>142</v>
      </c>
      <c r="P139">
        <v>1850</v>
      </c>
      <c r="Q139">
        <v>100</v>
      </c>
      <c r="R139">
        <v>100</v>
      </c>
      <c r="V139">
        <v>25</v>
      </c>
      <c r="W139">
        <f t="shared" si="133"/>
        <v>1</v>
      </c>
      <c r="X139" s="37" t="s">
        <v>1090</v>
      </c>
    </row>
    <row r="140" spans="4:24">
      <c r="D140" s="37"/>
      <c r="E140" s="37"/>
      <c r="F140" s="37"/>
      <c r="G140" s="37"/>
      <c r="H140" s="37"/>
      <c r="I140" s="37"/>
      <c r="J140" s="37"/>
      <c r="K140" s="37"/>
      <c r="L140" s="37"/>
      <c r="M140" s="37"/>
      <c r="N140" s="23" t="s">
        <v>1237</v>
      </c>
      <c r="P140" s="101" t="s">
        <v>1125</v>
      </c>
      <c r="Q140" s="101" t="s">
        <v>1126</v>
      </c>
      <c r="R140" s="101" t="s">
        <v>1127</v>
      </c>
      <c r="S140" s="101" t="s">
        <v>1128</v>
      </c>
      <c r="T140" s="101" t="s">
        <v>1129</v>
      </c>
      <c r="U140" s="101" t="s">
        <v>1130</v>
      </c>
      <c r="V140" s="101" t="s">
        <v>1131</v>
      </c>
      <c r="W140" s="101" t="s">
        <v>1152</v>
      </c>
      <c r="X140" s="37"/>
    </row>
    <row r="141" spans="4:24">
      <c r="D141" s="37">
        <f t="shared" si="123"/>
        <v>560</v>
      </c>
      <c r="E141" s="37">
        <f t="shared" si="124"/>
        <v>93.33</v>
      </c>
      <c r="F141" s="37">
        <f t="shared" si="125"/>
        <v>10</v>
      </c>
      <c r="G141" s="37">
        <f t="shared" si="126"/>
        <v>1.67</v>
      </c>
      <c r="H141" s="37">
        <f t="shared" si="127"/>
        <v>10</v>
      </c>
      <c r="I141" s="37">
        <f t="shared" si="128"/>
        <v>1.67</v>
      </c>
      <c r="J141" s="37" t="str">
        <f t="shared" si="129"/>
        <v/>
      </c>
      <c r="K141" s="37" t="str">
        <f t="shared" si="130"/>
        <v/>
      </c>
      <c r="L141" s="37" t="str">
        <f t="shared" si="131"/>
        <v/>
      </c>
      <c r="M141" s="37" t="str">
        <f t="shared" si="132"/>
        <v/>
      </c>
      <c r="N141" t="s">
        <v>6</v>
      </c>
      <c r="O141" s="35" t="s">
        <v>858</v>
      </c>
      <c r="P141">
        <v>2800</v>
      </c>
      <c r="Q141">
        <v>50</v>
      </c>
      <c r="R141">
        <v>50</v>
      </c>
      <c r="V141">
        <v>25</v>
      </c>
      <c r="W141">
        <f>IF(P141/D$21+Q141/E$21+R141/F$21+T141/H$21+U141/I$21=0,"",ROUND(P141/D$21+Q141/E$21+R141/F$21+T141/H$21+U141/I$21,2))</f>
        <v>1</v>
      </c>
      <c r="X141" s="37" t="s">
        <v>974</v>
      </c>
    </row>
    <row r="142" spans="4:24">
      <c r="D142" s="37" t="str">
        <f t="shared" si="123"/>
        <v/>
      </c>
      <c r="E142" s="37" t="str">
        <f t="shared" si="124"/>
        <v/>
      </c>
      <c r="F142" s="37">
        <f t="shared" si="125"/>
        <v>36</v>
      </c>
      <c r="G142" s="37">
        <f t="shared" si="126"/>
        <v>6</v>
      </c>
      <c r="H142" s="37">
        <f t="shared" si="127"/>
        <v>10</v>
      </c>
      <c r="I142" s="37">
        <f t="shared" si="128"/>
        <v>1.6</v>
      </c>
      <c r="J142" s="37" t="str">
        <f t="shared" si="129"/>
        <v/>
      </c>
      <c r="K142" s="37" t="str">
        <f t="shared" si="130"/>
        <v/>
      </c>
      <c r="L142" s="37" t="str">
        <f t="shared" si="131"/>
        <v/>
      </c>
      <c r="M142" s="37">
        <f t="shared" si="132"/>
        <v>0.02</v>
      </c>
      <c r="N142" t="s">
        <v>49</v>
      </c>
      <c r="O142" s="35" t="s">
        <v>859</v>
      </c>
      <c r="Q142">
        <v>180</v>
      </c>
      <c r="R142">
        <v>48</v>
      </c>
      <c r="U142">
        <v>0.02</v>
      </c>
      <c r="V142">
        <v>25</v>
      </c>
      <c r="W142">
        <f t="shared" ref="W142:W188" si="134">IF(P142/D$21+Q142/E$21+R142/F$21+T142/H$21+U142/I$21=0,"",ROUND(P142/D$21+Q142/E$21+R142/F$21+T142/H$21+U142/I$21,2))</f>
        <v>1</v>
      </c>
      <c r="X142" s="37" t="s">
        <v>975</v>
      </c>
    </row>
    <row r="143" spans="4:24">
      <c r="D143" s="37" t="str">
        <f t="shared" si="123"/>
        <v/>
      </c>
      <c r="E143" s="37" t="str">
        <f t="shared" si="124"/>
        <v/>
      </c>
      <c r="F143" s="37">
        <f t="shared" si="125"/>
        <v>46</v>
      </c>
      <c r="G143" s="37">
        <f t="shared" si="126"/>
        <v>7.6</v>
      </c>
      <c r="H143" s="37" t="str">
        <f t="shared" si="127"/>
        <v/>
      </c>
      <c r="I143" s="37" t="str">
        <f t="shared" si="128"/>
        <v/>
      </c>
      <c r="J143" s="37" t="str">
        <f t="shared" si="129"/>
        <v/>
      </c>
      <c r="K143" s="37" t="str">
        <f t="shared" si="130"/>
        <v/>
      </c>
      <c r="L143" s="37" t="str">
        <f t="shared" si="131"/>
        <v/>
      </c>
      <c r="M143" s="37">
        <f t="shared" si="132"/>
        <v>0.02</v>
      </c>
      <c r="N143" t="s">
        <v>50</v>
      </c>
      <c r="O143" s="35" t="s">
        <v>860</v>
      </c>
      <c r="Q143">
        <v>228</v>
      </c>
      <c r="U143">
        <v>0.02</v>
      </c>
      <c r="V143">
        <v>25</v>
      </c>
      <c r="W143">
        <f t="shared" si="134"/>
        <v>1</v>
      </c>
      <c r="X143" s="37" t="s">
        <v>949</v>
      </c>
    </row>
    <row r="144" spans="4:24">
      <c r="D144" s="37">
        <f t="shared" si="123"/>
        <v>332</v>
      </c>
      <c r="E144" s="37">
        <f t="shared" si="124"/>
        <v>55.33</v>
      </c>
      <c r="F144" s="37">
        <f t="shared" si="125"/>
        <v>26</v>
      </c>
      <c r="G144" s="37">
        <f t="shared" si="126"/>
        <v>4.4000000000000004</v>
      </c>
      <c r="H144" s="37">
        <f t="shared" si="127"/>
        <v>12</v>
      </c>
      <c r="I144" s="37">
        <f t="shared" si="128"/>
        <v>2</v>
      </c>
      <c r="J144" s="37" t="str">
        <f t="shared" si="129"/>
        <v/>
      </c>
      <c r="K144" s="37" t="str">
        <f t="shared" si="130"/>
        <v/>
      </c>
      <c r="L144" s="37" t="str">
        <f t="shared" si="131"/>
        <v/>
      </c>
      <c r="M144" s="37" t="str">
        <f t="shared" si="132"/>
        <v/>
      </c>
      <c r="N144" t="s">
        <v>910</v>
      </c>
      <c r="O144" s="35" t="s">
        <v>861</v>
      </c>
      <c r="P144">
        <v>1660</v>
      </c>
      <c r="Q144">
        <v>132</v>
      </c>
      <c r="R144">
        <v>60</v>
      </c>
      <c r="V144">
        <v>25</v>
      </c>
      <c r="W144">
        <f t="shared" si="134"/>
        <v>1</v>
      </c>
      <c r="X144" s="37" t="s">
        <v>136</v>
      </c>
    </row>
    <row r="145" spans="4:24">
      <c r="D145" s="37" t="str">
        <f t="shared" si="123"/>
        <v/>
      </c>
      <c r="E145" s="37" t="str">
        <f t="shared" si="124"/>
        <v/>
      </c>
      <c r="F145" s="37">
        <f t="shared" si="125"/>
        <v>36</v>
      </c>
      <c r="G145" s="37">
        <f t="shared" si="126"/>
        <v>6</v>
      </c>
      <c r="H145" s="37" t="str">
        <f t="shared" si="127"/>
        <v/>
      </c>
      <c r="I145" s="37" t="str">
        <f t="shared" si="128"/>
        <v/>
      </c>
      <c r="J145" s="37" t="str">
        <f t="shared" si="129"/>
        <v/>
      </c>
      <c r="K145" s="37" t="str">
        <f t="shared" si="130"/>
        <v/>
      </c>
      <c r="L145" s="37" t="str">
        <f t="shared" si="131"/>
        <v/>
      </c>
      <c r="M145" s="37">
        <f t="shared" si="132"/>
        <v>0.03</v>
      </c>
      <c r="N145" t="s">
        <v>899</v>
      </c>
      <c r="O145" s="35" t="s">
        <v>862</v>
      </c>
      <c r="Q145">
        <v>180</v>
      </c>
      <c r="U145">
        <v>0.03</v>
      </c>
      <c r="V145">
        <v>25</v>
      </c>
      <c r="W145">
        <f t="shared" si="134"/>
        <v>1</v>
      </c>
      <c r="X145" s="37" t="s">
        <v>962</v>
      </c>
    </row>
    <row r="146" spans="4:24">
      <c r="D146" s="37">
        <f t="shared" si="123"/>
        <v>360</v>
      </c>
      <c r="E146" s="37">
        <f t="shared" si="124"/>
        <v>60</v>
      </c>
      <c r="F146" s="37">
        <f t="shared" si="125"/>
        <v>24</v>
      </c>
      <c r="G146" s="37">
        <f t="shared" si="126"/>
        <v>4</v>
      </c>
      <c r="H146" s="37" t="str">
        <f t="shared" si="127"/>
        <v/>
      </c>
      <c r="I146" s="37" t="str">
        <f t="shared" si="128"/>
        <v/>
      </c>
      <c r="J146" s="37" t="str">
        <f t="shared" si="129"/>
        <v/>
      </c>
      <c r="K146" s="37" t="str">
        <f t="shared" si="130"/>
        <v/>
      </c>
      <c r="L146" s="37">
        <f t="shared" si="131"/>
        <v>10</v>
      </c>
      <c r="M146" s="37" t="str">
        <f t="shared" si="132"/>
        <v/>
      </c>
      <c r="N146" t="s">
        <v>911</v>
      </c>
      <c r="O146" s="35" t="s">
        <v>672</v>
      </c>
      <c r="P146">
        <v>1800</v>
      </c>
      <c r="Q146">
        <v>120</v>
      </c>
      <c r="T146">
        <v>10</v>
      </c>
      <c r="V146">
        <v>25</v>
      </c>
      <c r="W146">
        <f t="shared" si="134"/>
        <v>1</v>
      </c>
      <c r="X146" s="37" t="s">
        <v>963</v>
      </c>
    </row>
    <row r="147" spans="4:24">
      <c r="D147" s="37" t="str">
        <f t="shared" si="123"/>
        <v/>
      </c>
      <c r="E147" s="37" t="str">
        <f t="shared" si="124"/>
        <v/>
      </c>
      <c r="F147" s="37">
        <f t="shared" si="125"/>
        <v>55</v>
      </c>
      <c r="G147" s="37">
        <f t="shared" si="126"/>
        <v>9.17</v>
      </c>
      <c r="H147" s="37" t="str">
        <f t="shared" si="127"/>
        <v/>
      </c>
      <c r="I147" s="37" t="str">
        <f t="shared" si="128"/>
        <v/>
      </c>
      <c r="J147" s="37" t="str">
        <f t="shared" si="129"/>
        <v/>
      </c>
      <c r="K147" s="37" t="str">
        <f t="shared" si="130"/>
        <v/>
      </c>
      <c r="L147" s="37" t="str">
        <f t="shared" si="131"/>
        <v/>
      </c>
      <c r="M147" s="37">
        <f t="shared" si="132"/>
        <v>0.01</v>
      </c>
      <c r="N147" t="s">
        <v>912</v>
      </c>
      <c r="O147" s="35" t="s">
        <v>863</v>
      </c>
      <c r="Q147">
        <v>275</v>
      </c>
      <c r="U147">
        <v>0.01</v>
      </c>
      <c r="V147">
        <v>25</v>
      </c>
      <c r="W147">
        <f t="shared" si="134"/>
        <v>1</v>
      </c>
      <c r="X147" s="37" t="s">
        <v>1091</v>
      </c>
    </row>
    <row r="148" spans="4:24">
      <c r="D148" s="37">
        <f t="shared" si="123"/>
        <v>320</v>
      </c>
      <c r="E148" s="37">
        <f t="shared" si="124"/>
        <v>53.33</v>
      </c>
      <c r="F148" s="37">
        <f t="shared" si="125"/>
        <v>24</v>
      </c>
      <c r="G148" s="37">
        <f t="shared" si="126"/>
        <v>4</v>
      </c>
      <c r="H148" s="37">
        <f t="shared" si="127"/>
        <v>15</v>
      </c>
      <c r="I148" s="37">
        <f t="shared" si="128"/>
        <v>2.5</v>
      </c>
      <c r="J148" s="37" t="str">
        <f t="shared" si="129"/>
        <v/>
      </c>
      <c r="K148" s="37" t="str">
        <f t="shared" si="130"/>
        <v/>
      </c>
      <c r="L148" s="37" t="str">
        <f t="shared" si="131"/>
        <v/>
      </c>
      <c r="M148" s="37" t="str">
        <f t="shared" si="132"/>
        <v/>
      </c>
      <c r="N148" t="s">
        <v>35</v>
      </c>
      <c r="O148" s="35" t="s">
        <v>1238</v>
      </c>
      <c r="P148">
        <v>1600</v>
      </c>
      <c r="Q148">
        <v>120</v>
      </c>
      <c r="R148">
        <v>75</v>
      </c>
      <c r="V148">
        <v>25</v>
      </c>
      <c r="W148">
        <f t="shared" si="134"/>
        <v>1</v>
      </c>
      <c r="X148" s="37" t="s">
        <v>964</v>
      </c>
    </row>
    <row r="149" spans="4:24">
      <c r="D149" s="37" t="str">
        <f t="shared" si="123"/>
        <v/>
      </c>
      <c r="E149" s="37" t="str">
        <f t="shared" si="124"/>
        <v/>
      </c>
      <c r="F149" s="37">
        <f t="shared" si="125"/>
        <v>40</v>
      </c>
      <c r="G149" s="37">
        <f t="shared" si="126"/>
        <v>6.67</v>
      </c>
      <c r="H149" s="37">
        <f t="shared" si="127"/>
        <v>25</v>
      </c>
      <c r="I149" s="37">
        <f t="shared" si="128"/>
        <v>4.17</v>
      </c>
      <c r="J149" s="37" t="str">
        <f t="shared" si="129"/>
        <v/>
      </c>
      <c r="K149" s="37" t="str">
        <f t="shared" si="130"/>
        <v/>
      </c>
      <c r="L149" s="37" t="str">
        <f t="shared" si="131"/>
        <v/>
      </c>
      <c r="M149" s="37" t="str">
        <f t="shared" si="132"/>
        <v/>
      </c>
      <c r="N149" t="s">
        <v>36</v>
      </c>
      <c r="O149" s="35" t="s">
        <v>675</v>
      </c>
      <c r="Q149">
        <v>200</v>
      </c>
      <c r="R149">
        <v>125</v>
      </c>
      <c r="V149">
        <v>25</v>
      </c>
      <c r="W149">
        <f t="shared" si="134"/>
        <v>1</v>
      </c>
      <c r="X149" s="37" t="s">
        <v>965</v>
      </c>
    </row>
    <row r="150" spans="4:24">
      <c r="D150" s="37">
        <f t="shared" si="123"/>
        <v>110</v>
      </c>
      <c r="E150" s="37">
        <f t="shared" si="124"/>
        <v>18.329999999999998</v>
      </c>
      <c r="F150" s="37">
        <f t="shared" si="125"/>
        <v>40</v>
      </c>
      <c r="G150" s="37">
        <f t="shared" si="126"/>
        <v>6.67</v>
      </c>
      <c r="H150" s="37">
        <f t="shared" si="127"/>
        <v>16</v>
      </c>
      <c r="I150" s="37">
        <f t="shared" si="128"/>
        <v>2.67</v>
      </c>
      <c r="J150" s="37" t="str">
        <f t="shared" si="129"/>
        <v/>
      </c>
      <c r="K150" s="37" t="str">
        <f t="shared" si="130"/>
        <v/>
      </c>
      <c r="L150" s="37" t="str">
        <f t="shared" si="131"/>
        <v/>
      </c>
      <c r="M150" s="37" t="str">
        <f t="shared" si="132"/>
        <v/>
      </c>
      <c r="N150" t="s">
        <v>51</v>
      </c>
      <c r="O150" s="35" t="s">
        <v>864</v>
      </c>
      <c r="P150">
        <v>550</v>
      </c>
      <c r="Q150">
        <v>200</v>
      </c>
      <c r="R150">
        <v>80</v>
      </c>
      <c r="V150">
        <v>25</v>
      </c>
      <c r="W150">
        <f t="shared" si="134"/>
        <v>1</v>
      </c>
      <c r="X150" s="37" t="s">
        <v>966</v>
      </c>
    </row>
    <row r="151" spans="4:24">
      <c r="D151" s="37" t="str">
        <f t="shared" si="123"/>
        <v/>
      </c>
      <c r="E151" s="37" t="str">
        <f t="shared" si="124"/>
        <v/>
      </c>
      <c r="F151" s="37">
        <f t="shared" si="125"/>
        <v>46</v>
      </c>
      <c r="G151" s="37">
        <f t="shared" si="126"/>
        <v>7.6</v>
      </c>
      <c r="H151" s="37" t="str">
        <f t="shared" si="127"/>
        <v/>
      </c>
      <c r="I151" s="37" t="str">
        <f t="shared" si="128"/>
        <v/>
      </c>
      <c r="J151" s="37" t="str">
        <f t="shared" si="129"/>
        <v/>
      </c>
      <c r="K151" s="37" t="str">
        <f t="shared" si="130"/>
        <v/>
      </c>
      <c r="L151" s="37" t="str">
        <f t="shared" si="131"/>
        <v/>
      </c>
      <c r="M151" s="37">
        <f t="shared" si="132"/>
        <v>0.02</v>
      </c>
      <c r="N151" t="s">
        <v>37</v>
      </c>
      <c r="O151" s="35" t="s">
        <v>865</v>
      </c>
      <c r="Q151">
        <v>228</v>
      </c>
      <c r="U151">
        <v>0.02</v>
      </c>
      <c r="V151">
        <v>25</v>
      </c>
      <c r="W151">
        <f t="shared" si="134"/>
        <v>1</v>
      </c>
      <c r="X151" s="37" t="s">
        <v>967</v>
      </c>
    </row>
    <row r="152" spans="4:24">
      <c r="D152" s="37" t="str">
        <f t="shared" si="123"/>
        <v/>
      </c>
      <c r="E152" s="37" t="str">
        <f t="shared" si="124"/>
        <v/>
      </c>
      <c r="F152" s="37">
        <f t="shared" si="125"/>
        <v>31</v>
      </c>
      <c r="G152" s="37">
        <f t="shared" si="126"/>
        <v>5.0999999999999996</v>
      </c>
      <c r="H152" s="37">
        <f t="shared" si="127"/>
        <v>15</v>
      </c>
      <c r="I152" s="37">
        <f t="shared" si="128"/>
        <v>2.5</v>
      </c>
      <c r="J152" s="37" t="str">
        <f t="shared" si="129"/>
        <v/>
      </c>
      <c r="K152" s="37" t="str">
        <f t="shared" si="130"/>
        <v/>
      </c>
      <c r="L152" s="37" t="str">
        <f t="shared" si="131"/>
        <v/>
      </c>
      <c r="M152" s="37">
        <f t="shared" si="132"/>
        <v>0.02</v>
      </c>
      <c r="N152" t="s">
        <v>38</v>
      </c>
      <c r="O152" s="35" t="s">
        <v>866</v>
      </c>
      <c r="Q152">
        <v>153</v>
      </c>
      <c r="R152">
        <v>75</v>
      </c>
      <c r="U152">
        <v>0.02</v>
      </c>
      <c r="V152">
        <v>25</v>
      </c>
      <c r="W152">
        <f t="shared" si="134"/>
        <v>1</v>
      </c>
      <c r="X152" s="37" t="s">
        <v>968</v>
      </c>
    </row>
    <row r="153" spans="4:24">
      <c r="D153" s="37">
        <f t="shared" si="123"/>
        <v>250</v>
      </c>
      <c r="E153" s="37">
        <f t="shared" si="124"/>
        <v>41.67</v>
      </c>
      <c r="F153" s="37">
        <f t="shared" si="125"/>
        <v>45</v>
      </c>
      <c r="G153" s="37">
        <f t="shared" si="126"/>
        <v>7.5</v>
      </c>
      <c r="H153" s="37" t="str">
        <f t="shared" si="127"/>
        <v/>
      </c>
      <c r="I153" s="37" t="str">
        <f t="shared" si="128"/>
        <v/>
      </c>
      <c r="J153" s="37" t="str">
        <f t="shared" si="129"/>
        <v/>
      </c>
      <c r="K153" s="37" t="str">
        <f t="shared" si="130"/>
        <v/>
      </c>
      <c r="L153" s="37" t="str">
        <f t="shared" si="131"/>
        <v/>
      </c>
      <c r="M153" s="37" t="str">
        <f t="shared" si="132"/>
        <v/>
      </c>
      <c r="N153" t="s">
        <v>900</v>
      </c>
      <c r="O153" s="35" t="s">
        <v>867</v>
      </c>
      <c r="P153">
        <v>1250</v>
      </c>
      <c r="Q153">
        <v>225</v>
      </c>
      <c r="V153">
        <v>25</v>
      </c>
      <c r="W153">
        <f t="shared" si="134"/>
        <v>1</v>
      </c>
      <c r="X153" s="37" t="s">
        <v>1239</v>
      </c>
    </row>
    <row r="154" spans="4:24">
      <c r="D154" s="37" t="str">
        <f t="shared" si="123"/>
        <v/>
      </c>
      <c r="E154" s="37" t="str">
        <f t="shared" si="124"/>
        <v/>
      </c>
      <c r="F154" s="37">
        <f t="shared" si="125"/>
        <v>23</v>
      </c>
      <c r="G154" s="37">
        <f t="shared" si="126"/>
        <v>3.83</v>
      </c>
      <c r="H154" s="37">
        <f t="shared" si="127"/>
        <v>30</v>
      </c>
      <c r="I154" s="37">
        <f t="shared" si="128"/>
        <v>5</v>
      </c>
      <c r="J154" s="37" t="str">
        <f t="shared" si="129"/>
        <v/>
      </c>
      <c r="K154" s="37" t="str">
        <f t="shared" si="130"/>
        <v/>
      </c>
      <c r="L154" s="37">
        <f t="shared" si="131"/>
        <v>10</v>
      </c>
      <c r="M154" s="37" t="str">
        <f t="shared" si="132"/>
        <v/>
      </c>
      <c r="N154" t="s">
        <v>913</v>
      </c>
      <c r="O154" s="35" t="s">
        <v>868</v>
      </c>
      <c r="Q154">
        <v>115</v>
      </c>
      <c r="R154">
        <v>150</v>
      </c>
      <c r="T154">
        <v>10</v>
      </c>
      <c r="V154">
        <v>25</v>
      </c>
      <c r="W154">
        <f t="shared" si="134"/>
        <v>1</v>
      </c>
      <c r="X154" s="37" t="s">
        <v>969</v>
      </c>
    </row>
    <row r="155" spans="4:24">
      <c r="D155" s="37" t="str">
        <f t="shared" si="123"/>
        <v/>
      </c>
      <c r="E155" s="37" t="str">
        <f t="shared" si="124"/>
        <v/>
      </c>
      <c r="F155" s="37">
        <f t="shared" si="125"/>
        <v>46</v>
      </c>
      <c r="G155" s="37">
        <f t="shared" si="126"/>
        <v>7.6</v>
      </c>
      <c r="H155" s="37" t="str">
        <f t="shared" si="127"/>
        <v/>
      </c>
      <c r="I155" s="37" t="str">
        <f t="shared" si="128"/>
        <v/>
      </c>
      <c r="J155" s="37" t="str">
        <f t="shared" si="129"/>
        <v/>
      </c>
      <c r="K155" s="37" t="str">
        <f t="shared" si="130"/>
        <v/>
      </c>
      <c r="L155" s="37" t="str">
        <f t="shared" si="131"/>
        <v/>
      </c>
      <c r="M155" s="37">
        <f t="shared" si="132"/>
        <v>0.02</v>
      </c>
      <c r="N155" t="s">
        <v>914</v>
      </c>
      <c r="O155" s="35" t="s">
        <v>869</v>
      </c>
      <c r="Q155">
        <v>228</v>
      </c>
      <c r="U155">
        <v>0.02</v>
      </c>
      <c r="V155">
        <v>25</v>
      </c>
      <c r="W155">
        <f t="shared" si="134"/>
        <v>1</v>
      </c>
      <c r="X155" s="37" t="s">
        <v>970</v>
      </c>
    </row>
    <row r="156" spans="4:24">
      <c r="D156" s="37" t="str">
        <f t="shared" si="123"/>
        <v/>
      </c>
      <c r="E156" s="37" t="str">
        <f t="shared" si="124"/>
        <v/>
      </c>
      <c r="F156" s="37">
        <f t="shared" si="125"/>
        <v>36</v>
      </c>
      <c r="G156" s="37">
        <f t="shared" si="126"/>
        <v>6</v>
      </c>
      <c r="H156" s="37" t="str">
        <f t="shared" si="127"/>
        <v/>
      </c>
      <c r="I156" s="37" t="str">
        <f t="shared" si="128"/>
        <v/>
      </c>
      <c r="J156" s="37" t="str">
        <f t="shared" si="129"/>
        <v/>
      </c>
      <c r="K156" s="37" t="str">
        <f t="shared" si="130"/>
        <v/>
      </c>
      <c r="L156" s="37" t="str">
        <f t="shared" si="131"/>
        <v/>
      </c>
      <c r="M156" s="37">
        <f t="shared" si="132"/>
        <v>0.03</v>
      </c>
      <c r="N156" t="s">
        <v>915</v>
      </c>
      <c r="O156" s="35" t="s">
        <v>870</v>
      </c>
      <c r="Q156">
        <v>180</v>
      </c>
      <c r="U156">
        <v>0.03</v>
      </c>
      <c r="V156">
        <v>25</v>
      </c>
      <c r="W156">
        <f t="shared" si="134"/>
        <v>1</v>
      </c>
      <c r="X156" s="37" t="s">
        <v>1280</v>
      </c>
    </row>
    <row r="157" spans="4:24">
      <c r="D157" s="37" t="str">
        <f t="shared" si="123"/>
        <v/>
      </c>
      <c r="E157" s="37" t="str">
        <f t="shared" si="124"/>
        <v/>
      </c>
      <c r="F157" s="37">
        <f t="shared" si="125"/>
        <v>35</v>
      </c>
      <c r="G157" s="37">
        <f t="shared" si="126"/>
        <v>5.83</v>
      </c>
      <c r="H157" s="37">
        <f t="shared" si="127"/>
        <v>20</v>
      </c>
      <c r="I157" s="37">
        <f t="shared" si="128"/>
        <v>3.33</v>
      </c>
      <c r="J157" s="37" t="str">
        <f t="shared" si="129"/>
        <v/>
      </c>
      <c r="K157" s="37" t="str">
        <f t="shared" si="130"/>
        <v/>
      </c>
      <c r="L157" s="37" t="str">
        <f t="shared" si="131"/>
        <v/>
      </c>
      <c r="M157" s="37">
        <f t="shared" si="132"/>
        <v>0.01</v>
      </c>
      <c r="N157" t="s">
        <v>916</v>
      </c>
      <c r="O157" s="35" t="s">
        <v>871</v>
      </c>
      <c r="Q157">
        <v>175</v>
      </c>
      <c r="R157">
        <v>100</v>
      </c>
      <c r="U157">
        <v>0.01</v>
      </c>
      <c r="V157">
        <v>25</v>
      </c>
      <c r="W157">
        <f t="shared" si="134"/>
        <v>1</v>
      </c>
      <c r="X157" s="37" t="s">
        <v>971</v>
      </c>
    </row>
    <row r="158" spans="4:24">
      <c r="D158" s="37">
        <f t="shared" si="123"/>
        <v>200</v>
      </c>
      <c r="E158" s="37">
        <f t="shared" si="124"/>
        <v>33.33</v>
      </c>
      <c r="F158" s="37">
        <f t="shared" si="125"/>
        <v>29</v>
      </c>
      <c r="G158" s="37">
        <f t="shared" si="126"/>
        <v>4.83</v>
      </c>
      <c r="H158" s="37">
        <f t="shared" si="127"/>
        <v>20</v>
      </c>
      <c r="I158" s="37">
        <f t="shared" si="128"/>
        <v>3.33</v>
      </c>
      <c r="J158" s="37" t="str">
        <f t="shared" si="129"/>
        <v/>
      </c>
      <c r="K158" s="37" t="str">
        <f t="shared" si="130"/>
        <v/>
      </c>
      <c r="L158" s="37" t="str">
        <f t="shared" si="131"/>
        <v/>
      </c>
      <c r="M158" s="37" t="str">
        <f t="shared" si="132"/>
        <v/>
      </c>
      <c r="N158" t="s">
        <v>917</v>
      </c>
      <c r="O158" s="35" t="s">
        <v>872</v>
      </c>
      <c r="P158">
        <v>1000</v>
      </c>
      <c r="Q158">
        <v>145</v>
      </c>
      <c r="R158">
        <v>100</v>
      </c>
      <c r="V158">
        <v>25</v>
      </c>
      <c r="W158">
        <f t="shared" si="134"/>
        <v>1</v>
      </c>
      <c r="X158" s="37" t="s">
        <v>1240</v>
      </c>
    </row>
    <row r="159" spans="4:24">
      <c r="D159" s="37" t="str">
        <f t="shared" si="123"/>
        <v/>
      </c>
      <c r="E159" s="37" t="str">
        <f t="shared" si="124"/>
        <v/>
      </c>
      <c r="F159" s="37">
        <f t="shared" si="125"/>
        <v>36</v>
      </c>
      <c r="G159" s="37">
        <f t="shared" si="126"/>
        <v>6</v>
      </c>
      <c r="H159" s="37" t="str">
        <f t="shared" si="127"/>
        <v/>
      </c>
      <c r="I159" s="37" t="str">
        <f t="shared" si="128"/>
        <v/>
      </c>
      <c r="J159" s="37" t="str">
        <f t="shared" si="129"/>
        <v/>
      </c>
      <c r="K159" s="37" t="str">
        <f t="shared" si="130"/>
        <v/>
      </c>
      <c r="L159" s="37" t="str">
        <f t="shared" si="131"/>
        <v/>
      </c>
      <c r="M159" s="37">
        <f t="shared" si="132"/>
        <v>0.03</v>
      </c>
      <c r="N159" t="s">
        <v>901</v>
      </c>
      <c r="O159" s="35" t="s">
        <v>873</v>
      </c>
      <c r="Q159">
        <v>180</v>
      </c>
      <c r="U159">
        <v>0.03</v>
      </c>
      <c r="V159">
        <v>25</v>
      </c>
      <c r="W159">
        <f t="shared" si="134"/>
        <v>1</v>
      </c>
      <c r="X159" s="37" t="s">
        <v>1281</v>
      </c>
    </row>
    <row r="160" spans="4:24">
      <c r="D160" s="37" t="str">
        <f t="shared" si="123"/>
        <v/>
      </c>
      <c r="E160" s="37" t="str">
        <f t="shared" si="124"/>
        <v/>
      </c>
      <c r="F160" s="37">
        <f t="shared" si="125"/>
        <v>35</v>
      </c>
      <c r="G160" s="37">
        <f t="shared" si="126"/>
        <v>5.83</v>
      </c>
      <c r="H160" s="37">
        <f t="shared" si="127"/>
        <v>20</v>
      </c>
      <c r="I160" s="37">
        <f t="shared" si="128"/>
        <v>3.33</v>
      </c>
      <c r="J160" s="37" t="str">
        <f t="shared" si="129"/>
        <v/>
      </c>
      <c r="K160" s="37" t="str">
        <f t="shared" si="130"/>
        <v/>
      </c>
      <c r="L160" s="37" t="str">
        <f t="shared" si="131"/>
        <v/>
      </c>
      <c r="M160" s="37">
        <f t="shared" si="132"/>
        <v>0.01</v>
      </c>
      <c r="N160" t="s">
        <v>902</v>
      </c>
      <c r="O160" s="35" t="s">
        <v>874</v>
      </c>
      <c r="Q160">
        <v>175</v>
      </c>
      <c r="R160">
        <v>100</v>
      </c>
      <c r="U160">
        <v>0.01</v>
      </c>
      <c r="V160">
        <v>25</v>
      </c>
      <c r="W160">
        <f t="shared" si="134"/>
        <v>1</v>
      </c>
      <c r="X160" s="37" t="s">
        <v>972</v>
      </c>
    </row>
    <row r="161" spans="4:24">
      <c r="D161" s="37" t="str">
        <f t="shared" si="123"/>
        <v/>
      </c>
      <c r="E161" s="37" t="str">
        <f t="shared" si="124"/>
        <v/>
      </c>
      <c r="F161" s="37">
        <f t="shared" si="125"/>
        <v>36</v>
      </c>
      <c r="G161" s="37">
        <f t="shared" si="126"/>
        <v>6</v>
      </c>
      <c r="H161" s="37" t="str">
        <f t="shared" si="127"/>
        <v/>
      </c>
      <c r="I161" s="37" t="str">
        <f t="shared" si="128"/>
        <v/>
      </c>
      <c r="J161" s="37" t="str">
        <f t="shared" si="129"/>
        <v/>
      </c>
      <c r="K161" s="37" t="str">
        <f t="shared" si="130"/>
        <v/>
      </c>
      <c r="L161" s="37" t="str">
        <f t="shared" si="131"/>
        <v/>
      </c>
      <c r="M161" s="37">
        <f t="shared" si="132"/>
        <v>0.03</v>
      </c>
      <c r="N161" t="s">
        <v>918</v>
      </c>
      <c r="O161" s="35" t="s">
        <v>857</v>
      </c>
      <c r="Q161">
        <v>180</v>
      </c>
      <c r="U161">
        <v>0.03</v>
      </c>
      <c r="V161">
        <v>25</v>
      </c>
      <c r="W161">
        <f t="shared" si="134"/>
        <v>1</v>
      </c>
      <c r="X161" s="37" t="s">
        <v>946</v>
      </c>
    </row>
    <row r="162" spans="4:24">
      <c r="D162" s="37">
        <f t="shared" si="123"/>
        <v>200</v>
      </c>
      <c r="E162" s="37">
        <f t="shared" si="124"/>
        <v>33.33</v>
      </c>
      <c r="F162" s="37">
        <f t="shared" si="125"/>
        <v>8</v>
      </c>
      <c r="G162" s="37">
        <f t="shared" si="126"/>
        <v>1.33</v>
      </c>
      <c r="H162" s="37">
        <f t="shared" si="127"/>
        <v>29</v>
      </c>
      <c r="I162" s="37">
        <f t="shared" si="128"/>
        <v>4.83</v>
      </c>
      <c r="J162" s="37" t="str">
        <f t="shared" si="129"/>
        <v/>
      </c>
      <c r="K162" s="37" t="str">
        <f t="shared" si="130"/>
        <v/>
      </c>
      <c r="L162" s="37">
        <f t="shared" si="131"/>
        <v>10</v>
      </c>
      <c r="M162" s="37" t="str">
        <f t="shared" si="132"/>
        <v/>
      </c>
      <c r="N162" t="s">
        <v>919</v>
      </c>
      <c r="O162" s="35" t="s">
        <v>875</v>
      </c>
      <c r="P162">
        <v>1000</v>
      </c>
      <c r="Q162">
        <v>40</v>
      </c>
      <c r="R162">
        <v>145</v>
      </c>
      <c r="T162">
        <v>10</v>
      </c>
      <c r="V162">
        <v>25</v>
      </c>
      <c r="W162">
        <f t="shared" si="134"/>
        <v>1</v>
      </c>
      <c r="X162" s="37" t="s">
        <v>973</v>
      </c>
    </row>
    <row r="163" spans="4:24">
      <c r="D163" s="37" t="str">
        <f t="shared" si="123"/>
        <v/>
      </c>
      <c r="E163" s="37" t="str">
        <f t="shared" si="124"/>
        <v/>
      </c>
      <c r="F163" s="37">
        <f t="shared" si="125"/>
        <v>31</v>
      </c>
      <c r="G163" s="37">
        <f t="shared" si="126"/>
        <v>5.13</v>
      </c>
      <c r="H163" s="37">
        <f t="shared" si="127"/>
        <v>15</v>
      </c>
      <c r="I163" s="37">
        <f t="shared" si="128"/>
        <v>2.5</v>
      </c>
      <c r="J163" s="37" t="str">
        <f t="shared" si="129"/>
        <v/>
      </c>
      <c r="K163" s="37" t="str">
        <f t="shared" si="130"/>
        <v/>
      </c>
      <c r="L163" s="37" t="str">
        <f t="shared" si="131"/>
        <v/>
      </c>
      <c r="M163" s="37">
        <f t="shared" si="132"/>
        <v>0.02</v>
      </c>
      <c r="N163" t="s">
        <v>1278</v>
      </c>
      <c r="O163" s="35" t="s">
        <v>1252</v>
      </c>
      <c r="Q163">
        <v>154</v>
      </c>
      <c r="R163">
        <v>75</v>
      </c>
      <c r="U163">
        <v>0.02</v>
      </c>
      <c r="V163">
        <v>25</v>
      </c>
      <c r="W163">
        <f t="shared" si="134"/>
        <v>1</v>
      </c>
      <c r="X163" s="37" t="s">
        <v>1286</v>
      </c>
    </row>
    <row r="164" spans="4:24">
      <c r="D164" s="37">
        <f>IF(P164*$A$32=0,"",ROUND(P164*$A$32,0))</f>
        <v>240</v>
      </c>
      <c r="E164" s="37">
        <f t="shared" si="124"/>
        <v>40</v>
      </c>
      <c r="F164" s="37">
        <f t="shared" si="125"/>
        <v>36</v>
      </c>
      <c r="G164" s="37">
        <f t="shared" si="126"/>
        <v>6</v>
      </c>
      <c r="H164" s="37" t="str">
        <f t="shared" si="127"/>
        <v/>
      </c>
      <c r="I164" s="37" t="str">
        <f t="shared" si="128"/>
        <v/>
      </c>
      <c r="J164" s="37" t="str">
        <f t="shared" si="129"/>
        <v/>
      </c>
      <c r="K164" s="37" t="str">
        <f t="shared" si="130"/>
        <v/>
      </c>
      <c r="L164" s="37" t="str">
        <f t="shared" si="131"/>
        <v/>
      </c>
      <c r="M164" s="37">
        <f t="shared" si="132"/>
        <v>0.01</v>
      </c>
      <c r="N164" t="s">
        <v>1348</v>
      </c>
      <c r="O164" s="109" t="s">
        <v>1293</v>
      </c>
      <c r="P164">
        <v>1200</v>
      </c>
      <c r="Q164">
        <v>180</v>
      </c>
      <c r="U164">
        <v>0.01</v>
      </c>
      <c r="V164">
        <v>25</v>
      </c>
      <c r="W164">
        <f t="shared" si="134"/>
        <v>1</v>
      </c>
      <c r="X164" s="37" t="s">
        <v>1294</v>
      </c>
    </row>
    <row r="165" spans="4:24">
      <c r="D165" s="37" t="str">
        <f t="shared" si="123"/>
        <v/>
      </c>
      <c r="E165" s="37" t="str">
        <f t="shared" si="124"/>
        <v/>
      </c>
      <c r="F165" s="37">
        <f t="shared" si="125"/>
        <v>23</v>
      </c>
      <c r="G165" s="37">
        <f t="shared" si="126"/>
        <v>3.9</v>
      </c>
      <c r="H165" s="37">
        <f t="shared" si="127"/>
        <v>20</v>
      </c>
      <c r="I165" s="37">
        <f t="shared" si="128"/>
        <v>3.33</v>
      </c>
      <c r="J165" s="37" t="str">
        <f t="shared" si="129"/>
        <v/>
      </c>
      <c r="K165" s="37" t="str">
        <f t="shared" si="130"/>
        <v/>
      </c>
      <c r="L165" s="37">
        <f t="shared" si="131"/>
        <v>10</v>
      </c>
      <c r="M165" s="37">
        <f t="shared" si="132"/>
        <v>0.01</v>
      </c>
      <c r="N165" t="s">
        <v>1242</v>
      </c>
      <c r="O165" s="35" t="s">
        <v>1259</v>
      </c>
      <c r="Q165">
        <v>117</v>
      </c>
      <c r="R165">
        <v>100</v>
      </c>
      <c r="T165">
        <v>10</v>
      </c>
      <c r="U165">
        <v>0.01</v>
      </c>
      <c r="V165">
        <v>25</v>
      </c>
      <c r="W165">
        <f t="shared" si="134"/>
        <v>1</v>
      </c>
      <c r="X165" s="37" t="s">
        <v>1288</v>
      </c>
    </row>
    <row r="166" spans="4:24">
      <c r="D166" s="37">
        <f t="shared" si="123"/>
        <v>149</v>
      </c>
      <c r="E166" s="37">
        <f t="shared" si="124"/>
        <v>24.83</v>
      </c>
      <c r="F166" s="37">
        <f t="shared" si="125"/>
        <v>34</v>
      </c>
      <c r="G166" s="37">
        <f t="shared" si="126"/>
        <v>5.67</v>
      </c>
      <c r="H166" s="37" t="str">
        <f t="shared" si="127"/>
        <v/>
      </c>
      <c r="I166" s="37" t="str">
        <f t="shared" si="128"/>
        <v/>
      </c>
      <c r="J166" s="37" t="str">
        <f t="shared" si="129"/>
        <v/>
      </c>
      <c r="K166" s="37" t="str">
        <f t="shared" si="130"/>
        <v/>
      </c>
      <c r="L166" s="37" t="str">
        <f t="shared" si="131"/>
        <v/>
      </c>
      <c r="M166" s="37">
        <f t="shared" si="132"/>
        <v>0.02</v>
      </c>
      <c r="N166" t="s">
        <v>1243</v>
      </c>
      <c r="O166" s="35" t="s">
        <v>1253</v>
      </c>
      <c r="P166">
        <v>745</v>
      </c>
      <c r="Q166">
        <v>170</v>
      </c>
      <c r="U166">
        <v>0.02</v>
      </c>
      <c r="V166">
        <v>25</v>
      </c>
      <c r="W166">
        <f t="shared" si="134"/>
        <v>1</v>
      </c>
      <c r="X166" s="37" t="s">
        <v>1354</v>
      </c>
    </row>
    <row r="167" spans="4:24">
      <c r="D167" s="37">
        <f t="shared" si="123"/>
        <v>360</v>
      </c>
      <c r="E167" s="37">
        <f t="shared" si="124"/>
        <v>60</v>
      </c>
      <c r="F167" s="37">
        <f t="shared" si="125"/>
        <v>16</v>
      </c>
      <c r="G167" s="37">
        <f t="shared" si="126"/>
        <v>2.67</v>
      </c>
      <c r="H167" s="37">
        <f t="shared" si="127"/>
        <v>20</v>
      </c>
      <c r="I167" s="37">
        <f t="shared" si="128"/>
        <v>3.33</v>
      </c>
      <c r="J167" s="37" t="str">
        <f t="shared" si="129"/>
        <v/>
      </c>
      <c r="K167" s="37" t="str">
        <f t="shared" si="130"/>
        <v/>
      </c>
      <c r="L167" s="37" t="str">
        <f t="shared" si="131"/>
        <v/>
      </c>
      <c r="M167" s="37" t="str">
        <f t="shared" si="132"/>
        <v/>
      </c>
      <c r="N167" t="s">
        <v>1295</v>
      </c>
      <c r="O167" s="109" t="s">
        <v>1296</v>
      </c>
      <c r="P167">
        <v>1800</v>
      </c>
      <c r="Q167">
        <v>80</v>
      </c>
      <c r="R167">
        <v>100</v>
      </c>
      <c r="V167">
        <v>25</v>
      </c>
      <c r="W167">
        <f t="shared" si="134"/>
        <v>1</v>
      </c>
      <c r="X167" s="37" t="s">
        <v>1297</v>
      </c>
    </row>
    <row r="168" spans="4:24">
      <c r="D168" s="37">
        <f t="shared" si="123"/>
        <v>314</v>
      </c>
      <c r="E168" s="37">
        <f t="shared" si="124"/>
        <v>52.33</v>
      </c>
      <c r="F168" s="37">
        <f t="shared" si="125"/>
        <v>20</v>
      </c>
      <c r="G168" s="37">
        <f t="shared" si="126"/>
        <v>3.33</v>
      </c>
      <c r="H168" s="37">
        <f t="shared" si="127"/>
        <v>20</v>
      </c>
      <c r="I168" s="37">
        <f t="shared" si="128"/>
        <v>3.33</v>
      </c>
      <c r="J168" s="37" t="str">
        <f t="shared" si="129"/>
        <v/>
      </c>
      <c r="K168" s="37" t="str">
        <f t="shared" si="130"/>
        <v/>
      </c>
      <c r="L168" s="37" t="str">
        <f t="shared" si="131"/>
        <v/>
      </c>
      <c r="M168" s="37" t="str">
        <f t="shared" si="132"/>
        <v/>
      </c>
      <c r="N168" t="s">
        <v>1244</v>
      </c>
      <c r="O168" s="35" t="s">
        <v>1254</v>
      </c>
      <c r="P168">
        <v>1570</v>
      </c>
      <c r="Q168">
        <v>100</v>
      </c>
      <c r="R168">
        <v>100</v>
      </c>
      <c r="V168">
        <v>25</v>
      </c>
      <c r="W168">
        <f t="shared" si="134"/>
        <v>1</v>
      </c>
      <c r="X168" t="s">
        <v>1282</v>
      </c>
    </row>
    <row r="169" spans="4:24">
      <c r="D169" s="37">
        <f t="shared" si="123"/>
        <v>280</v>
      </c>
      <c r="E169" s="37">
        <f t="shared" si="124"/>
        <v>46.67</v>
      </c>
      <c r="F169" s="37">
        <f t="shared" si="125"/>
        <v>33</v>
      </c>
      <c r="G169" s="37">
        <f t="shared" si="126"/>
        <v>5.5</v>
      </c>
      <c r="H169" s="37" t="str">
        <f t="shared" si="127"/>
        <v/>
      </c>
      <c r="I169" s="37" t="str">
        <f t="shared" si="128"/>
        <v/>
      </c>
      <c r="J169" s="37" t="str">
        <f t="shared" si="129"/>
        <v/>
      </c>
      <c r="K169" s="37" t="str">
        <f t="shared" si="130"/>
        <v/>
      </c>
      <c r="L169" s="37" t="str">
        <f t="shared" si="131"/>
        <v/>
      </c>
      <c r="M169" s="37">
        <f t="shared" si="132"/>
        <v>0.01</v>
      </c>
      <c r="N169" t="s">
        <v>1298</v>
      </c>
      <c r="O169" s="109" t="s">
        <v>1299</v>
      </c>
      <c r="P169">
        <v>1400</v>
      </c>
      <c r="Q169">
        <v>165</v>
      </c>
      <c r="U169">
        <v>0.01</v>
      </c>
      <c r="V169">
        <v>25</v>
      </c>
      <c r="W169">
        <f t="shared" si="134"/>
        <v>1</v>
      </c>
      <c r="X169" t="s">
        <v>1300</v>
      </c>
    </row>
    <row r="170" spans="4:24">
      <c r="D170" s="37">
        <f t="shared" si="123"/>
        <v>218</v>
      </c>
      <c r="E170" s="37">
        <f t="shared" si="124"/>
        <v>36.33</v>
      </c>
      <c r="F170" s="37">
        <f t="shared" si="125"/>
        <v>38</v>
      </c>
      <c r="G170" s="37">
        <f t="shared" si="126"/>
        <v>6.33</v>
      </c>
      <c r="H170" s="37" t="str">
        <f t="shared" si="127"/>
        <v/>
      </c>
      <c r="I170" s="37" t="str">
        <f t="shared" si="128"/>
        <v/>
      </c>
      <c r="J170" s="37" t="str">
        <f t="shared" si="129"/>
        <v/>
      </c>
      <c r="K170" s="37" t="str">
        <f t="shared" si="130"/>
        <v/>
      </c>
      <c r="L170" s="37" t="str">
        <f t="shared" si="131"/>
        <v/>
      </c>
      <c r="M170" s="37">
        <f t="shared" si="132"/>
        <v>0.01</v>
      </c>
      <c r="N170" t="s">
        <v>1245</v>
      </c>
      <c r="O170" s="35" t="s">
        <v>1256</v>
      </c>
      <c r="P170">
        <v>1090</v>
      </c>
      <c r="Q170">
        <v>190</v>
      </c>
      <c r="U170">
        <v>0.01</v>
      </c>
      <c r="V170">
        <v>25</v>
      </c>
      <c r="W170">
        <f t="shared" si="134"/>
        <v>1</v>
      </c>
      <c r="X170" s="37" t="s">
        <v>1275</v>
      </c>
    </row>
    <row r="171" spans="4:24">
      <c r="D171" s="37" t="str">
        <f t="shared" si="123"/>
        <v/>
      </c>
      <c r="E171" s="37" t="str">
        <f t="shared" si="124"/>
        <v/>
      </c>
      <c r="F171" s="37" t="str">
        <f t="shared" si="125"/>
        <v/>
      </c>
      <c r="G171" s="37" t="str">
        <f t="shared" si="126"/>
        <v/>
      </c>
      <c r="H171" s="37" t="str">
        <f t="shared" si="127"/>
        <v/>
      </c>
      <c r="I171" s="37" t="str">
        <f t="shared" si="128"/>
        <v/>
      </c>
      <c r="J171" s="37" t="str">
        <f t="shared" si="129"/>
        <v/>
      </c>
      <c r="K171" s="37" t="str">
        <f t="shared" si="130"/>
        <v/>
      </c>
      <c r="L171" s="37" t="str">
        <f t="shared" si="131"/>
        <v/>
      </c>
      <c r="M171" s="37" t="str">
        <f t="shared" si="132"/>
        <v/>
      </c>
      <c r="N171" t="s">
        <v>1264</v>
      </c>
      <c r="O171" s="35" t="s">
        <v>1274</v>
      </c>
      <c r="W171" t="str">
        <f t="shared" si="134"/>
        <v/>
      </c>
      <c r="X171" s="37"/>
    </row>
    <row r="172" spans="4:24">
      <c r="D172" s="37" t="str">
        <f t="shared" si="123"/>
        <v/>
      </c>
      <c r="E172" s="37" t="str">
        <f t="shared" si="124"/>
        <v/>
      </c>
      <c r="F172" s="37" t="str">
        <f t="shared" si="125"/>
        <v/>
      </c>
      <c r="G172" s="37" t="str">
        <f t="shared" si="126"/>
        <v/>
      </c>
      <c r="H172" s="37" t="str">
        <f t="shared" si="127"/>
        <v/>
      </c>
      <c r="I172" s="37" t="str">
        <f t="shared" si="128"/>
        <v/>
      </c>
      <c r="J172" s="37" t="str">
        <f t="shared" si="129"/>
        <v/>
      </c>
      <c r="K172" s="37" t="str">
        <f t="shared" si="130"/>
        <v/>
      </c>
      <c r="L172" s="37" t="str">
        <f t="shared" si="131"/>
        <v/>
      </c>
      <c r="M172" s="37" t="str">
        <f t="shared" si="132"/>
        <v/>
      </c>
      <c r="N172" t="s">
        <v>1265</v>
      </c>
      <c r="O172" s="35" t="s">
        <v>1274</v>
      </c>
      <c r="W172" t="str">
        <f t="shared" si="134"/>
        <v/>
      </c>
      <c r="X172" s="37"/>
    </row>
    <row r="173" spans="4:24">
      <c r="D173" s="37" t="str">
        <f t="shared" si="123"/>
        <v/>
      </c>
      <c r="E173" s="37" t="str">
        <f t="shared" si="124"/>
        <v/>
      </c>
      <c r="F173" s="37" t="str">
        <f t="shared" si="125"/>
        <v/>
      </c>
      <c r="G173" s="37" t="str">
        <f t="shared" si="126"/>
        <v/>
      </c>
      <c r="H173" s="37" t="str">
        <f t="shared" si="127"/>
        <v/>
      </c>
      <c r="I173" s="37" t="str">
        <f t="shared" si="128"/>
        <v/>
      </c>
      <c r="J173" s="37" t="str">
        <f t="shared" si="129"/>
        <v/>
      </c>
      <c r="K173" s="37" t="str">
        <f t="shared" si="130"/>
        <v/>
      </c>
      <c r="L173" s="37" t="str">
        <f t="shared" si="131"/>
        <v/>
      </c>
      <c r="M173" s="37" t="str">
        <f t="shared" si="132"/>
        <v/>
      </c>
      <c r="N173" t="s">
        <v>1266</v>
      </c>
      <c r="O173" s="35" t="s">
        <v>1274</v>
      </c>
      <c r="W173" t="str">
        <f t="shared" si="134"/>
        <v/>
      </c>
      <c r="X173" s="37"/>
    </row>
    <row r="174" spans="4:24">
      <c r="D174" s="37">
        <f t="shared" si="123"/>
        <v>438</v>
      </c>
      <c r="E174" s="37">
        <f t="shared" si="124"/>
        <v>73</v>
      </c>
      <c r="F174" s="37">
        <f t="shared" si="125"/>
        <v>30</v>
      </c>
      <c r="G174" s="37">
        <f t="shared" si="126"/>
        <v>5</v>
      </c>
      <c r="H174" s="37" t="str">
        <f t="shared" si="127"/>
        <v/>
      </c>
      <c r="I174" s="37" t="str">
        <f t="shared" si="128"/>
        <v/>
      </c>
      <c r="J174" s="37" t="str">
        <f t="shared" si="129"/>
        <v/>
      </c>
      <c r="K174" s="37" t="str">
        <f t="shared" si="130"/>
        <v/>
      </c>
      <c r="L174" s="37" t="str">
        <f t="shared" si="131"/>
        <v/>
      </c>
      <c r="M174" s="37" t="str">
        <f t="shared" si="132"/>
        <v/>
      </c>
      <c r="N174" t="s">
        <v>1246</v>
      </c>
      <c r="O174" s="35" t="s">
        <v>1255</v>
      </c>
      <c r="P174">
        <v>2190</v>
      </c>
      <c r="Q174">
        <v>150</v>
      </c>
      <c r="V174">
        <v>25</v>
      </c>
      <c r="W174">
        <f t="shared" si="134"/>
        <v>1</v>
      </c>
      <c r="X174" s="37" t="s">
        <v>1260</v>
      </c>
    </row>
    <row r="175" spans="4:24">
      <c r="D175" s="37">
        <f t="shared" si="123"/>
        <v>438</v>
      </c>
      <c r="E175" s="37">
        <f t="shared" si="124"/>
        <v>73</v>
      </c>
      <c r="F175" s="37">
        <f t="shared" si="125"/>
        <v>30</v>
      </c>
      <c r="G175" s="37">
        <f t="shared" si="126"/>
        <v>5</v>
      </c>
      <c r="H175" s="37" t="str">
        <f t="shared" si="127"/>
        <v/>
      </c>
      <c r="I175" s="37" t="str">
        <f t="shared" si="128"/>
        <v/>
      </c>
      <c r="J175" s="37" t="str">
        <f t="shared" si="129"/>
        <v/>
      </c>
      <c r="K175" s="37" t="str">
        <f t="shared" si="130"/>
        <v/>
      </c>
      <c r="L175" s="37" t="str">
        <f t="shared" si="131"/>
        <v/>
      </c>
      <c r="M175" s="37" t="str">
        <f t="shared" si="132"/>
        <v/>
      </c>
      <c r="N175" t="s">
        <v>1267</v>
      </c>
      <c r="O175" s="111" t="s">
        <v>1355</v>
      </c>
      <c r="P175">
        <v>2190</v>
      </c>
      <c r="Q175">
        <v>150</v>
      </c>
      <c r="V175">
        <v>25</v>
      </c>
      <c r="W175">
        <f t="shared" si="134"/>
        <v>1</v>
      </c>
      <c r="X175" s="37" t="s">
        <v>1356</v>
      </c>
    </row>
    <row r="176" spans="4:24">
      <c r="D176" s="37">
        <f t="shared" si="123"/>
        <v>310</v>
      </c>
      <c r="E176" s="37">
        <f t="shared" si="124"/>
        <v>51.67</v>
      </c>
      <c r="F176" s="37">
        <f t="shared" si="125"/>
        <v>10</v>
      </c>
      <c r="G176" s="37">
        <f t="shared" si="126"/>
        <v>1.67</v>
      </c>
      <c r="H176" s="37">
        <f t="shared" si="127"/>
        <v>30</v>
      </c>
      <c r="I176" s="37">
        <f t="shared" si="128"/>
        <v>5</v>
      </c>
      <c r="J176" s="37" t="str">
        <f t="shared" si="129"/>
        <v/>
      </c>
      <c r="K176" s="37" t="str">
        <f t="shared" si="130"/>
        <v/>
      </c>
      <c r="L176" s="37" t="str">
        <f t="shared" si="131"/>
        <v/>
      </c>
      <c r="M176" s="37" t="str">
        <f t="shared" si="132"/>
        <v/>
      </c>
      <c r="N176" t="s">
        <v>1247</v>
      </c>
      <c r="O176" s="35" t="s">
        <v>1276</v>
      </c>
      <c r="P176">
        <v>1550</v>
      </c>
      <c r="Q176">
        <v>50</v>
      </c>
      <c r="R176">
        <v>150</v>
      </c>
      <c r="V176">
        <v>25</v>
      </c>
      <c r="W176">
        <f t="shared" si="134"/>
        <v>1</v>
      </c>
      <c r="X176" s="37" t="s">
        <v>1262</v>
      </c>
    </row>
    <row r="177" spans="4:24">
      <c r="D177" s="37" t="str">
        <f t="shared" si="123"/>
        <v/>
      </c>
      <c r="E177" s="37" t="str">
        <f t="shared" si="124"/>
        <v/>
      </c>
      <c r="F177" s="37" t="str">
        <f t="shared" si="125"/>
        <v/>
      </c>
      <c r="G177" s="37" t="str">
        <f t="shared" si="126"/>
        <v/>
      </c>
      <c r="H177" s="37" t="str">
        <f t="shared" si="127"/>
        <v/>
      </c>
      <c r="I177" s="37" t="str">
        <f t="shared" si="128"/>
        <v/>
      </c>
      <c r="J177" s="37" t="str">
        <f t="shared" si="129"/>
        <v/>
      </c>
      <c r="K177" s="37" t="str">
        <f t="shared" si="130"/>
        <v/>
      </c>
      <c r="L177" s="37" t="str">
        <f t="shared" si="131"/>
        <v/>
      </c>
      <c r="M177" s="37" t="str">
        <f t="shared" si="132"/>
        <v/>
      </c>
      <c r="N177" t="s">
        <v>1268</v>
      </c>
      <c r="O177" s="35" t="s">
        <v>1274</v>
      </c>
      <c r="W177" t="str">
        <f t="shared" si="134"/>
        <v/>
      </c>
      <c r="X177" s="37"/>
    </row>
    <row r="178" spans="4:24">
      <c r="D178" s="37">
        <f t="shared" si="123"/>
        <v>300</v>
      </c>
      <c r="E178" s="37">
        <f t="shared" si="124"/>
        <v>50</v>
      </c>
      <c r="F178" s="37">
        <f t="shared" si="125"/>
        <v>41</v>
      </c>
      <c r="G178" s="37">
        <f t="shared" si="126"/>
        <v>6.83</v>
      </c>
      <c r="H178" s="37" t="str">
        <f t="shared" si="127"/>
        <v/>
      </c>
      <c r="I178" s="37" t="str">
        <f t="shared" si="128"/>
        <v/>
      </c>
      <c r="J178" s="37" t="str">
        <f t="shared" si="129"/>
        <v/>
      </c>
      <c r="K178" s="37" t="str">
        <f t="shared" si="130"/>
        <v/>
      </c>
      <c r="L178" s="37" t="str">
        <f t="shared" si="131"/>
        <v/>
      </c>
      <c r="M178" s="37" t="str">
        <f t="shared" si="132"/>
        <v/>
      </c>
      <c r="N178" t="s">
        <v>1248</v>
      </c>
      <c r="O178" s="35" t="s">
        <v>1277</v>
      </c>
      <c r="P178">
        <v>1500</v>
      </c>
      <c r="Q178">
        <v>205</v>
      </c>
      <c r="V178">
        <v>25</v>
      </c>
      <c r="W178">
        <f t="shared" si="134"/>
        <v>1</v>
      </c>
      <c r="X178" s="37" t="s">
        <v>1349</v>
      </c>
    </row>
    <row r="179" spans="4:24">
      <c r="D179" s="37">
        <f t="shared" si="123"/>
        <v>260</v>
      </c>
      <c r="E179" s="37">
        <f t="shared" si="124"/>
        <v>43.33</v>
      </c>
      <c r="F179" s="37">
        <f t="shared" si="125"/>
        <v>20</v>
      </c>
      <c r="G179" s="37">
        <f t="shared" si="126"/>
        <v>3.33</v>
      </c>
      <c r="H179" s="37">
        <f t="shared" si="127"/>
        <v>24</v>
      </c>
      <c r="I179" s="37">
        <f t="shared" si="128"/>
        <v>4</v>
      </c>
      <c r="J179" s="37" t="str">
        <f t="shared" si="129"/>
        <v/>
      </c>
      <c r="K179" s="37" t="str">
        <f t="shared" si="130"/>
        <v/>
      </c>
      <c r="L179" s="37" t="str">
        <f t="shared" si="131"/>
        <v/>
      </c>
      <c r="M179" s="37" t="str">
        <f t="shared" si="132"/>
        <v/>
      </c>
      <c r="N179" t="s">
        <v>1249</v>
      </c>
      <c r="O179" s="35" t="s">
        <v>1257</v>
      </c>
      <c r="P179">
        <v>1300</v>
      </c>
      <c r="Q179">
        <v>100</v>
      </c>
      <c r="R179">
        <v>120</v>
      </c>
      <c r="V179">
        <v>25</v>
      </c>
      <c r="W179">
        <f t="shared" si="134"/>
        <v>1</v>
      </c>
      <c r="X179" s="37" t="s">
        <v>1283</v>
      </c>
    </row>
    <row r="180" spans="4:24">
      <c r="D180" s="37" t="str">
        <f t="shared" si="123"/>
        <v/>
      </c>
      <c r="E180" s="37" t="str">
        <f t="shared" si="124"/>
        <v/>
      </c>
      <c r="F180" s="37" t="str">
        <f t="shared" si="125"/>
        <v/>
      </c>
      <c r="G180" s="37" t="str">
        <f t="shared" si="126"/>
        <v/>
      </c>
      <c r="H180" s="37" t="str">
        <f t="shared" si="127"/>
        <v/>
      </c>
      <c r="I180" s="37" t="str">
        <f t="shared" si="128"/>
        <v/>
      </c>
      <c r="J180" s="37" t="str">
        <f t="shared" si="129"/>
        <v/>
      </c>
      <c r="K180" s="37" t="str">
        <f t="shared" si="130"/>
        <v/>
      </c>
      <c r="L180" s="37" t="str">
        <f t="shared" si="131"/>
        <v/>
      </c>
      <c r="M180" s="37" t="str">
        <f t="shared" si="132"/>
        <v/>
      </c>
      <c r="N180" t="s">
        <v>1269</v>
      </c>
      <c r="O180" s="35" t="s">
        <v>1274</v>
      </c>
      <c r="W180" t="str">
        <f t="shared" si="134"/>
        <v/>
      </c>
      <c r="X180" s="37"/>
    </row>
    <row r="181" spans="4:24">
      <c r="D181" s="37" t="str">
        <f t="shared" ref="D181:D244" si="135">IF(P181*$A$32=0,"",ROUND(P181*$A$32,0))</f>
        <v/>
      </c>
      <c r="E181" s="37" t="str">
        <f t="shared" ref="E181:E244" si="136">IF(P181*$A$34/($V181-1)=0,"",ROUND(P181*$A$34/($V181-1),2))</f>
        <v/>
      </c>
      <c r="F181" s="37" t="str">
        <f t="shared" ref="F181:F244" si="137">IF(Q181*$A$32=0,"",ROUND(Q181*$A$32,0))</f>
        <v/>
      </c>
      <c r="G181" s="37" t="str">
        <f t="shared" ref="G181:G244" si="138">IF(Q181*$A$34/($V181-1)=0,"",ROUND(Q181*$A$34/($V181-1),2))</f>
        <v/>
      </c>
      <c r="H181" s="37" t="str">
        <f t="shared" ref="H181:H244" si="139">IF(R181*$A$32=0,"",ROUND(R181*$A$32,0))</f>
        <v/>
      </c>
      <c r="I181" s="37" t="str">
        <f t="shared" ref="I181:I244" si="140">IF(R181*$A$34/($V181-1)=0,"",ROUND(R181*$A$34/($V181-1),2))</f>
        <v/>
      </c>
      <c r="J181" s="37" t="str">
        <f t="shared" ref="J181:J244" si="141">IF(S181*$A$32=0,"",ROUND(S181*$A$32,0))</f>
        <v/>
      </c>
      <c r="K181" s="37" t="str">
        <f t="shared" ref="K181:K244" si="142">IF(S181*$A$34/($V181-1)=0,"",ROUND(S181*$A$34/($V181-1),2))</f>
        <v/>
      </c>
      <c r="L181" s="37" t="str">
        <f t="shared" ref="L181:L244" si="143">IF(T181=0,"",ROUND(T181,0))</f>
        <v/>
      </c>
      <c r="M181" s="37" t="str">
        <f t="shared" ref="M181:M244" si="144">IF(U181=0,"",ROUND(U181,3))</f>
        <v/>
      </c>
      <c r="N181" t="s">
        <v>1270</v>
      </c>
      <c r="O181" s="35" t="s">
        <v>1274</v>
      </c>
      <c r="W181" t="str">
        <f t="shared" si="134"/>
        <v/>
      </c>
      <c r="X181" s="37"/>
    </row>
    <row r="182" spans="4:24">
      <c r="D182" s="37">
        <f t="shared" si="135"/>
        <v>200</v>
      </c>
      <c r="E182" s="37">
        <f t="shared" si="136"/>
        <v>33.33</v>
      </c>
      <c r="F182" s="37">
        <f t="shared" si="137"/>
        <v>20</v>
      </c>
      <c r="G182" s="37">
        <f t="shared" si="138"/>
        <v>3.33</v>
      </c>
      <c r="H182" s="37" t="str">
        <f t="shared" si="139"/>
        <v/>
      </c>
      <c r="I182" s="37" t="str">
        <f t="shared" si="140"/>
        <v/>
      </c>
      <c r="J182" s="37" t="str">
        <f t="shared" si="141"/>
        <v/>
      </c>
      <c r="K182" s="37" t="str">
        <f t="shared" si="142"/>
        <v/>
      </c>
      <c r="L182" s="37" t="str">
        <f t="shared" si="143"/>
        <v/>
      </c>
      <c r="M182" s="37">
        <f t="shared" si="144"/>
        <v>0.03</v>
      </c>
      <c r="N182" t="s">
        <v>1271</v>
      </c>
      <c r="O182" s="111" t="s">
        <v>1357</v>
      </c>
      <c r="P182">
        <v>1000</v>
      </c>
      <c r="Q182">
        <v>100</v>
      </c>
      <c r="U182">
        <v>0.03</v>
      </c>
      <c r="V182">
        <v>25</v>
      </c>
      <c r="W182">
        <f t="shared" si="134"/>
        <v>1</v>
      </c>
      <c r="X182" s="37" t="s">
        <v>1354</v>
      </c>
    </row>
    <row r="183" spans="4:24">
      <c r="D183" s="37">
        <f t="shared" si="135"/>
        <v>300</v>
      </c>
      <c r="E183" s="37">
        <f t="shared" si="136"/>
        <v>50</v>
      </c>
      <c r="F183" s="37">
        <f t="shared" si="137"/>
        <v>31</v>
      </c>
      <c r="G183" s="37">
        <f t="shared" si="138"/>
        <v>5.17</v>
      </c>
      <c r="H183" s="37">
        <f t="shared" si="139"/>
        <v>10</v>
      </c>
      <c r="I183" s="37">
        <f t="shared" si="140"/>
        <v>1.67</v>
      </c>
      <c r="J183" s="37" t="str">
        <f t="shared" si="141"/>
        <v/>
      </c>
      <c r="K183" s="37" t="str">
        <f t="shared" si="142"/>
        <v/>
      </c>
      <c r="L183" s="37" t="str">
        <f t="shared" si="143"/>
        <v/>
      </c>
      <c r="M183" s="37" t="str">
        <f t="shared" si="144"/>
        <v/>
      </c>
      <c r="N183" t="s">
        <v>1250</v>
      </c>
      <c r="O183" s="35" t="s">
        <v>1258</v>
      </c>
      <c r="P183">
        <v>1500</v>
      </c>
      <c r="Q183">
        <v>155</v>
      </c>
      <c r="R183">
        <v>50</v>
      </c>
      <c r="V183">
        <v>25</v>
      </c>
      <c r="W183">
        <f t="shared" si="134"/>
        <v>1</v>
      </c>
      <c r="X183" s="37" t="s">
        <v>1285</v>
      </c>
    </row>
    <row r="184" spans="4:24">
      <c r="D184" s="37" t="str">
        <f t="shared" si="135"/>
        <v/>
      </c>
      <c r="E184" s="37" t="str">
        <f t="shared" si="136"/>
        <v/>
      </c>
      <c r="F184" s="37" t="str">
        <f t="shared" si="137"/>
        <v/>
      </c>
      <c r="G184" s="37" t="str">
        <f t="shared" si="138"/>
        <v/>
      </c>
      <c r="H184" s="37" t="str">
        <f t="shared" si="139"/>
        <v/>
      </c>
      <c r="I184" s="37" t="str">
        <f t="shared" si="140"/>
        <v/>
      </c>
      <c r="J184" s="37" t="str">
        <f t="shared" si="141"/>
        <v/>
      </c>
      <c r="K184" s="37" t="str">
        <f t="shared" si="142"/>
        <v/>
      </c>
      <c r="L184" s="37" t="str">
        <f t="shared" si="143"/>
        <v/>
      </c>
      <c r="M184" s="37" t="str">
        <f t="shared" si="144"/>
        <v/>
      </c>
      <c r="N184" t="s">
        <v>1272</v>
      </c>
      <c r="O184" s="35" t="s">
        <v>1274</v>
      </c>
      <c r="W184" t="str">
        <f t="shared" si="134"/>
        <v/>
      </c>
      <c r="X184" s="37"/>
    </row>
    <row r="185" spans="4:24">
      <c r="D185" s="37">
        <f t="shared" si="135"/>
        <v>434</v>
      </c>
      <c r="E185" s="37">
        <f t="shared" si="136"/>
        <v>72.33</v>
      </c>
      <c r="F185" s="37">
        <f t="shared" si="137"/>
        <v>10</v>
      </c>
      <c r="G185" s="37">
        <f t="shared" si="138"/>
        <v>1.67</v>
      </c>
      <c r="H185" s="37">
        <f t="shared" si="139"/>
        <v>20</v>
      </c>
      <c r="I185" s="37">
        <f t="shared" si="140"/>
        <v>3.33</v>
      </c>
      <c r="J185" s="37" t="str">
        <f t="shared" si="141"/>
        <v/>
      </c>
      <c r="K185" s="37" t="str">
        <f t="shared" si="142"/>
        <v/>
      </c>
      <c r="L185" s="37" t="str">
        <f t="shared" si="143"/>
        <v/>
      </c>
      <c r="M185" s="37" t="str">
        <f t="shared" si="144"/>
        <v/>
      </c>
      <c r="N185" t="s">
        <v>119</v>
      </c>
      <c r="O185" s="109" t="s">
        <v>1301</v>
      </c>
      <c r="P185">
        <v>2170</v>
      </c>
      <c r="Q185">
        <v>50</v>
      </c>
      <c r="R185">
        <v>100</v>
      </c>
      <c r="V185">
        <v>25</v>
      </c>
      <c r="W185">
        <f t="shared" si="134"/>
        <v>1</v>
      </c>
      <c r="X185" s="37" t="s">
        <v>1302</v>
      </c>
    </row>
    <row r="186" spans="4:24">
      <c r="D186" s="37">
        <f t="shared" si="135"/>
        <v>200</v>
      </c>
      <c r="E186" s="37">
        <f t="shared" si="136"/>
        <v>33.33</v>
      </c>
      <c r="F186" s="37">
        <f t="shared" si="137"/>
        <v>33</v>
      </c>
      <c r="G186" s="37">
        <f t="shared" si="138"/>
        <v>5.5</v>
      </c>
      <c r="H186" s="37">
        <f t="shared" si="139"/>
        <v>16</v>
      </c>
      <c r="I186" s="37">
        <f t="shared" si="140"/>
        <v>2.67</v>
      </c>
      <c r="J186" s="37" t="str">
        <f t="shared" si="141"/>
        <v/>
      </c>
      <c r="K186" s="37" t="str">
        <f t="shared" si="142"/>
        <v/>
      </c>
      <c r="L186" s="37" t="str">
        <f t="shared" si="143"/>
        <v/>
      </c>
      <c r="M186" s="37" t="str">
        <f t="shared" si="144"/>
        <v/>
      </c>
      <c r="N186" t="s">
        <v>1251</v>
      </c>
      <c r="O186" s="35" t="s">
        <v>1261</v>
      </c>
      <c r="P186">
        <v>1000</v>
      </c>
      <c r="Q186">
        <v>165</v>
      </c>
      <c r="R186">
        <v>80</v>
      </c>
      <c r="V186">
        <v>25</v>
      </c>
      <c r="W186">
        <f t="shared" si="134"/>
        <v>1</v>
      </c>
      <c r="X186" s="37" t="s">
        <v>1263</v>
      </c>
    </row>
    <row r="187" spans="4:24">
      <c r="D187" s="37" t="str">
        <f t="shared" si="135"/>
        <v/>
      </c>
      <c r="E187" s="37" t="str">
        <f t="shared" si="136"/>
        <v/>
      </c>
      <c r="F187" s="37" t="str">
        <f t="shared" si="137"/>
        <v/>
      </c>
      <c r="G187" s="37" t="str">
        <f t="shared" si="138"/>
        <v/>
      </c>
      <c r="H187" s="37" t="str">
        <f t="shared" si="139"/>
        <v/>
      </c>
      <c r="I187" s="37" t="str">
        <f t="shared" si="140"/>
        <v/>
      </c>
      <c r="J187" s="37" t="str">
        <f t="shared" si="141"/>
        <v/>
      </c>
      <c r="K187" s="37" t="str">
        <f t="shared" si="142"/>
        <v/>
      </c>
      <c r="L187" s="37" t="str">
        <f t="shared" si="143"/>
        <v/>
      </c>
      <c r="M187" s="37" t="str">
        <f t="shared" si="144"/>
        <v/>
      </c>
      <c r="N187" t="s">
        <v>1273</v>
      </c>
      <c r="O187" s="35" t="s">
        <v>1274</v>
      </c>
      <c r="W187" t="str">
        <f t="shared" si="134"/>
        <v/>
      </c>
      <c r="X187" s="37"/>
    </row>
    <row r="188" spans="4:24">
      <c r="D188" s="37" t="str">
        <f t="shared" si="135"/>
        <v/>
      </c>
      <c r="E188" s="37" t="str">
        <f t="shared" si="136"/>
        <v/>
      </c>
      <c r="F188" s="37" t="str">
        <f t="shared" si="137"/>
        <v/>
      </c>
      <c r="G188" s="37" t="str">
        <f t="shared" si="138"/>
        <v/>
      </c>
      <c r="H188" s="37" t="str">
        <f t="shared" si="139"/>
        <v/>
      </c>
      <c r="I188" s="37" t="str">
        <f t="shared" si="140"/>
        <v/>
      </c>
      <c r="J188" s="37" t="str">
        <f t="shared" si="141"/>
        <v/>
      </c>
      <c r="K188" s="37" t="str">
        <f t="shared" si="142"/>
        <v/>
      </c>
      <c r="L188" s="37" t="str">
        <f t="shared" si="143"/>
        <v/>
      </c>
      <c r="M188" s="37" t="str">
        <f t="shared" si="144"/>
        <v/>
      </c>
      <c r="W188" t="str">
        <f t="shared" si="134"/>
        <v/>
      </c>
      <c r="X188" s="37"/>
    </row>
    <row r="189" spans="4:24">
      <c r="D189" s="37" t="str">
        <f t="shared" si="135"/>
        <v/>
      </c>
      <c r="E189" s="37" t="str">
        <f t="shared" si="136"/>
        <v/>
      </c>
      <c r="F189" s="37" t="str">
        <f t="shared" si="137"/>
        <v/>
      </c>
      <c r="G189" s="37" t="str">
        <f t="shared" si="138"/>
        <v/>
      </c>
      <c r="H189" s="37" t="str">
        <f t="shared" si="139"/>
        <v/>
      </c>
      <c r="I189" s="37" t="str">
        <f t="shared" si="140"/>
        <v/>
      </c>
      <c r="J189" s="37" t="str">
        <f t="shared" si="141"/>
        <v/>
      </c>
      <c r="K189" s="37" t="str">
        <f t="shared" si="142"/>
        <v/>
      </c>
      <c r="L189" s="37" t="str">
        <f t="shared" si="143"/>
        <v/>
      </c>
      <c r="M189" s="37" t="str">
        <f t="shared" si="144"/>
        <v/>
      </c>
      <c r="X189" s="37"/>
    </row>
    <row r="190" spans="4:24">
      <c r="D190" s="37" t="str">
        <f t="shared" si="135"/>
        <v/>
      </c>
      <c r="E190" s="37" t="str">
        <f t="shared" si="136"/>
        <v/>
      </c>
      <c r="F190" s="37">
        <f t="shared" si="137"/>
        <v>55</v>
      </c>
      <c r="G190" s="37">
        <f t="shared" si="138"/>
        <v>9.17</v>
      </c>
      <c r="H190" s="37" t="str">
        <f t="shared" si="139"/>
        <v/>
      </c>
      <c r="I190" s="37" t="str">
        <f t="shared" si="140"/>
        <v/>
      </c>
      <c r="J190" s="37" t="str">
        <f t="shared" si="141"/>
        <v/>
      </c>
      <c r="K190" s="37" t="str">
        <f t="shared" si="142"/>
        <v/>
      </c>
      <c r="L190" s="37" t="str">
        <f t="shared" si="143"/>
        <v/>
      </c>
      <c r="M190" s="37">
        <f t="shared" si="144"/>
        <v>0.01</v>
      </c>
      <c r="N190" t="s">
        <v>920</v>
      </c>
      <c r="O190" s="35" t="s">
        <v>876</v>
      </c>
      <c r="Q190">
        <v>275</v>
      </c>
      <c r="U190">
        <v>0.01</v>
      </c>
      <c r="V190">
        <v>25</v>
      </c>
      <c r="W190">
        <f t="shared" ref="W190:W212" si="145">IF(P190/D$21+Q190/E$21+R190/F$21+T190/H$21+U190/I$21=0,"",ROUND(P190/D$21+Q190/E$21+R190/F$21+T190/H$21+U190/I$21,2))</f>
        <v>1</v>
      </c>
      <c r="X190" s="37" t="s">
        <v>1350</v>
      </c>
    </row>
    <row r="191" spans="4:24">
      <c r="D191" s="37" t="str">
        <f t="shared" si="135"/>
        <v/>
      </c>
      <c r="E191" s="37" t="str">
        <f t="shared" si="136"/>
        <v/>
      </c>
      <c r="F191" s="37">
        <f t="shared" si="137"/>
        <v>35</v>
      </c>
      <c r="G191" s="37">
        <f t="shared" si="138"/>
        <v>5.83</v>
      </c>
      <c r="H191" s="37">
        <f t="shared" si="139"/>
        <v>20</v>
      </c>
      <c r="I191" s="37">
        <f t="shared" si="140"/>
        <v>3.33</v>
      </c>
      <c r="J191" s="37" t="str">
        <f t="shared" si="141"/>
        <v/>
      </c>
      <c r="K191" s="37" t="str">
        <f t="shared" si="142"/>
        <v/>
      </c>
      <c r="L191" s="37" t="str">
        <f t="shared" si="143"/>
        <v/>
      </c>
      <c r="M191" s="37">
        <f t="shared" si="144"/>
        <v>0.01</v>
      </c>
      <c r="N191" t="s">
        <v>921</v>
      </c>
      <c r="O191" s="35" t="s">
        <v>877</v>
      </c>
      <c r="Q191">
        <v>175</v>
      </c>
      <c r="R191">
        <v>100</v>
      </c>
      <c r="U191">
        <v>0.01</v>
      </c>
      <c r="V191">
        <v>25</v>
      </c>
      <c r="W191">
        <f t="shared" si="145"/>
        <v>1</v>
      </c>
      <c r="X191" s="37" t="s">
        <v>959</v>
      </c>
    </row>
    <row r="192" spans="4:24">
      <c r="D192" s="37">
        <f t="shared" si="135"/>
        <v>436</v>
      </c>
      <c r="E192" s="37">
        <f t="shared" si="136"/>
        <v>72.67</v>
      </c>
      <c r="F192" s="37" t="str">
        <f t="shared" si="137"/>
        <v/>
      </c>
      <c r="G192" s="37" t="str">
        <f t="shared" si="138"/>
        <v/>
      </c>
      <c r="H192" s="37">
        <f t="shared" si="139"/>
        <v>18</v>
      </c>
      <c r="I192" s="37">
        <f t="shared" si="140"/>
        <v>3</v>
      </c>
      <c r="J192" s="37" t="str">
        <f t="shared" si="141"/>
        <v/>
      </c>
      <c r="K192" s="37" t="str">
        <f t="shared" si="142"/>
        <v/>
      </c>
      <c r="L192" s="37">
        <f t="shared" si="143"/>
        <v>10</v>
      </c>
      <c r="M192" s="37" t="str">
        <f t="shared" si="144"/>
        <v/>
      </c>
      <c r="N192" t="s">
        <v>922</v>
      </c>
      <c r="O192" s="35" t="s">
        <v>878</v>
      </c>
      <c r="P192">
        <v>2180</v>
      </c>
      <c r="R192">
        <v>90</v>
      </c>
      <c r="T192">
        <v>10</v>
      </c>
      <c r="V192">
        <v>25</v>
      </c>
      <c r="W192">
        <f t="shared" si="145"/>
        <v>1</v>
      </c>
      <c r="X192" s="37" t="s">
        <v>960</v>
      </c>
    </row>
    <row r="193" spans="4:24">
      <c r="D193" s="37" t="str">
        <f t="shared" si="135"/>
        <v/>
      </c>
      <c r="E193" s="37" t="str">
        <f t="shared" si="136"/>
        <v/>
      </c>
      <c r="F193" s="37">
        <f t="shared" si="137"/>
        <v>18</v>
      </c>
      <c r="G193" s="37">
        <f t="shared" si="138"/>
        <v>3</v>
      </c>
      <c r="H193" s="37">
        <f t="shared" si="139"/>
        <v>35</v>
      </c>
      <c r="I193" s="37">
        <f t="shared" si="140"/>
        <v>5.83</v>
      </c>
      <c r="J193" s="37" t="str">
        <f t="shared" si="141"/>
        <v/>
      </c>
      <c r="K193" s="37" t="str">
        <f t="shared" si="142"/>
        <v/>
      </c>
      <c r="L193" s="37">
        <f t="shared" si="143"/>
        <v>10</v>
      </c>
      <c r="M193" s="37" t="str">
        <f t="shared" si="144"/>
        <v/>
      </c>
      <c r="N193" t="s">
        <v>903</v>
      </c>
      <c r="O193" s="35" t="s">
        <v>879</v>
      </c>
      <c r="Q193">
        <v>90</v>
      </c>
      <c r="R193">
        <v>175</v>
      </c>
      <c r="T193">
        <v>10</v>
      </c>
      <c r="V193">
        <v>25</v>
      </c>
      <c r="W193">
        <f t="shared" si="145"/>
        <v>1</v>
      </c>
      <c r="X193" s="37" t="s">
        <v>947</v>
      </c>
    </row>
    <row r="194" spans="4:24">
      <c r="D194" s="37" t="str">
        <f t="shared" si="135"/>
        <v/>
      </c>
      <c r="E194" s="37" t="str">
        <f t="shared" si="136"/>
        <v/>
      </c>
      <c r="F194" s="37">
        <f t="shared" si="137"/>
        <v>36</v>
      </c>
      <c r="G194" s="37">
        <f t="shared" si="138"/>
        <v>6</v>
      </c>
      <c r="H194" s="37" t="str">
        <f t="shared" si="139"/>
        <v/>
      </c>
      <c r="I194" s="37" t="str">
        <f t="shared" si="140"/>
        <v/>
      </c>
      <c r="J194" s="37" t="str">
        <f t="shared" si="141"/>
        <v/>
      </c>
      <c r="K194" s="37" t="str">
        <f t="shared" si="142"/>
        <v/>
      </c>
      <c r="L194" s="37" t="str">
        <f t="shared" si="143"/>
        <v/>
      </c>
      <c r="M194" s="37">
        <f t="shared" si="144"/>
        <v>0.03</v>
      </c>
      <c r="N194" t="s">
        <v>923</v>
      </c>
      <c r="O194" s="35" t="s">
        <v>880</v>
      </c>
      <c r="Q194">
        <v>180</v>
      </c>
      <c r="U194">
        <v>0.03</v>
      </c>
      <c r="V194">
        <v>25</v>
      </c>
      <c r="W194">
        <f t="shared" si="145"/>
        <v>1</v>
      </c>
      <c r="X194" s="37" t="s">
        <v>948</v>
      </c>
    </row>
    <row r="195" spans="4:24">
      <c r="D195" s="37" t="str">
        <f t="shared" si="135"/>
        <v/>
      </c>
      <c r="E195" s="37" t="str">
        <f t="shared" si="136"/>
        <v/>
      </c>
      <c r="F195" s="37">
        <f t="shared" si="137"/>
        <v>35</v>
      </c>
      <c r="G195" s="37">
        <f t="shared" si="138"/>
        <v>5.83</v>
      </c>
      <c r="H195" s="37">
        <f t="shared" si="139"/>
        <v>30</v>
      </c>
      <c r="I195" s="37">
        <f t="shared" si="140"/>
        <v>5</v>
      </c>
      <c r="J195" s="37" t="str">
        <f t="shared" si="141"/>
        <v/>
      </c>
      <c r="K195" s="37" t="str">
        <f t="shared" si="142"/>
        <v/>
      </c>
      <c r="L195" s="37" t="str">
        <f t="shared" si="143"/>
        <v/>
      </c>
      <c r="M195" s="37" t="str">
        <f t="shared" si="144"/>
        <v/>
      </c>
      <c r="N195" t="s">
        <v>924</v>
      </c>
      <c r="O195" s="35" t="s">
        <v>881</v>
      </c>
      <c r="Q195">
        <v>175</v>
      </c>
      <c r="R195">
        <v>150</v>
      </c>
      <c r="V195">
        <v>25</v>
      </c>
      <c r="W195">
        <f t="shared" si="145"/>
        <v>1</v>
      </c>
      <c r="X195" s="37" t="s">
        <v>961</v>
      </c>
    </row>
    <row r="196" spans="4:24">
      <c r="D196" s="37">
        <f t="shared" si="135"/>
        <v>200</v>
      </c>
      <c r="E196" s="37">
        <f t="shared" si="136"/>
        <v>33.33</v>
      </c>
      <c r="F196" s="37">
        <f t="shared" si="137"/>
        <v>29</v>
      </c>
      <c r="G196" s="37">
        <f t="shared" si="138"/>
        <v>4.83</v>
      </c>
      <c r="H196" s="37">
        <f t="shared" si="139"/>
        <v>20</v>
      </c>
      <c r="I196" s="37">
        <f t="shared" si="140"/>
        <v>3.33</v>
      </c>
      <c r="J196" s="37" t="str">
        <f t="shared" si="141"/>
        <v/>
      </c>
      <c r="K196" s="37" t="str">
        <f t="shared" si="142"/>
        <v/>
      </c>
      <c r="L196" s="37" t="str">
        <f t="shared" si="143"/>
        <v/>
      </c>
      <c r="M196" s="37" t="str">
        <f t="shared" si="144"/>
        <v/>
      </c>
      <c r="N196" t="s">
        <v>904</v>
      </c>
      <c r="O196" s="35" t="s">
        <v>882</v>
      </c>
      <c r="P196">
        <v>1000</v>
      </c>
      <c r="Q196">
        <v>145</v>
      </c>
      <c r="R196">
        <v>100</v>
      </c>
      <c r="V196">
        <v>25</v>
      </c>
      <c r="W196">
        <f t="shared" si="145"/>
        <v>1</v>
      </c>
      <c r="X196" s="37" t="s">
        <v>1279</v>
      </c>
    </row>
    <row r="197" spans="4:24">
      <c r="D197" s="37">
        <f t="shared" si="135"/>
        <v>200</v>
      </c>
      <c r="E197" s="37">
        <f t="shared" si="136"/>
        <v>33.33</v>
      </c>
      <c r="F197" s="37">
        <f t="shared" si="137"/>
        <v>29</v>
      </c>
      <c r="G197" s="37">
        <f t="shared" si="138"/>
        <v>4.83</v>
      </c>
      <c r="H197" s="37">
        <f t="shared" si="139"/>
        <v>20</v>
      </c>
      <c r="I197" s="37">
        <f t="shared" si="140"/>
        <v>3.33</v>
      </c>
      <c r="J197" s="37" t="str">
        <f t="shared" si="141"/>
        <v/>
      </c>
      <c r="K197" s="37" t="str">
        <f t="shared" si="142"/>
        <v/>
      </c>
      <c r="L197" s="37" t="str">
        <f t="shared" si="143"/>
        <v/>
      </c>
      <c r="M197" s="37" t="str">
        <f t="shared" si="144"/>
        <v/>
      </c>
      <c r="N197" t="s">
        <v>925</v>
      </c>
      <c r="O197" s="35" t="s">
        <v>883</v>
      </c>
      <c r="P197">
        <v>1000</v>
      </c>
      <c r="Q197">
        <v>145</v>
      </c>
      <c r="R197">
        <v>100</v>
      </c>
      <c r="V197">
        <v>25</v>
      </c>
      <c r="W197">
        <f t="shared" si="145"/>
        <v>1</v>
      </c>
      <c r="X197" s="36" t="s">
        <v>1241</v>
      </c>
    </row>
    <row r="198" spans="4:24">
      <c r="D198" s="37" t="str">
        <f t="shared" si="135"/>
        <v/>
      </c>
      <c r="E198" s="37" t="str">
        <f t="shared" si="136"/>
        <v/>
      </c>
      <c r="F198" s="37">
        <f t="shared" si="137"/>
        <v>36</v>
      </c>
      <c r="G198" s="37">
        <f t="shared" si="138"/>
        <v>6</v>
      </c>
      <c r="H198" s="37" t="str">
        <f t="shared" si="139"/>
        <v/>
      </c>
      <c r="I198" s="37" t="str">
        <f t="shared" si="140"/>
        <v/>
      </c>
      <c r="J198" s="37" t="str">
        <f t="shared" si="141"/>
        <v/>
      </c>
      <c r="K198" s="37" t="str">
        <f t="shared" si="142"/>
        <v/>
      </c>
      <c r="L198" s="37" t="str">
        <f t="shared" si="143"/>
        <v/>
      </c>
      <c r="M198" s="37">
        <f t="shared" si="144"/>
        <v>0.03</v>
      </c>
      <c r="N198" t="s">
        <v>926</v>
      </c>
      <c r="O198" s="35" t="s">
        <v>884</v>
      </c>
      <c r="Q198">
        <v>180</v>
      </c>
      <c r="U198">
        <v>0.03</v>
      </c>
      <c r="V198">
        <v>25</v>
      </c>
      <c r="W198">
        <f t="shared" si="145"/>
        <v>1</v>
      </c>
      <c r="X198" s="37" t="s">
        <v>1351</v>
      </c>
    </row>
    <row r="199" spans="4:24">
      <c r="D199" s="37" t="str">
        <f t="shared" si="135"/>
        <v/>
      </c>
      <c r="E199" s="37" t="str">
        <f t="shared" si="136"/>
        <v/>
      </c>
      <c r="F199" s="37">
        <f t="shared" si="137"/>
        <v>46</v>
      </c>
      <c r="G199" s="37">
        <f t="shared" si="138"/>
        <v>7.6</v>
      </c>
      <c r="H199" s="37" t="str">
        <f t="shared" si="139"/>
        <v/>
      </c>
      <c r="I199" s="37" t="str">
        <f t="shared" si="140"/>
        <v/>
      </c>
      <c r="J199" s="37" t="str">
        <f t="shared" si="141"/>
        <v/>
      </c>
      <c r="K199" s="37" t="str">
        <f t="shared" si="142"/>
        <v/>
      </c>
      <c r="L199" s="37" t="str">
        <f t="shared" si="143"/>
        <v/>
      </c>
      <c r="M199" s="37">
        <f t="shared" si="144"/>
        <v>0.02</v>
      </c>
      <c r="N199" t="s">
        <v>905</v>
      </c>
      <c r="O199" s="35" t="s">
        <v>885</v>
      </c>
      <c r="Q199">
        <v>228</v>
      </c>
      <c r="U199">
        <v>0.02</v>
      </c>
      <c r="V199">
        <v>25</v>
      </c>
      <c r="W199">
        <f t="shared" si="145"/>
        <v>1</v>
      </c>
      <c r="X199" s="37" t="s">
        <v>956</v>
      </c>
    </row>
    <row r="200" spans="4:24">
      <c r="D200" s="37" t="str">
        <f t="shared" si="135"/>
        <v/>
      </c>
      <c r="E200" s="37" t="str">
        <f t="shared" si="136"/>
        <v/>
      </c>
      <c r="F200" s="37">
        <f t="shared" si="137"/>
        <v>30</v>
      </c>
      <c r="G200" s="37">
        <f t="shared" si="138"/>
        <v>5</v>
      </c>
      <c r="H200" s="37">
        <f t="shared" si="139"/>
        <v>35</v>
      </c>
      <c r="I200" s="37">
        <f t="shared" si="140"/>
        <v>5.83</v>
      </c>
      <c r="J200" s="37" t="str">
        <f t="shared" si="141"/>
        <v/>
      </c>
      <c r="K200" s="37" t="str">
        <f t="shared" si="142"/>
        <v/>
      </c>
      <c r="L200" s="37" t="str">
        <f t="shared" si="143"/>
        <v/>
      </c>
      <c r="M200" s="37" t="str">
        <f t="shared" si="144"/>
        <v/>
      </c>
      <c r="N200" t="s">
        <v>927</v>
      </c>
      <c r="O200" s="35" t="s">
        <v>886</v>
      </c>
      <c r="Q200">
        <v>150</v>
      </c>
      <c r="R200">
        <v>175</v>
      </c>
      <c r="V200">
        <v>25</v>
      </c>
      <c r="W200">
        <f t="shared" si="145"/>
        <v>1</v>
      </c>
      <c r="X200" s="37" t="s">
        <v>1352</v>
      </c>
    </row>
    <row r="201" spans="4:24">
      <c r="D201" s="37" t="str">
        <f t="shared" si="135"/>
        <v/>
      </c>
      <c r="E201" s="37" t="str">
        <f t="shared" si="136"/>
        <v/>
      </c>
      <c r="F201" s="37">
        <f t="shared" si="137"/>
        <v>36</v>
      </c>
      <c r="G201" s="37">
        <f t="shared" si="138"/>
        <v>6</v>
      </c>
      <c r="H201" s="37">
        <f t="shared" si="139"/>
        <v>10</v>
      </c>
      <c r="I201" s="37">
        <f t="shared" si="140"/>
        <v>1.6</v>
      </c>
      <c r="J201" s="37" t="str">
        <f t="shared" si="141"/>
        <v/>
      </c>
      <c r="K201" s="37" t="str">
        <f t="shared" si="142"/>
        <v/>
      </c>
      <c r="L201" s="37" t="str">
        <f t="shared" si="143"/>
        <v/>
      </c>
      <c r="M201" s="37">
        <f t="shared" si="144"/>
        <v>0.02</v>
      </c>
      <c r="N201" t="s">
        <v>906</v>
      </c>
      <c r="O201" s="35" t="s">
        <v>887</v>
      </c>
      <c r="Q201">
        <v>180</v>
      </c>
      <c r="R201">
        <v>48</v>
      </c>
      <c r="U201">
        <v>0.02</v>
      </c>
      <c r="V201">
        <v>25</v>
      </c>
      <c r="W201">
        <f t="shared" si="145"/>
        <v>1</v>
      </c>
      <c r="X201" s="37" t="s">
        <v>957</v>
      </c>
    </row>
    <row r="202" spans="4:24">
      <c r="D202" s="37">
        <f t="shared" si="135"/>
        <v>200</v>
      </c>
      <c r="E202" s="37">
        <f t="shared" si="136"/>
        <v>33.33</v>
      </c>
      <c r="F202" s="37">
        <f t="shared" si="137"/>
        <v>23</v>
      </c>
      <c r="G202" s="37">
        <f t="shared" si="138"/>
        <v>3.83</v>
      </c>
      <c r="H202" s="37">
        <f t="shared" si="139"/>
        <v>16</v>
      </c>
      <c r="I202" s="37">
        <f t="shared" si="140"/>
        <v>2.67</v>
      </c>
      <c r="J202" s="37" t="str">
        <f t="shared" si="141"/>
        <v/>
      </c>
      <c r="K202" s="37" t="str">
        <f t="shared" si="142"/>
        <v/>
      </c>
      <c r="L202" s="37" t="str">
        <f t="shared" si="143"/>
        <v/>
      </c>
      <c r="M202" s="37">
        <f t="shared" si="144"/>
        <v>0.01</v>
      </c>
      <c r="N202" t="s">
        <v>907</v>
      </c>
      <c r="O202" s="35" t="s">
        <v>888</v>
      </c>
      <c r="P202">
        <v>1000</v>
      </c>
      <c r="Q202">
        <v>115</v>
      </c>
      <c r="R202">
        <v>80</v>
      </c>
      <c r="U202">
        <v>0.01</v>
      </c>
      <c r="V202">
        <v>25</v>
      </c>
      <c r="W202">
        <f t="shared" si="145"/>
        <v>1</v>
      </c>
      <c r="X202" s="37" t="s">
        <v>950</v>
      </c>
    </row>
    <row r="203" spans="4:24">
      <c r="D203" s="37">
        <f t="shared" si="135"/>
        <v>400</v>
      </c>
      <c r="E203" s="37">
        <f t="shared" si="136"/>
        <v>66.67</v>
      </c>
      <c r="F203" s="37">
        <f t="shared" si="137"/>
        <v>33</v>
      </c>
      <c r="G203" s="37">
        <f t="shared" si="138"/>
        <v>5.5</v>
      </c>
      <c r="H203" s="37" t="str">
        <f t="shared" si="139"/>
        <v/>
      </c>
      <c r="I203" s="37" t="str">
        <f t="shared" si="140"/>
        <v/>
      </c>
      <c r="J203" s="37" t="str">
        <f t="shared" si="141"/>
        <v/>
      </c>
      <c r="K203" s="37" t="str">
        <f t="shared" si="142"/>
        <v/>
      </c>
      <c r="L203" s="37" t="str">
        <f t="shared" si="143"/>
        <v/>
      </c>
      <c r="M203" s="37" t="str">
        <f t="shared" si="144"/>
        <v/>
      </c>
      <c r="N203" t="s">
        <v>908</v>
      </c>
      <c r="O203" s="35" t="s">
        <v>889</v>
      </c>
      <c r="P203">
        <v>2000</v>
      </c>
      <c r="Q203">
        <v>165</v>
      </c>
      <c r="V203">
        <v>25</v>
      </c>
      <c r="W203">
        <f t="shared" si="145"/>
        <v>1</v>
      </c>
      <c r="X203" s="37" t="s">
        <v>951</v>
      </c>
    </row>
    <row r="204" spans="4:24">
      <c r="D204" s="37" t="str">
        <f t="shared" si="135"/>
        <v/>
      </c>
      <c r="E204" s="37" t="str">
        <f t="shared" si="136"/>
        <v/>
      </c>
      <c r="F204" s="37">
        <f t="shared" si="137"/>
        <v>43</v>
      </c>
      <c r="G204" s="37">
        <f t="shared" si="138"/>
        <v>7.17</v>
      </c>
      <c r="H204" s="37">
        <f t="shared" si="139"/>
        <v>22</v>
      </c>
      <c r="I204" s="37">
        <f t="shared" si="140"/>
        <v>3.67</v>
      </c>
      <c r="J204" s="37" t="str">
        <f t="shared" si="141"/>
        <v/>
      </c>
      <c r="K204" s="37" t="str">
        <f t="shared" si="142"/>
        <v/>
      </c>
      <c r="L204" s="37" t="str">
        <f t="shared" si="143"/>
        <v/>
      </c>
      <c r="M204" s="37" t="str">
        <f t="shared" si="144"/>
        <v/>
      </c>
      <c r="N204" t="s">
        <v>909</v>
      </c>
      <c r="O204" s="35" t="s">
        <v>890</v>
      </c>
      <c r="Q204">
        <v>215</v>
      </c>
      <c r="R204">
        <v>110</v>
      </c>
      <c r="V204">
        <v>25</v>
      </c>
      <c r="W204">
        <f t="shared" si="145"/>
        <v>1</v>
      </c>
      <c r="X204" s="37" t="s">
        <v>958</v>
      </c>
    </row>
    <row r="205" spans="4:24">
      <c r="D205" s="37" t="str">
        <f t="shared" si="135"/>
        <v/>
      </c>
      <c r="E205" s="37" t="str">
        <f t="shared" si="136"/>
        <v/>
      </c>
      <c r="F205" s="37">
        <f t="shared" si="137"/>
        <v>65</v>
      </c>
      <c r="G205" s="37">
        <f t="shared" si="138"/>
        <v>10.83</v>
      </c>
      <c r="H205" s="37" t="str">
        <f t="shared" si="139"/>
        <v/>
      </c>
      <c r="I205" s="37" t="str">
        <f t="shared" si="140"/>
        <v/>
      </c>
      <c r="J205" s="37" t="str">
        <f t="shared" si="141"/>
        <v/>
      </c>
      <c r="K205" s="37" t="str">
        <f t="shared" si="142"/>
        <v/>
      </c>
      <c r="L205" s="37" t="str">
        <f t="shared" si="143"/>
        <v/>
      </c>
      <c r="M205" s="37" t="str">
        <f t="shared" si="144"/>
        <v/>
      </c>
      <c r="N205" t="s">
        <v>928</v>
      </c>
      <c r="O205" s="35" t="s">
        <v>891</v>
      </c>
      <c r="Q205">
        <v>325</v>
      </c>
      <c r="V205">
        <v>25</v>
      </c>
      <c r="W205">
        <f t="shared" si="145"/>
        <v>1</v>
      </c>
      <c r="X205" s="37" t="s">
        <v>1284</v>
      </c>
    </row>
    <row r="206" spans="4:24">
      <c r="D206" s="37">
        <f t="shared" si="135"/>
        <v>250</v>
      </c>
      <c r="E206" s="37">
        <f t="shared" si="136"/>
        <v>41.67</v>
      </c>
      <c r="F206" s="37">
        <f t="shared" si="137"/>
        <v>45</v>
      </c>
      <c r="G206" s="37">
        <f t="shared" si="138"/>
        <v>7.5</v>
      </c>
      <c r="H206" s="37" t="str">
        <f t="shared" si="139"/>
        <v/>
      </c>
      <c r="I206" s="37" t="str">
        <f t="shared" si="140"/>
        <v/>
      </c>
      <c r="J206" s="37" t="str">
        <f t="shared" si="141"/>
        <v/>
      </c>
      <c r="K206" s="37" t="str">
        <f t="shared" si="142"/>
        <v/>
      </c>
      <c r="L206" s="37" t="str">
        <f t="shared" si="143"/>
        <v/>
      </c>
      <c r="M206" s="37" t="str">
        <f t="shared" si="144"/>
        <v/>
      </c>
      <c r="N206" t="s">
        <v>929</v>
      </c>
      <c r="O206" s="35" t="s">
        <v>892</v>
      </c>
      <c r="P206">
        <v>1250</v>
      </c>
      <c r="Q206">
        <v>225</v>
      </c>
      <c r="V206">
        <v>25</v>
      </c>
      <c r="W206">
        <f t="shared" si="145"/>
        <v>1</v>
      </c>
      <c r="X206" s="37" t="s">
        <v>1353</v>
      </c>
    </row>
    <row r="207" spans="4:24">
      <c r="D207" s="37" t="str">
        <f t="shared" si="135"/>
        <v/>
      </c>
      <c r="E207" s="37" t="str">
        <f t="shared" si="136"/>
        <v/>
      </c>
      <c r="F207" s="37">
        <f t="shared" si="137"/>
        <v>45</v>
      </c>
      <c r="G207" s="37">
        <f t="shared" si="138"/>
        <v>7.5</v>
      </c>
      <c r="H207" s="37">
        <f t="shared" si="139"/>
        <v>20</v>
      </c>
      <c r="I207" s="37">
        <f t="shared" si="140"/>
        <v>3.33</v>
      </c>
      <c r="J207" s="37" t="str">
        <f t="shared" si="141"/>
        <v/>
      </c>
      <c r="K207" s="37" t="str">
        <f t="shared" si="142"/>
        <v/>
      </c>
      <c r="L207" s="37" t="str">
        <f t="shared" si="143"/>
        <v/>
      </c>
      <c r="M207" s="37" t="str">
        <f t="shared" si="144"/>
        <v/>
      </c>
      <c r="N207" t="s">
        <v>930</v>
      </c>
      <c r="O207" s="35" t="s">
        <v>893</v>
      </c>
      <c r="Q207">
        <v>225</v>
      </c>
      <c r="R207">
        <v>100</v>
      </c>
      <c r="V207">
        <v>25</v>
      </c>
      <c r="W207">
        <f t="shared" si="145"/>
        <v>1</v>
      </c>
      <c r="X207" s="37" t="s">
        <v>1287</v>
      </c>
    </row>
    <row r="208" spans="4:24">
      <c r="D208" s="37" t="str">
        <f t="shared" si="135"/>
        <v/>
      </c>
      <c r="E208" s="37" t="str">
        <f t="shared" si="136"/>
        <v/>
      </c>
      <c r="F208" s="37">
        <f t="shared" si="137"/>
        <v>43</v>
      </c>
      <c r="G208" s="37">
        <f t="shared" si="138"/>
        <v>7.17</v>
      </c>
      <c r="H208" s="37">
        <f t="shared" si="139"/>
        <v>12</v>
      </c>
      <c r="I208" s="37">
        <f t="shared" si="140"/>
        <v>2</v>
      </c>
      <c r="J208" s="37" t="str">
        <f t="shared" si="141"/>
        <v/>
      </c>
      <c r="K208" s="37" t="str">
        <f t="shared" si="142"/>
        <v/>
      </c>
      <c r="L208" s="37" t="str">
        <f t="shared" si="143"/>
        <v/>
      </c>
      <c r="M208" s="37">
        <f t="shared" si="144"/>
        <v>0.01</v>
      </c>
      <c r="N208" t="s">
        <v>931</v>
      </c>
      <c r="O208" s="35" t="s">
        <v>894</v>
      </c>
      <c r="Q208">
        <v>215</v>
      </c>
      <c r="R208">
        <v>60</v>
      </c>
      <c r="U208">
        <v>0.01</v>
      </c>
      <c r="V208">
        <v>25</v>
      </c>
      <c r="W208">
        <f t="shared" si="145"/>
        <v>1</v>
      </c>
      <c r="X208" s="37" t="s">
        <v>952</v>
      </c>
    </row>
    <row r="209" spans="4:24">
      <c r="D209" s="37">
        <f t="shared" si="135"/>
        <v>300</v>
      </c>
      <c r="E209" s="37">
        <f t="shared" si="136"/>
        <v>50</v>
      </c>
      <c r="F209" s="37">
        <f t="shared" si="137"/>
        <v>29</v>
      </c>
      <c r="G209" s="37">
        <f t="shared" si="138"/>
        <v>4.83</v>
      </c>
      <c r="H209" s="37" t="str">
        <f t="shared" si="139"/>
        <v/>
      </c>
      <c r="I209" s="37" t="str">
        <f t="shared" si="140"/>
        <v/>
      </c>
      <c r="J209" s="37" t="str">
        <f t="shared" si="141"/>
        <v/>
      </c>
      <c r="K209" s="37" t="str">
        <f t="shared" si="142"/>
        <v/>
      </c>
      <c r="L209" s="37">
        <f t="shared" si="143"/>
        <v>10</v>
      </c>
      <c r="M209" s="37" t="str">
        <f t="shared" si="144"/>
        <v/>
      </c>
      <c r="N209" t="s">
        <v>932</v>
      </c>
      <c r="O209" s="35" t="s">
        <v>895</v>
      </c>
      <c r="P209">
        <v>1500</v>
      </c>
      <c r="Q209">
        <v>145</v>
      </c>
      <c r="T209">
        <v>10</v>
      </c>
      <c r="V209">
        <v>25</v>
      </c>
      <c r="W209">
        <f t="shared" si="145"/>
        <v>1</v>
      </c>
      <c r="X209" s="37" t="s">
        <v>953</v>
      </c>
    </row>
    <row r="210" spans="4:24">
      <c r="D210" s="37" t="str">
        <f t="shared" si="135"/>
        <v/>
      </c>
      <c r="E210" s="37" t="str">
        <f t="shared" si="136"/>
        <v/>
      </c>
      <c r="F210" s="37">
        <f t="shared" si="137"/>
        <v>16</v>
      </c>
      <c r="G210" s="37">
        <f t="shared" si="138"/>
        <v>2.67</v>
      </c>
      <c r="H210" s="37">
        <f t="shared" si="139"/>
        <v>37</v>
      </c>
      <c r="I210" s="37">
        <f t="shared" si="140"/>
        <v>6.17</v>
      </c>
      <c r="J210" s="37" t="str">
        <f t="shared" si="141"/>
        <v/>
      </c>
      <c r="K210" s="37" t="str">
        <f t="shared" si="142"/>
        <v/>
      </c>
      <c r="L210" s="37">
        <f t="shared" si="143"/>
        <v>10</v>
      </c>
      <c r="M210" s="37" t="str">
        <f t="shared" si="144"/>
        <v/>
      </c>
      <c r="N210" t="s">
        <v>933</v>
      </c>
      <c r="O210" s="35" t="s">
        <v>896</v>
      </c>
      <c r="Q210">
        <v>80</v>
      </c>
      <c r="R210">
        <v>185</v>
      </c>
      <c r="T210">
        <v>10</v>
      </c>
      <c r="V210">
        <v>25</v>
      </c>
      <c r="W210">
        <f t="shared" si="145"/>
        <v>1</v>
      </c>
      <c r="X210" s="37" t="s">
        <v>954</v>
      </c>
    </row>
    <row r="211" spans="4:24">
      <c r="D211" s="37">
        <f t="shared" si="135"/>
        <v>300</v>
      </c>
      <c r="E211" s="37">
        <f t="shared" si="136"/>
        <v>50</v>
      </c>
      <c r="F211" s="37">
        <f t="shared" si="137"/>
        <v>30</v>
      </c>
      <c r="G211" s="37">
        <f t="shared" si="138"/>
        <v>5</v>
      </c>
      <c r="H211" s="37">
        <f t="shared" si="139"/>
        <v>11</v>
      </c>
      <c r="I211" s="37">
        <f t="shared" si="140"/>
        <v>1.83</v>
      </c>
      <c r="J211" s="37" t="str">
        <f t="shared" si="141"/>
        <v/>
      </c>
      <c r="K211" s="37" t="str">
        <f t="shared" si="142"/>
        <v/>
      </c>
      <c r="L211" s="37" t="str">
        <f t="shared" si="143"/>
        <v/>
      </c>
      <c r="M211" s="37" t="str">
        <f t="shared" si="144"/>
        <v/>
      </c>
      <c r="N211" t="s">
        <v>934</v>
      </c>
      <c r="O211" s="35" t="s">
        <v>897</v>
      </c>
      <c r="P211">
        <v>1500</v>
      </c>
      <c r="Q211">
        <v>150</v>
      </c>
      <c r="R211">
        <v>55</v>
      </c>
      <c r="V211">
        <v>25</v>
      </c>
      <c r="W211">
        <f t="shared" si="145"/>
        <v>1</v>
      </c>
      <c r="X211" s="37" t="s">
        <v>955</v>
      </c>
    </row>
    <row r="212" spans="4:24">
      <c r="D212" s="37">
        <f t="shared" si="135"/>
        <v>210</v>
      </c>
      <c r="E212" s="37">
        <f t="shared" si="136"/>
        <v>35</v>
      </c>
      <c r="F212" s="37">
        <f t="shared" si="137"/>
        <v>12</v>
      </c>
      <c r="G212" s="37">
        <f t="shared" si="138"/>
        <v>2</v>
      </c>
      <c r="H212" s="37">
        <f t="shared" si="139"/>
        <v>36</v>
      </c>
      <c r="I212" s="37">
        <f t="shared" si="140"/>
        <v>6</v>
      </c>
      <c r="J212" s="37" t="str">
        <f t="shared" si="141"/>
        <v/>
      </c>
      <c r="K212" s="37" t="str">
        <f t="shared" si="142"/>
        <v/>
      </c>
      <c r="L212" s="37" t="str">
        <f t="shared" si="143"/>
        <v/>
      </c>
      <c r="M212" s="37" t="str">
        <f t="shared" si="144"/>
        <v/>
      </c>
      <c r="N212" t="s">
        <v>935</v>
      </c>
      <c r="O212" s="35" t="s">
        <v>898</v>
      </c>
      <c r="P212">
        <v>1050</v>
      </c>
      <c r="Q212">
        <v>60</v>
      </c>
      <c r="R212">
        <v>180</v>
      </c>
      <c r="V212">
        <v>25</v>
      </c>
      <c r="W212">
        <f t="shared" si="145"/>
        <v>1</v>
      </c>
      <c r="X212" s="37" t="s">
        <v>953</v>
      </c>
    </row>
    <row r="213" spans="4:24">
      <c r="D213" s="37" t="str">
        <f t="shared" si="135"/>
        <v/>
      </c>
      <c r="E213" s="37" t="str">
        <f t="shared" si="136"/>
        <v/>
      </c>
      <c r="F213" s="37" t="str">
        <f t="shared" si="137"/>
        <v/>
      </c>
      <c r="G213" s="37" t="str">
        <f t="shared" si="138"/>
        <v/>
      </c>
      <c r="H213" s="37" t="str">
        <f t="shared" si="139"/>
        <v/>
      </c>
      <c r="I213" s="37" t="str">
        <f t="shared" si="140"/>
        <v/>
      </c>
      <c r="J213" s="37" t="str">
        <f t="shared" si="141"/>
        <v/>
      </c>
      <c r="K213" s="37" t="str">
        <f t="shared" si="142"/>
        <v/>
      </c>
      <c r="L213" s="37" t="str">
        <f t="shared" si="143"/>
        <v/>
      </c>
      <c r="M213" s="37" t="str">
        <f t="shared" si="144"/>
        <v/>
      </c>
    </row>
    <row r="214" spans="4:24">
      <c r="D214" s="37" t="str">
        <f t="shared" si="135"/>
        <v/>
      </c>
      <c r="E214" s="37" t="str">
        <f t="shared" si="136"/>
        <v/>
      </c>
      <c r="F214" s="37" t="str">
        <f t="shared" si="137"/>
        <v/>
      </c>
      <c r="G214" s="37" t="str">
        <f t="shared" si="138"/>
        <v/>
      </c>
      <c r="H214" s="37" t="str">
        <f t="shared" si="139"/>
        <v/>
      </c>
      <c r="I214" s="37" t="str">
        <f t="shared" si="140"/>
        <v/>
      </c>
      <c r="J214" s="37" t="str">
        <f t="shared" si="141"/>
        <v/>
      </c>
      <c r="K214" s="37" t="str">
        <f t="shared" si="142"/>
        <v/>
      </c>
      <c r="L214" s="37" t="str">
        <f t="shared" si="143"/>
        <v/>
      </c>
      <c r="M214" s="37" t="str">
        <f t="shared" si="144"/>
        <v/>
      </c>
    </row>
    <row r="215" spans="4:24">
      <c r="D215" s="37" t="str">
        <f t="shared" si="135"/>
        <v/>
      </c>
      <c r="E215" s="37" t="str">
        <f t="shared" si="136"/>
        <v/>
      </c>
      <c r="F215" s="37" t="str">
        <f t="shared" si="137"/>
        <v/>
      </c>
      <c r="G215" s="37" t="str">
        <f t="shared" si="138"/>
        <v/>
      </c>
      <c r="H215" s="37" t="str">
        <f t="shared" si="139"/>
        <v/>
      </c>
      <c r="I215" s="37" t="str">
        <f t="shared" si="140"/>
        <v/>
      </c>
      <c r="J215" s="37" t="str">
        <f t="shared" si="141"/>
        <v/>
      </c>
      <c r="K215" s="37" t="str">
        <f t="shared" si="142"/>
        <v/>
      </c>
      <c r="L215" s="37" t="str">
        <f t="shared" si="143"/>
        <v/>
      </c>
      <c r="M215" s="37" t="str">
        <f t="shared" si="144"/>
        <v/>
      </c>
    </row>
    <row r="216" spans="4:24">
      <c r="D216" s="37" t="str">
        <f t="shared" si="135"/>
        <v/>
      </c>
      <c r="E216" s="37" t="str">
        <f t="shared" si="136"/>
        <v/>
      </c>
      <c r="F216" s="37" t="str">
        <f t="shared" si="137"/>
        <v/>
      </c>
      <c r="G216" s="37" t="str">
        <f t="shared" si="138"/>
        <v/>
      </c>
      <c r="H216" s="37" t="str">
        <f t="shared" si="139"/>
        <v/>
      </c>
      <c r="I216" s="37" t="str">
        <f t="shared" si="140"/>
        <v/>
      </c>
      <c r="J216" s="37" t="str">
        <f t="shared" si="141"/>
        <v/>
      </c>
      <c r="K216" s="37" t="str">
        <f t="shared" si="142"/>
        <v/>
      </c>
      <c r="L216" s="37" t="str">
        <f t="shared" si="143"/>
        <v/>
      </c>
      <c r="M216" s="37" t="str">
        <f t="shared" si="144"/>
        <v/>
      </c>
    </row>
    <row r="217" spans="4:24">
      <c r="D217" s="37" t="str">
        <f t="shared" si="135"/>
        <v/>
      </c>
      <c r="E217" s="37" t="str">
        <f t="shared" si="136"/>
        <v/>
      </c>
      <c r="F217" s="37" t="str">
        <f t="shared" si="137"/>
        <v/>
      </c>
      <c r="G217" s="37" t="str">
        <f t="shared" si="138"/>
        <v/>
      </c>
      <c r="H217" s="37" t="str">
        <f t="shared" si="139"/>
        <v/>
      </c>
      <c r="I217" s="37" t="str">
        <f t="shared" si="140"/>
        <v/>
      </c>
      <c r="J217" s="37" t="str">
        <f t="shared" si="141"/>
        <v/>
      </c>
      <c r="K217" s="37" t="str">
        <f t="shared" si="142"/>
        <v/>
      </c>
      <c r="L217" s="37" t="str">
        <f t="shared" si="143"/>
        <v/>
      </c>
      <c r="M217" s="37" t="str">
        <f t="shared" si="144"/>
        <v/>
      </c>
    </row>
    <row r="218" spans="4:24">
      <c r="D218" s="37" t="str">
        <f t="shared" si="135"/>
        <v/>
      </c>
      <c r="E218" s="37" t="str">
        <f t="shared" si="136"/>
        <v/>
      </c>
      <c r="F218" s="37" t="str">
        <f t="shared" si="137"/>
        <v/>
      </c>
      <c r="G218" s="37" t="str">
        <f t="shared" si="138"/>
        <v/>
      </c>
      <c r="H218" s="37" t="str">
        <f t="shared" si="139"/>
        <v/>
      </c>
      <c r="I218" s="37" t="str">
        <f t="shared" si="140"/>
        <v/>
      </c>
      <c r="J218" s="37" t="str">
        <f t="shared" si="141"/>
        <v/>
      </c>
      <c r="K218" s="37" t="str">
        <f t="shared" si="142"/>
        <v/>
      </c>
      <c r="L218" s="37" t="str">
        <f t="shared" si="143"/>
        <v/>
      </c>
      <c r="M218" s="37" t="str">
        <f t="shared" si="144"/>
        <v/>
      </c>
    </row>
    <row r="219" spans="4:24">
      <c r="D219" s="37" t="str">
        <f t="shared" si="135"/>
        <v/>
      </c>
      <c r="E219" s="37" t="str">
        <f t="shared" si="136"/>
        <v/>
      </c>
      <c r="F219" s="37" t="str">
        <f t="shared" si="137"/>
        <v/>
      </c>
      <c r="G219" s="37" t="str">
        <f t="shared" si="138"/>
        <v/>
      </c>
      <c r="H219" s="37" t="str">
        <f t="shared" si="139"/>
        <v/>
      </c>
      <c r="I219" s="37" t="str">
        <f t="shared" si="140"/>
        <v/>
      </c>
      <c r="J219" s="37" t="str">
        <f t="shared" si="141"/>
        <v/>
      </c>
      <c r="K219" s="37" t="str">
        <f t="shared" si="142"/>
        <v/>
      </c>
      <c r="L219" s="37" t="str">
        <f t="shared" si="143"/>
        <v/>
      </c>
      <c r="M219" s="37" t="str">
        <f t="shared" si="144"/>
        <v/>
      </c>
    </row>
    <row r="220" spans="4:24">
      <c r="D220" s="37" t="str">
        <f t="shared" si="135"/>
        <v/>
      </c>
      <c r="E220" s="37" t="str">
        <f t="shared" si="136"/>
        <v/>
      </c>
      <c r="F220" s="37" t="str">
        <f t="shared" si="137"/>
        <v/>
      </c>
      <c r="G220" s="37" t="str">
        <f t="shared" si="138"/>
        <v/>
      </c>
      <c r="H220" s="37" t="str">
        <f t="shared" si="139"/>
        <v/>
      </c>
      <c r="I220" s="37" t="str">
        <f t="shared" si="140"/>
        <v/>
      </c>
      <c r="J220" s="37" t="str">
        <f t="shared" si="141"/>
        <v/>
      </c>
      <c r="K220" s="37" t="str">
        <f t="shared" si="142"/>
        <v/>
      </c>
      <c r="L220" s="37" t="str">
        <f t="shared" si="143"/>
        <v/>
      </c>
      <c r="M220" s="37" t="str">
        <f t="shared" si="144"/>
        <v/>
      </c>
    </row>
    <row r="221" spans="4:24">
      <c r="D221" s="37" t="str">
        <f t="shared" si="135"/>
        <v/>
      </c>
      <c r="E221" s="37" t="str">
        <f t="shared" si="136"/>
        <v/>
      </c>
      <c r="F221" s="37" t="str">
        <f t="shared" si="137"/>
        <v/>
      </c>
      <c r="G221" s="37" t="str">
        <f t="shared" si="138"/>
        <v/>
      </c>
      <c r="H221" s="37" t="str">
        <f t="shared" si="139"/>
        <v/>
      </c>
      <c r="I221" s="37" t="str">
        <f t="shared" si="140"/>
        <v/>
      </c>
      <c r="J221" s="37" t="str">
        <f t="shared" si="141"/>
        <v/>
      </c>
      <c r="K221" s="37" t="str">
        <f t="shared" si="142"/>
        <v/>
      </c>
      <c r="L221" s="37" t="str">
        <f t="shared" si="143"/>
        <v/>
      </c>
      <c r="M221" s="37" t="str">
        <f t="shared" si="144"/>
        <v/>
      </c>
    </row>
    <row r="222" spans="4:24">
      <c r="D222" s="37" t="str">
        <f t="shared" si="135"/>
        <v/>
      </c>
      <c r="E222" s="37" t="str">
        <f t="shared" si="136"/>
        <v/>
      </c>
      <c r="F222" s="37" t="str">
        <f t="shared" si="137"/>
        <v/>
      </c>
      <c r="G222" s="37" t="str">
        <f t="shared" si="138"/>
        <v/>
      </c>
      <c r="H222" s="37" t="str">
        <f t="shared" si="139"/>
        <v/>
      </c>
      <c r="I222" s="37" t="str">
        <f t="shared" si="140"/>
        <v/>
      </c>
      <c r="J222" s="37" t="str">
        <f t="shared" si="141"/>
        <v/>
      </c>
      <c r="K222" s="37" t="str">
        <f t="shared" si="142"/>
        <v/>
      </c>
      <c r="L222" s="37" t="str">
        <f t="shared" si="143"/>
        <v/>
      </c>
      <c r="M222" s="37" t="str">
        <f t="shared" si="144"/>
        <v/>
      </c>
    </row>
    <row r="223" spans="4:24">
      <c r="D223" s="37" t="str">
        <f t="shared" si="135"/>
        <v/>
      </c>
      <c r="E223" s="37" t="str">
        <f t="shared" si="136"/>
        <v/>
      </c>
      <c r="F223" s="37" t="str">
        <f t="shared" si="137"/>
        <v/>
      </c>
      <c r="G223" s="37" t="str">
        <f t="shared" si="138"/>
        <v/>
      </c>
      <c r="H223" s="37" t="str">
        <f t="shared" si="139"/>
        <v/>
      </c>
      <c r="I223" s="37" t="str">
        <f t="shared" si="140"/>
        <v/>
      </c>
      <c r="J223" s="37" t="str">
        <f t="shared" si="141"/>
        <v/>
      </c>
      <c r="K223" s="37" t="str">
        <f t="shared" si="142"/>
        <v/>
      </c>
      <c r="L223" s="37" t="str">
        <f t="shared" si="143"/>
        <v/>
      </c>
      <c r="M223" s="37" t="str">
        <f t="shared" si="144"/>
        <v/>
      </c>
    </row>
    <row r="224" spans="4:24">
      <c r="D224" s="37" t="str">
        <f t="shared" si="135"/>
        <v/>
      </c>
      <c r="E224" s="37" t="str">
        <f t="shared" si="136"/>
        <v/>
      </c>
      <c r="F224" s="37" t="str">
        <f t="shared" si="137"/>
        <v/>
      </c>
      <c r="G224" s="37" t="str">
        <f t="shared" si="138"/>
        <v/>
      </c>
      <c r="H224" s="37" t="str">
        <f t="shared" si="139"/>
        <v/>
      </c>
      <c r="I224" s="37" t="str">
        <f t="shared" si="140"/>
        <v/>
      </c>
      <c r="J224" s="37" t="str">
        <f t="shared" si="141"/>
        <v/>
      </c>
      <c r="K224" s="37" t="str">
        <f t="shared" si="142"/>
        <v/>
      </c>
      <c r="L224" s="37" t="str">
        <f t="shared" si="143"/>
        <v/>
      </c>
      <c r="M224" s="37" t="str">
        <f t="shared" si="144"/>
        <v/>
      </c>
    </row>
    <row r="225" spans="4:13">
      <c r="D225" s="37" t="str">
        <f t="shared" si="135"/>
        <v/>
      </c>
      <c r="E225" s="37" t="str">
        <f t="shared" si="136"/>
        <v/>
      </c>
      <c r="F225" s="37" t="str">
        <f t="shared" si="137"/>
        <v/>
      </c>
      <c r="G225" s="37" t="str">
        <f t="shared" si="138"/>
        <v/>
      </c>
      <c r="H225" s="37" t="str">
        <f t="shared" si="139"/>
        <v/>
      </c>
      <c r="I225" s="37" t="str">
        <f t="shared" si="140"/>
        <v/>
      </c>
      <c r="J225" s="37" t="str">
        <f t="shared" si="141"/>
        <v/>
      </c>
      <c r="K225" s="37" t="str">
        <f t="shared" si="142"/>
        <v/>
      </c>
      <c r="L225" s="37" t="str">
        <f t="shared" si="143"/>
        <v/>
      </c>
      <c r="M225" s="37" t="str">
        <f t="shared" si="144"/>
        <v/>
      </c>
    </row>
    <row r="226" spans="4:13">
      <c r="D226" s="37" t="str">
        <f t="shared" si="135"/>
        <v/>
      </c>
      <c r="E226" s="37" t="str">
        <f t="shared" si="136"/>
        <v/>
      </c>
      <c r="F226" s="37" t="str">
        <f t="shared" si="137"/>
        <v/>
      </c>
      <c r="G226" s="37" t="str">
        <f t="shared" si="138"/>
        <v/>
      </c>
      <c r="H226" s="37" t="str">
        <f t="shared" si="139"/>
        <v/>
      </c>
      <c r="I226" s="37" t="str">
        <f t="shared" si="140"/>
        <v/>
      </c>
      <c r="J226" s="37" t="str">
        <f t="shared" si="141"/>
        <v/>
      </c>
      <c r="K226" s="37" t="str">
        <f t="shared" si="142"/>
        <v/>
      </c>
      <c r="L226" s="37" t="str">
        <f t="shared" si="143"/>
        <v/>
      </c>
      <c r="M226" s="37" t="str">
        <f t="shared" si="144"/>
        <v/>
      </c>
    </row>
    <row r="227" spans="4:13">
      <c r="D227" s="37" t="str">
        <f t="shared" si="135"/>
        <v/>
      </c>
      <c r="E227" s="37" t="str">
        <f t="shared" si="136"/>
        <v/>
      </c>
      <c r="F227" s="37" t="str">
        <f t="shared" si="137"/>
        <v/>
      </c>
      <c r="G227" s="37" t="str">
        <f t="shared" si="138"/>
        <v/>
      </c>
      <c r="H227" s="37" t="str">
        <f t="shared" si="139"/>
        <v/>
      </c>
      <c r="I227" s="37" t="str">
        <f t="shared" si="140"/>
        <v/>
      </c>
      <c r="J227" s="37" t="str">
        <f t="shared" si="141"/>
        <v/>
      </c>
      <c r="K227" s="37" t="str">
        <f t="shared" si="142"/>
        <v/>
      </c>
      <c r="L227" s="37" t="str">
        <f t="shared" si="143"/>
        <v/>
      </c>
      <c r="M227" s="37" t="str">
        <f t="shared" si="144"/>
        <v/>
      </c>
    </row>
    <row r="228" spans="4:13">
      <c r="D228" s="37" t="str">
        <f t="shared" si="135"/>
        <v/>
      </c>
      <c r="E228" s="37" t="str">
        <f t="shared" si="136"/>
        <v/>
      </c>
      <c r="F228" s="37" t="str">
        <f t="shared" si="137"/>
        <v/>
      </c>
      <c r="G228" s="37" t="str">
        <f t="shared" si="138"/>
        <v/>
      </c>
      <c r="H228" s="37" t="str">
        <f t="shared" si="139"/>
        <v/>
      </c>
      <c r="I228" s="37" t="str">
        <f t="shared" si="140"/>
        <v/>
      </c>
      <c r="J228" s="37" t="str">
        <f t="shared" si="141"/>
        <v/>
      </c>
      <c r="K228" s="37" t="str">
        <f t="shared" si="142"/>
        <v/>
      </c>
      <c r="L228" s="37" t="str">
        <f t="shared" si="143"/>
        <v/>
      </c>
      <c r="M228" s="37" t="str">
        <f t="shared" si="144"/>
        <v/>
      </c>
    </row>
    <row r="229" spans="4:13">
      <c r="D229" s="37" t="str">
        <f t="shared" si="135"/>
        <v/>
      </c>
      <c r="E229" s="37" t="str">
        <f t="shared" si="136"/>
        <v/>
      </c>
      <c r="F229" s="37" t="str">
        <f t="shared" si="137"/>
        <v/>
      </c>
      <c r="G229" s="37" t="str">
        <f t="shared" si="138"/>
        <v/>
      </c>
      <c r="H229" s="37" t="str">
        <f t="shared" si="139"/>
        <v/>
      </c>
      <c r="I229" s="37" t="str">
        <f t="shared" si="140"/>
        <v/>
      </c>
      <c r="J229" s="37" t="str">
        <f t="shared" si="141"/>
        <v/>
      </c>
      <c r="K229" s="37" t="str">
        <f t="shared" si="142"/>
        <v/>
      </c>
      <c r="L229" s="37" t="str">
        <f t="shared" si="143"/>
        <v/>
      </c>
      <c r="M229" s="37" t="str">
        <f t="shared" si="144"/>
        <v/>
      </c>
    </row>
    <row r="230" spans="4:13">
      <c r="D230" s="37" t="str">
        <f t="shared" si="135"/>
        <v/>
      </c>
      <c r="E230" s="37" t="str">
        <f t="shared" si="136"/>
        <v/>
      </c>
      <c r="F230" s="37" t="str">
        <f t="shared" si="137"/>
        <v/>
      </c>
      <c r="G230" s="37" t="str">
        <f t="shared" si="138"/>
        <v/>
      </c>
      <c r="H230" s="37" t="str">
        <f t="shared" si="139"/>
        <v/>
      </c>
      <c r="I230" s="37" t="str">
        <f t="shared" si="140"/>
        <v/>
      </c>
      <c r="J230" s="37" t="str">
        <f t="shared" si="141"/>
        <v/>
      </c>
      <c r="K230" s="37" t="str">
        <f t="shared" si="142"/>
        <v/>
      </c>
      <c r="L230" s="37" t="str">
        <f t="shared" si="143"/>
        <v/>
      </c>
      <c r="M230" s="37" t="str">
        <f t="shared" si="144"/>
        <v/>
      </c>
    </row>
    <row r="231" spans="4:13">
      <c r="D231" s="37" t="str">
        <f t="shared" si="135"/>
        <v/>
      </c>
      <c r="E231" s="37" t="str">
        <f t="shared" si="136"/>
        <v/>
      </c>
      <c r="F231" s="37" t="str">
        <f t="shared" si="137"/>
        <v/>
      </c>
      <c r="G231" s="37" t="str">
        <f t="shared" si="138"/>
        <v/>
      </c>
      <c r="H231" s="37" t="str">
        <f t="shared" si="139"/>
        <v/>
      </c>
      <c r="I231" s="37" t="str">
        <f t="shared" si="140"/>
        <v/>
      </c>
      <c r="J231" s="37" t="str">
        <f t="shared" si="141"/>
        <v/>
      </c>
      <c r="K231" s="37" t="str">
        <f t="shared" si="142"/>
        <v/>
      </c>
      <c r="L231" s="37" t="str">
        <f t="shared" si="143"/>
        <v/>
      </c>
      <c r="M231" s="37" t="str">
        <f t="shared" si="144"/>
        <v/>
      </c>
    </row>
    <row r="232" spans="4:13">
      <c r="D232" s="37" t="str">
        <f t="shared" si="135"/>
        <v/>
      </c>
      <c r="E232" s="37" t="str">
        <f t="shared" si="136"/>
        <v/>
      </c>
      <c r="F232" s="37" t="str">
        <f t="shared" si="137"/>
        <v/>
      </c>
      <c r="G232" s="37" t="str">
        <f t="shared" si="138"/>
        <v/>
      </c>
      <c r="H232" s="37" t="str">
        <f t="shared" si="139"/>
        <v/>
      </c>
      <c r="I232" s="37" t="str">
        <f t="shared" si="140"/>
        <v/>
      </c>
      <c r="J232" s="37" t="str">
        <f t="shared" si="141"/>
        <v/>
      </c>
      <c r="K232" s="37" t="str">
        <f t="shared" si="142"/>
        <v/>
      </c>
      <c r="L232" s="37" t="str">
        <f t="shared" si="143"/>
        <v/>
      </c>
      <c r="M232" s="37" t="str">
        <f t="shared" si="144"/>
        <v/>
      </c>
    </row>
    <row r="233" spans="4:13">
      <c r="D233" s="37" t="str">
        <f t="shared" si="135"/>
        <v/>
      </c>
      <c r="E233" s="37" t="str">
        <f t="shared" si="136"/>
        <v/>
      </c>
      <c r="F233" s="37" t="str">
        <f t="shared" si="137"/>
        <v/>
      </c>
      <c r="G233" s="37" t="str">
        <f t="shared" si="138"/>
        <v/>
      </c>
      <c r="H233" s="37" t="str">
        <f t="shared" si="139"/>
        <v/>
      </c>
      <c r="I233" s="37" t="str">
        <f t="shared" si="140"/>
        <v/>
      </c>
      <c r="J233" s="37" t="str">
        <f t="shared" si="141"/>
        <v/>
      </c>
      <c r="K233" s="37" t="str">
        <f t="shared" si="142"/>
        <v/>
      </c>
      <c r="L233" s="37" t="str">
        <f t="shared" si="143"/>
        <v/>
      </c>
      <c r="M233" s="37" t="str">
        <f t="shared" si="144"/>
        <v/>
      </c>
    </row>
    <row r="234" spans="4:13">
      <c r="D234" s="37" t="str">
        <f t="shared" si="135"/>
        <v/>
      </c>
      <c r="E234" s="37" t="str">
        <f t="shared" si="136"/>
        <v/>
      </c>
      <c r="F234" s="37" t="str">
        <f t="shared" si="137"/>
        <v/>
      </c>
      <c r="G234" s="37" t="str">
        <f t="shared" si="138"/>
        <v/>
      </c>
      <c r="H234" s="37" t="str">
        <f t="shared" si="139"/>
        <v/>
      </c>
      <c r="I234" s="37" t="str">
        <f t="shared" si="140"/>
        <v/>
      </c>
      <c r="J234" s="37" t="str">
        <f t="shared" si="141"/>
        <v/>
      </c>
      <c r="K234" s="37" t="str">
        <f t="shared" si="142"/>
        <v/>
      </c>
      <c r="L234" s="37" t="str">
        <f t="shared" si="143"/>
        <v/>
      </c>
      <c r="M234" s="37" t="str">
        <f t="shared" si="144"/>
        <v/>
      </c>
    </row>
    <row r="235" spans="4:13">
      <c r="D235" s="37" t="str">
        <f t="shared" si="135"/>
        <v/>
      </c>
      <c r="E235" s="37" t="str">
        <f t="shared" si="136"/>
        <v/>
      </c>
      <c r="F235" s="37" t="str">
        <f t="shared" si="137"/>
        <v/>
      </c>
      <c r="G235" s="37" t="str">
        <f t="shared" si="138"/>
        <v/>
      </c>
      <c r="H235" s="37" t="str">
        <f t="shared" si="139"/>
        <v/>
      </c>
      <c r="I235" s="37" t="str">
        <f t="shared" si="140"/>
        <v/>
      </c>
      <c r="J235" s="37" t="str">
        <f t="shared" si="141"/>
        <v/>
      </c>
      <c r="K235" s="37" t="str">
        <f t="shared" si="142"/>
        <v/>
      </c>
      <c r="L235" s="37" t="str">
        <f t="shared" si="143"/>
        <v/>
      </c>
      <c r="M235" s="37" t="str">
        <f t="shared" si="144"/>
        <v/>
      </c>
    </row>
    <row r="236" spans="4:13">
      <c r="D236" s="37" t="str">
        <f t="shared" si="135"/>
        <v/>
      </c>
      <c r="E236" s="37" t="str">
        <f t="shared" si="136"/>
        <v/>
      </c>
      <c r="F236" s="37" t="str">
        <f t="shared" si="137"/>
        <v/>
      </c>
      <c r="G236" s="37" t="str">
        <f t="shared" si="138"/>
        <v/>
      </c>
      <c r="H236" s="37" t="str">
        <f t="shared" si="139"/>
        <v/>
      </c>
      <c r="I236" s="37" t="str">
        <f t="shared" si="140"/>
        <v/>
      </c>
      <c r="J236" s="37" t="str">
        <f t="shared" si="141"/>
        <v/>
      </c>
      <c r="K236" s="37" t="str">
        <f t="shared" si="142"/>
        <v/>
      </c>
      <c r="L236" s="37" t="str">
        <f t="shared" si="143"/>
        <v/>
      </c>
      <c r="M236" s="37" t="str">
        <f t="shared" si="144"/>
        <v/>
      </c>
    </row>
    <row r="237" spans="4:13">
      <c r="D237" s="37" t="str">
        <f t="shared" si="135"/>
        <v/>
      </c>
      <c r="E237" s="37" t="str">
        <f t="shared" si="136"/>
        <v/>
      </c>
      <c r="F237" s="37" t="str">
        <f t="shared" si="137"/>
        <v/>
      </c>
      <c r="G237" s="37" t="str">
        <f t="shared" si="138"/>
        <v/>
      </c>
      <c r="H237" s="37" t="str">
        <f t="shared" si="139"/>
        <v/>
      </c>
      <c r="I237" s="37" t="str">
        <f t="shared" si="140"/>
        <v/>
      </c>
      <c r="J237" s="37" t="str">
        <f t="shared" si="141"/>
        <v/>
      </c>
      <c r="K237" s="37" t="str">
        <f t="shared" si="142"/>
        <v/>
      </c>
      <c r="L237" s="37" t="str">
        <f t="shared" si="143"/>
        <v/>
      </c>
      <c r="M237" s="37" t="str">
        <f t="shared" si="144"/>
        <v/>
      </c>
    </row>
    <row r="238" spans="4:13">
      <c r="D238" s="37" t="str">
        <f t="shared" si="135"/>
        <v/>
      </c>
      <c r="E238" s="37" t="str">
        <f t="shared" si="136"/>
        <v/>
      </c>
      <c r="F238" s="37" t="str">
        <f t="shared" si="137"/>
        <v/>
      </c>
      <c r="G238" s="37" t="str">
        <f t="shared" si="138"/>
        <v/>
      </c>
      <c r="H238" s="37" t="str">
        <f t="shared" si="139"/>
        <v/>
      </c>
      <c r="I238" s="37" t="str">
        <f t="shared" si="140"/>
        <v/>
      </c>
      <c r="J238" s="37" t="str">
        <f t="shared" si="141"/>
        <v/>
      </c>
      <c r="K238" s="37" t="str">
        <f t="shared" si="142"/>
        <v/>
      </c>
      <c r="L238" s="37" t="str">
        <f t="shared" si="143"/>
        <v/>
      </c>
      <c r="M238" s="37" t="str">
        <f t="shared" si="144"/>
        <v/>
      </c>
    </row>
    <row r="239" spans="4:13">
      <c r="D239" s="37" t="str">
        <f t="shared" si="135"/>
        <v/>
      </c>
      <c r="E239" s="37" t="str">
        <f t="shared" si="136"/>
        <v/>
      </c>
      <c r="F239" s="37" t="str">
        <f t="shared" si="137"/>
        <v/>
      </c>
      <c r="G239" s="37" t="str">
        <f t="shared" si="138"/>
        <v/>
      </c>
      <c r="H239" s="37" t="str">
        <f t="shared" si="139"/>
        <v/>
      </c>
      <c r="I239" s="37" t="str">
        <f t="shared" si="140"/>
        <v/>
      </c>
      <c r="J239" s="37" t="str">
        <f t="shared" si="141"/>
        <v/>
      </c>
      <c r="K239" s="37" t="str">
        <f t="shared" si="142"/>
        <v/>
      </c>
      <c r="L239" s="37" t="str">
        <f t="shared" si="143"/>
        <v/>
      </c>
      <c r="M239" s="37" t="str">
        <f t="shared" si="144"/>
        <v/>
      </c>
    </row>
    <row r="240" spans="4:13">
      <c r="D240" s="37" t="str">
        <f t="shared" si="135"/>
        <v/>
      </c>
      <c r="E240" s="37" t="str">
        <f t="shared" si="136"/>
        <v/>
      </c>
      <c r="F240" s="37" t="str">
        <f t="shared" si="137"/>
        <v/>
      </c>
      <c r="G240" s="37" t="str">
        <f t="shared" si="138"/>
        <v/>
      </c>
      <c r="H240" s="37" t="str">
        <f t="shared" si="139"/>
        <v/>
      </c>
      <c r="I240" s="37" t="str">
        <f t="shared" si="140"/>
        <v/>
      </c>
      <c r="J240" s="37" t="str">
        <f t="shared" si="141"/>
        <v/>
      </c>
      <c r="K240" s="37" t="str">
        <f t="shared" si="142"/>
        <v/>
      </c>
      <c r="L240" s="37" t="str">
        <f t="shared" si="143"/>
        <v/>
      </c>
      <c r="M240" s="37" t="str">
        <f t="shared" si="144"/>
        <v/>
      </c>
    </row>
    <row r="241" spans="4:13">
      <c r="D241" s="37" t="str">
        <f t="shared" si="135"/>
        <v/>
      </c>
      <c r="E241" s="37" t="str">
        <f t="shared" si="136"/>
        <v/>
      </c>
      <c r="F241" s="37" t="str">
        <f t="shared" si="137"/>
        <v/>
      </c>
      <c r="G241" s="37" t="str">
        <f t="shared" si="138"/>
        <v/>
      </c>
      <c r="H241" s="37" t="str">
        <f t="shared" si="139"/>
        <v/>
      </c>
      <c r="I241" s="37" t="str">
        <f t="shared" si="140"/>
        <v/>
      </c>
      <c r="J241" s="37" t="str">
        <f t="shared" si="141"/>
        <v/>
      </c>
      <c r="K241" s="37" t="str">
        <f t="shared" si="142"/>
        <v/>
      </c>
      <c r="L241" s="37" t="str">
        <f t="shared" si="143"/>
        <v/>
      </c>
      <c r="M241" s="37" t="str">
        <f t="shared" si="144"/>
        <v/>
      </c>
    </row>
    <row r="242" spans="4:13">
      <c r="D242" s="37" t="str">
        <f t="shared" si="135"/>
        <v/>
      </c>
      <c r="E242" s="37" t="str">
        <f t="shared" si="136"/>
        <v/>
      </c>
      <c r="F242" s="37" t="str">
        <f t="shared" si="137"/>
        <v/>
      </c>
      <c r="G242" s="37" t="str">
        <f t="shared" si="138"/>
        <v/>
      </c>
      <c r="H242" s="37" t="str">
        <f t="shared" si="139"/>
        <v/>
      </c>
      <c r="I242" s="37" t="str">
        <f t="shared" si="140"/>
        <v/>
      </c>
      <c r="J242" s="37" t="str">
        <f t="shared" si="141"/>
        <v/>
      </c>
      <c r="K242" s="37" t="str">
        <f t="shared" si="142"/>
        <v/>
      </c>
      <c r="L242" s="37" t="str">
        <f t="shared" si="143"/>
        <v/>
      </c>
      <c r="M242" s="37" t="str">
        <f t="shared" si="144"/>
        <v/>
      </c>
    </row>
    <row r="243" spans="4:13">
      <c r="D243" s="37" t="str">
        <f t="shared" si="135"/>
        <v/>
      </c>
      <c r="E243" s="37" t="str">
        <f t="shared" si="136"/>
        <v/>
      </c>
      <c r="F243" s="37" t="str">
        <f t="shared" si="137"/>
        <v/>
      </c>
      <c r="G243" s="37" t="str">
        <f t="shared" si="138"/>
        <v/>
      </c>
      <c r="H243" s="37" t="str">
        <f t="shared" si="139"/>
        <v/>
      </c>
      <c r="I243" s="37" t="str">
        <f t="shared" si="140"/>
        <v/>
      </c>
      <c r="J243" s="37" t="str">
        <f t="shared" si="141"/>
        <v/>
      </c>
      <c r="K243" s="37" t="str">
        <f t="shared" si="142"/>
        <v/>
      </c>
      <c r="L243" s="37" t="str">
        <f t="shared" si="143"/>
        <v/>
      </c>
      <c r="M243" s="37" t="str">
        <f t="shared" si="144"/>
        <v/>
      </c>
    </row>
    <row r="244" spans="4:13">
      <c r="D244" s="37" t="str">
        <f t="shared" si="135"/>
        <v/>
      </c>
      <c r="E244" s="37" t="str">
        <f t="shared" si="136"/>
        <v/>
      </c>
      <c r="F244" s="37" t="str">
        <f t="shared" si="137"/>
        <v/>
      </c>
      <c r="G244" s="37" t="str">
        <f t="shared" si="138"/>
        <v/>
      </c>
      <c r="H244" s="37" t="str">
        <f t="shared" si="139"/>
        <v/>
      </c>
      <c r="I244" s="37" t="str">
        <f t="shared" si="140"/>
        <v/>
      </c>
      <c r="J244" s="37" t="str">
        <f t="shared" si="141"/>
        <v/>
      </c>
      <c r="K244" s="37" t="str">
        <f t="shared" si="142"/>
        <v/>
      </c>
      <c r="L244" s="37" t="str">
        <f t="shared" si="143"/>
        <v/>
      </c>
      <c r="M244" s="37" t="str">
        <f t="shared" si="144"/>
        <v/>
      </c>
    </row>
    <row r="245" spans="4:13">
      <c r="D245" s="37" t="str">
        <f t="shared" ref="D245:D293" si="146">IF(P245*$A$32=0,"",ROUND(P245*$A$32,0))</f>
        <v/>
      </c>
      <c r="E245" s="37" t="str">
        <f t="shared" ref="E245:E293" si="147">IF(P245*$A$34/($V245-1)=0,"",ROUND(P245*$A$34/($V245-1),2))</f>
        <v/>
      </c>
      <c r="F245" s="37" t="str">
        <f t="shared" ref="F245:F293" si="148">IF(Q245*$A$32=0,"",ROUND(Q245*$A$32,0))</f>
        <v/>
      </c>
      <c r="G245" s="37" t="str">
        <f t="shared" ref="G245:G293" si="149">IF(Q245*$A$34/($V245-1)=0,"",ROUND(Q245*$A$34/($V245-1),2))</f>
        <v/>
      </c>
      <c r="H245" s="37" t="str">
        <f t="shared" ref="H245:H293" si="150">IF(R245*$A$32=0,"",ROUND(R245*$A$32,0))</f>
        <v/>
      </c>
      <c r="I245" s="37" t="str">
        <f t="shared" ref="I245:I293" si="151">IF(R245*$A$34/($V245-1)=0,"",ROUND(R245*$A$34/($V245-1),2))</f>
        <v/>
      </c>
      <c r="J245" s="37" t="str">
        <f t="shared" ref="J245:J293" si="152">IF(S245*$A$32=0,"",ROUND(S245*$A$32,0))</f>
        <v/>
      </c>
      <c r="K245" s="37" t="str">
        <f t="shared" ref="K245:K293" si="153">IF(S245*$A$34/($V245-1)=0,"",ROUND(S245*$A$34/($V245-1),2))</f>
        <v/>
      </c>
      <c r="L245" s="37" t="str">
        <f t="shared" ref="L245:L293" si="154">IF(T245=0,"",ROUND(T245,0))</f>
        <v/>
      </c>
      <c r="M245" s="37" t="str">
        <f t="shared" ref="M245:M293" si="155">IF(U245=0,"",ROUND(U245,3))</f>
        <v/>
      </c>
    </row>
    <row r="246" spans="4:13">
      <c r="D246" s="37" t="str">
        <f t="shared" si="146"/>
        <v/>
      </c>
      <c r="E246" s="37" t="str">
        <f t="shared" si="147"/>
        <v/>
      </c>
      <c r="F246" s="37" t="str">
        <f t="shared" si="148"/>
        <v/>
      </c>
      <c r="G246" s="37" t="str">
        <f t="shared" si="149"/>
        <v/>
      </c>
      <c r="H246" s="37" t="str">
        <f t="shared" si="150"/>
        <v/>
      </c>
      <c r="I246" s="37" t="str">
        <f t="shared" si="151"/>
        <v/>
      </c>
      <c r="J246" s="37" t="str">
        <f t="shared" si="152"/>
        <v/>
      </c>
      <c r="K246" s="37" t="str">
        <f t="shared" si="153"/>
        <v/>
      </c>
      <c r="L246" s="37" t="str">
        <f t="shared" si="154"/>
        <v/>
      </c>
      <c r="M246" s="37" t="str">
        <f t="shared" si="155"/>
        <v/>
      </c>
    </row>
    <row r="247" spans="4:13">
      <c r="D247" s="37" t="str">
        <f t="shared" si="146"/>
        <v/>
      </c>
      <c r="E247" s="37" t="str">
        <f t="shared" si="147"/>
        <v/>
      </c>
      <c r="F247" s="37" t="str">
        <f t="shared" si="148"/>
        <v/>
      </c>
      <c r="G247" s="37" t="str">
        <f t="shared" si="149"/>
        <v/>
      </c>
      <c r="H247" s="37" t="str">
        <f t="shared" si="150"/>
        <v/>
      </c>
      <c r="I247" s="37" t="str">
        <f t="shared" si="151"/>
        <v/>
      </c>
      <c r="J247" s="37" t="str">
        <f t="shared" si="152"/>
        <v/>
      </c>
      <c r="K247" s="37" t="str">
        <f t="shared" si="153"/>
        <v/>
      </c>
      <c r="L247" s="37" t="str">
        <f t="shared" si="154"/>
        <v/>
      </c>
      <c r="M247" s="37" t="str">
        <f t="shared" si="155"/>
        <v/>
      </c>
    </row>
    <row r="248" spans="4:13">
      <c r="D248" s="37" t="str">
        <f t="shared" si="146"/>
        <v/>
      </c>
      <c r="E248" s="37" t="str">
        <f t="shared" si="147"/>
        <v/>
      </c>
      <c r="F248" s="37" t="str">
        <f t="shared" si="148"/>
        <v/>
      </c>
      <c r="G248" s="37" t="str">
        <f t="shared" si="149"/>
        <v/>
      </c>
      <c r="H248" s="37" t="str">
        <f t="shared" si="150"/>
        <v/>
      </c>
      <c r="I248" s="37" t="str">
        <f t="shared" si="151"/>
        <v/>
      </c>
      <c r="J248" s="37" t="str">
        <f t="shared" si="152"/>
        <v/>
      </c>
      <c r="K248" s="37" t="str">
        <f t="shared" si="153"/>
        <v/>
      </c>
      <c r="L248" s="37" t="str">
        <f t="shared" si="154"/>
        <v/>
      </c>
      <c r="M248" s="37" t="str">
        <f t="shared" si="155"/>
        <v/>
      </c>
    </row>
    <row r="249" spans="4:13">
      <c r="D249" s="37" t="str">
        <f t="shared" si="146"/>
        <v/>
      </c>
      <c r="E249" s="37" t="str">
        <f t="shared" si="147"/>
        <v/>
      </c>
      <c r="F249" s="37" t="str">
        <f t="shared" si="148"/>
        <v/>
      </c>
      <c r="G249" s="37" t="str">
        <f t="shared" si="149"/>
        <v/>
      </c>
      <c r="H249" s="37" t="str">
        <f t="shared" si="150"/>
        <v/>
      </c>
      <c r="I249" s="37" t="str">
        <f t="shared" si="151"/>
        <v/>
      </c>
      <c r="J249" s="37" t="str">
        <f t="shared" si="152"/>
        <v/>
      </c>
      <c r="K249" s="37" t="str">
        <f t="shared" si="153"/>
        <v/>
      </c>
      <c r="L249" s="37" t="str">
        <f t="shared" si="154"/>
        <v/>
      </c>
      <c r="M249" s="37" t="str">
        <f t="shared" si="155"/>
        <v/>
      </c>
    </row>
    <row r="250" spans="4:13">
      <c r="D250" s="37" t="str">
        <f t="shared" si="146"/>
        <v/>
      </c>
      <c r="E250" s="37" t="str">
        <f t="shared" si="147"/>
        <v/>
      </c>
      <c r="F250" s="37" t="str">
        <f t="shared" si="148"/>
        <v/>
      </c>
      <c r="G250" s="37" t="str">
        <f t="shared" si="149"/>
        <v/>
      </c>
      <c r="H250" s="37" t="str">
        <f t="shared" si="150"/>
        <v/>
      </c>
      <c r="I250" s="37" t="str">
        <f t="shared" si="151"/>
        <v/>
      </c>
      <c r="J250" s="37" t="str">
        <f t="shared" si="152"/>
        <v/>
      </c>
      <c r="K250" s="37" t="str">
        <f t="shared" si="153"/>
        <v/>
      </c>
      <c r="L250" s="37" t="str">
        <f t="shared" si="154"/>
        <v/>
      </c>
      <c r="M250" s="37" t="str">
        <f t="shared" si="155"/>
        <v/>
      </c>
    </row>
    <row r="251" spans="4:13">
      <c r="D251" s="37" t="str">
        <f t="shared" si="146"/>
        <v/>
      </c>
      <c r="E251" s="37" t="str">
        <f t="shared" si="147"/>
        <v/>
      </c>
      <c r="F251" s="37" t="str">
        <f t="shared" si="148"/>
        <v/>
      </c>
      <c r="G251" s="37" t="str">
        <f t="shared" si="149"/>
        <v/>
      </c>
      <c r="H251" s="37" t="str">
        <f t="shared" si="150"/>
        <v/>
      </c>
      <c r="I251" s="37" t="str">
        <f t="shared" si="151"/>
        <v/>
      </c>
      <c r="J251" s="37" t="str">
        <f t="shared" si="152"/>
        <v/>
      </c>
      <c r="K251" s="37" t="str">
        <f t="shared" si="153"/>
        <v/>
      </c>
      <c r="L251" s="37" t="str">
        <f t="shared" si="154"/>
        <v/>
      </c>
      <c r="M251" s="37" t="str">
        <f t="shared" si="155"/>
        <v/>
      </c>
    </row>
    <row r="252" spans="4:13">
      <c r="D252" s="37" t="str">
        <f t="shared" si="146"/>
        <v/>
      </c>
      <c r="E252" s="37" t="str">
        <f t="shared" si="147"/>
        <v/>
      </c>
      <c r="F252" s="37" t="str">
        <f t="shared" si="148"/>
        <v/>
      </c>
      <c r="G252" s="37" t="str">
        <f t="shared" si="149"/>
        <v/>
      </c>
      <c r="H252" s="37" t="str">
        <f t="shared" si="150"/>
        <v/>
      </c>
      <c r="I252" s="37" t="str">
        <f t="shared" si="151"/>
        <v/>
      </c>
      <c r="J252" s="37" t="str">
        <f t="shared" si="152"/>
        <v/>
      </c>
      <c r="K252" s="37" t="str">
        <f t="shared" si="153"/>
        <v/>
      </c>
      <c r="L252" s="37" t="str">
        <f t="shared" si="154"/>
        <v/>
      </c>
      <c r="M252" s="37" t="str">
        <f t="shared" si="155"/>
        <v/>
      </c>
    </row>
    <row r="253" spans="4:13">
      <c r="D253" s="37" t="str">
        <f t="shared" si="146"/>
        <v/>
      </c>
      <c r="E253" s="37" t="str">
        <f t="shared" si="147"/>
        <v/>
      </c>
      <c r="F253" s="37" t="str">
        <f t="shared" si="148"/>
        <v/>
      </c>
      <c r="G253" s="37" t="str">
        <f t="shared" si="149"/>
        <v/>
      </c>
      <c r="H253" s="37" t="str">
        <f t="shared" si="150"/>
        <v/>
      </c>
      <c r="I253" s="37" t="str">
        <f t="shared" si="151"/>
        <v/>
      </c>
      <c r="J253" s="37" t="str">
        <f t="shared" si="152"/>
        <v/>
      </c>
      <c r="K253" s="37" t="str">
        <f t="shared" si="153"/>
        <v/>
      </c>
      <c r="L253" s="37" t="str">
        <f t="shared" si="154"/>
        <v/>
      </c>
      <c r="M253" s="37" t="str">
        <f t="shared" si="155"/>
        <v/>
      </c>
    </row>
    <row r="254" spans="4:13">
      <c r="D254" s="37" t="str">
        <f t="shared" si="146"/>
        <v/>
      </c>
      <c r="E254" s="37" t="str">
        <f t="shared" si="147"/>
        <v/>
      </c>
      <c r="F254" s="37" t="str">
        <f t="shared" si="148"/>
        <v/>
      </c>
      <c r="G254" s="37" t="str">
        <f t="shared" si="149"/>
        <v/>
      </c>
      <c r="H254" s="37" t="str">
        <f t="shared" si="150"/>
        <v/>
      </c>
      <c r="I254" s="37" t="str">
        <f t="shared" si="151"/>
        <v/>
      </c>
      <c r="J254" s="37" t="str">
        <f t="shared" si="152"/>
        <v/>
      </c>
      <c r="K254" s="37" t="str">
        <f t="shared" si="153"/>
        <v/>
      </c>
      <c r="L254" s="37" t="str">
        <f t="shared" si="154"/>
        <v/>
      </c>
      <c r="M254" s="37" t="str">
        <f t="shared" si="155"/>
        <v/>
      </c>
    </row>
    <row r="255" spans="4:13">
      <c r="D255" s="37" t="str">
        <f t="shared" si="146"/>
        <v/>
      </c>
      <c r="E255" s="37" t="str">
        <f t="shared" si="147"/>
        <v/>
      </c>
      <c r="F255" s="37" t="str">
        <f t="shared" si="148"/>
        <v/>
      </c>
      <c r="G255" s="37" t="str">
        <f t="shared" si="149"/>
        <v/>
      </c>
      <c r="H255" s="37" t="str">
        <f t="shared" si="150"/>
        <v/>
      </c>
      <c r="I255" s="37" t="str">
        <f t="shared" si="151"/>
        <v/>
      </c>
      <c r="J255" s="37" t="str">
        <f t="shared" si="152"/>
        <v/>
      </c>
      <c r="K255" s="37" t="str">
        <f t="shared" si="153"/>
        <v/>
      </c>
      <c r="L255" s="37" t="str">
        <f t="shared" si="154"/>
        <v/>
      </c>
      <c r="M255" s="37" t="str">
        <f t="shared" si="155"/>
        <v/>
      </c>
    </row>
    <row r="256" spans="4:13">
      <c r="D256" s="37" t="str">
        <f t="shared" si="146"/>
        <v/>
      </c>
      <c r="E256" s="37" t="str">
        <f t="shared" si="147"/>
        <v/>
      </c>
      <c r="F256" s="37" t="str">
        <f t="shared" si="148"/>
        <v/>
      </c>
      <c r="G256" s="37" t="str">
        <f t="shared" si="149"/>
        <v/>
      </c>
      <c r="H256" s="37" t="str">
        <f t="shared" si="150"/>
        <v/>
      </c>
      <c r="I256" s="37" t="str">
        <f t="shared" si="151"/>
        <v/>
      </c>
      <c r="J256" s="37" t="str">
        <f t="shared" si="152"/>
        <v/>
      </c>
      <c r="K256" s="37" t="str">
        <f t="shared" si="153"/>
        <v/>
      </c>
      <c r="L256" s="37" t="str">
        <f t="shared" si="154"/>
        <v/>
      </c>
      <c r="M256" s="37" t="str">
        <f t="shared" si="155"/>
        <v/>
      </c>
    </row>
    <row r="257" spans="4:13">
      <c r="D257" s="37" t="str">
        <f t="shared" si="146"/>
        <v/>
      </c>
      <c r="E257" s="37" t="str">
        <f t="shared" si="147"/>
        <v/>
      </c>
      <c r="F257" s="37" t="str">
        <f t="shared" si="148"/>
        <v/>
      </c>
      <c r="G257" s="37" t="str">
        <f t="shared" si="149"/>
        <v/>
      </c>
      <c r="H257" s="37" t="str">
        <f t="shared" si="150"/>
        <v/>
      </c>
      <c r="I257" s="37" t="str">
        <f t="shared" si="151"/>
        <v/>
      </c>
      <c r="J257" s="37" t="str">
        <f t="shared" si="152"/>
        <v/>
      </c>
      <c r="K257" s="37" t="str">
        <f t="shared" si="153"/>
        <v/>
      </c>
      <c r="L257" s="37" t="str">
        <f t="shared" si="154"/>
        <v/>
      </c>
      <c r="M257" s="37" t="str">
        <f t="shared" si="155"/>
        <v/>
      </c>
    </row>
    <row r="258" spans="4:13">
      <c r="D258" s="37" t="str">
        <f t="shared" si="146"/>
        <v/>
      </c>
      <c r="E258" s="37" t="str">
        <f t="shared" si="147"/>
        <v/>
      </c>
      <c r="F258" s="37" t="str">
        <f t="shared" si="148"/>
        <v/>
      </c>
      <c r="G258" s="37" t="str">
        <f t="shared" si="149"/>
        <v/>
      </c>
      <c r="H258" s="37" t="str">
        <f t="shared" si="150"/>
        <v/>
      </c>
      <c r="I258" s="37" t="str">
        <f t="shared" si="151"/>
        <v/>
      </c>
      <c r="J258" s="37" t="str">
        <f t="shared" si="152"/>
        <v/>
      </c>
      <c r="K258" s="37" t="str">
        <f t="shared" si="153"/>
        <v/>
      </c>
      <c r="L258" s="37" t="str">
        <f t="shared" si="154"/>
        <v/>
      </c>
      <c r="M258" s="37" t="str">
        <f t="shared" si="155"/>
        <v/>
      </c>
    </row>
    <row r="259" spans="4:13">
      <c r="D259" s="37" t="str">
        <f t="shared" si="146"/>
        <v/>
      </c>
      <c r="E259" s="37" t="str">
        <f t="shared" si="147"/>
        <v/>
      </c>
      <c r="F259" s="37" t="str">
        <f t="shared" si="148"/>
        <v/>
      </c>
      <c r="G259" s="37" t="str">
        <f t="shared" si="149"/>
        <v/>
      </c>
      <c r="H259" s="37" t="str">
        <f t="shared" si="150"/>
        <v/>
      </c>
      <c r="I259" s="37" t="str">
        <f t="shared" si="151"/>
        <v/>
      </c>
      <c r="J259" s="37" t="str">
        <f t="shared" si="152"/>
        <v/>
      </c>
      <c r="K259" s="37" t="str">
        <f t="shared" si="153"/>
        <v/>
      </c>
      <c r="L259" s="37" t="str">
        <f t="shared" si="154"/>
        <v/>
      </c>
      <c r="M259" s="37" t="str">
        <f t="shared" si="155"/>
        <v/>
      </c>
    </row>
    <row r="260" spans="4:13">
      <c r="D260" s="37" t="str">
        <f t="shared" si="146"/>
        <v/>
      </c>
      <c r="E260" s="37" t="str">
        <f t="shared" si="147"/>
        <v/>
      </c>
      <c r="F260" s="37" t="str">
        <f t="shared" si="148"/>
        <v/>
      </c>
      <c r="G260" s="37" t="str">
        <f t="shared" si="149"/>
        <v/>
      </c>
      <c r="H260" s="37" t="str">
        <f t="shared" si="150"/>
        <v/>
      </c>
      <c r="I260" s="37" t="str">
        <f t="shared" si="151"/>
        <v/>
      </c>
      <c r="J260" s="37" t="str">
        <f t="shared" si="152"/>
        <v/>
      </c>
      <c r="K260" s="37" t="str">
        <f t="shared" si="153"/>
        <v/>
      </c>
      <c r="L260" s="37" t="str">
        <f t="shared" si="154"/>
        <v/>
      </c>
      <c r="M260" s="37" t="str">
        <f t="shared" si="155"/>
        <v/>
      </c>
    </row>
    <row r="261" spans="4:13">
      <c r="D261" s="37" t="str">
        <f t="shared" si="146"/>
        <v/>
      </c>
      <c r="E261" s="37" t="str">
        <f t="shared" si="147"/>
        <v/>
      </c>
      <c r="F261" s="37" t="str">
        <f t="shared" si="148"/>
        <v/>
      </c>
      <c r="G261" s="37" t="str">
        <f t="shared" si="149"/>
        <v/>
      </c>
      <c r="H261" s="37" t="str">
        <f t="shared" si="150"/>
        <v/>
      </c>
      <c r="I261" s="37" t="str">
        <f t="shared" si="151"/>
        <v/>
      </c>
      <c r="J261" s="37" t="str">
        <f t="shared" si="152"/>
        <v/>
      </c>
      <c r="K261" s="37" t="str">
        <f t="shared" si="153"/>
        <v/>
      </c>
      <c r="L261" s="37" t="str">
        <f t="shared" si="154"/>
        <v/>
      </c>
      <c r="M261" s="37" t="str">
        <f t="shared" si="155"/>
        <v/>
      </c>
    </row>
    <row r="262" spans="4:13">
      <c r="D262" s="37" t="str">
        <f t="shared" si="146"/>
        <v/>
      </c>
      <c r="E262" s="37" t="str">
        <f t="shared" si="147"/>
        <v/>
      </c>
      <c r="F262" s="37" t="str">
        <f t="shared" si="148"/>
        <v/>
      </c>
      <c r="G262" s="37" t="str">
        <f t="shared" si="149"/>
        <v/>
      </c>
      <c r="H262" s="37" t="str">
        <f t="shared" si="150"/>
        <v/>
      </c>
      <c r="I262" s="37" t="str">
        <f t="shared" si="151"/>
        <v/>
      </c>
      <c r="J262" s="37" t="str">
        <f t="shared" si="152"/>
        <v/>
      </c>
      <c r="K262" s="37" t="str">
        <f t="shared" si="153"/>
        <v/>
      </c>
      <c r="L262" s="37" t="str">
        <f t="shared" si="154"/>
        <v/>
      </c>
      <c r="M262" s="37" t="str">
        <f t="shared" si="155"/>
        <v/>
      </c>
    </row>
    <row r="263" spans="4:13">
      <c r="D263" s="37" t="str">
        <f t="shared" si="146"/>
        <v/>
      </c>
      <c r="E263" s="37" t="str">
        <f t="shared" si="147"/>
        <v/>
      </c>
      <c r="F263" s="37" t="str">
        <f t="shared" si="148"/>
        <v/>
      </c>
      <c r="G263" s="37" t="str">
        <f t="shared" si="149"/>
        <v/>
      </c>
      <c r="H263" s="37" t="str">
        <f t="shared" si="150"/>
        <v/>
      </c>
      <c r="I263" s="37" t="str">
        <f t="shared" si="151"/>
        <v/>
      </c>
      <c r="J263" s="37" t="str">
        <f t="shared" si="152"/>
        <v/>
      </c>
      <c r="K263" s="37" t="str">
        <f t="shared" si="153"/>
        <v/>
      </c>
      <c r="L263" s="37" t="str">
        <f t="shared" si="154"/>
        <v/>
      </c>
      <c r="M263" s="37" t="str">
        <f t="shared" si="155"/>
        <v/>
      </c>
    </row>
    <row r="264" spans="4:13">
      <c r="D264" s="37" t="str">
        <f t="shared" si="146"/>
        <v/>
      </c>
      <c r="E264" s="37" t="str">
        <f t="shared" si="147"/>
        <v/>
      </c>
      <c r="F264" s="37" t="str">
        <f t="shared" si="148"/>
        <v/>
      </c>
      <c r="G264" s="37" t="str">
        <f t="shared" si="149"/>
        <v/>
      </c>
      <c r="H264" s="37" t="str">
        <f t="shared" si="150"/>
        <v/>
      </c>
      <c r="I264" s="37" t="str">
        <f t="shared" si="151"/>
        <v/>
      </c>
      <c r="J264" s="37" t="str">
        <f t="shared" si="152"/>
        <v/>
      </c>
      <c r="K264" s="37" t="str">
        <f t="shared" si="153"/>
        <v/>
      </c>
      <c r="L264" s="37" t="str">
        <f t="shared" si="154"/>
        <v/>
      </c>
      <c r="M264" s="37" t="str">
        <f t="shared" si="155"/>
        <v/>
      </c>
    </row>
    <row r="265" spans="4:13">
      <c r="D265" s="37" t="str">
        <f t="shared" si="146"/>
        <v/>
      </c>
      <c r="E265" s="37" t="str">
        <f t="shared" si="147"/>
        <v/>
      </c>
      <c r="F265" s="37" t="str">
        <f t="shared" si="148"/>
        <v/>
      </c>
      <c r="G265" s="37" t="str">
        <f t="shared" si="149"/>
        <v/>
      </c>
      <c r="H265" s="37" t="str">
        <f t="shared" si="150"/>
        <v/>
      </c>
      <c r="I265" s="37" t="str">
        <f t="shared" si="151"/>
        <v/>
      </c>
      <c r="J265" s="37" t="str">
        <f t="shared" si="152"/>
        <v/>
      </c>
      <c r="K265" s="37" t="str">
        <f t="shared" si="153"/>
        <v/>
      </c>
      <c r="L265" s="37" t="str">
        <f t="shared" si="154"/>
        <v/>
      </c>
      <c r="M265" s="37" t="str">
        <f t="shared" si="155"/>
        <v/>
      </c>
    </row>
    <row r="266" spans="4:13">
      <c r="D266" s="37" t="str">
        <f t="shared" si="146"/>
        <v/>
      </c>
      <c r="E266" s="37" t="str">
        <f t="shared" si="147"/>
        <v/>
      </c>
      <c r="F266" s="37" t="str">
        <f t="shared" si="148"/>
        <v/>
      </c>
      <c r="G266" s="37" t="str">
        <f t="shared" si="149"/>
        <v/>
      </c>
      <c r="H266" s="37" t="str">
        <f t="shared" si="150"/>
        <v/>
      </c>
      <c r="I266" s="37" t="str">
        <f t="shared" si="151"/>
        <v/>
      </c>
      <c r="J266" s="37" t="str">
        <f t="shared" si="152"/>
        <v/>
      </c>
      <c r="K266" s="37" t="str">
        <f t="shared" si="153"/>
        <v/>
      </c>
      <c r="L266" s="37" t="str">
        <f t="shared" si="154"/>
        <v/>
      </c>
      <c r="M266" s="37" t="str">
        <f t="shared" si="155"/>
        <v/>
      </c>
    </row>
    <row r="267" spans="4:13">
      <c r="D267" s="37" t="str">
        <f t="shared" si="146"/>
        <v/>
      </c>
      <c r="E267" s="37" t="str">
        <f t="shared" si="147"/>
        <v/>
      </c>
      <c r="F267" s="37" t="str">
        <f t="shared" si="148"/>
        <v/>
      </c>
      <c r="G267" s="37" t="str">
        <f t="shared" si="149"/>
        <v/>
      </c>
      <c r="H267" s="37" t="str">
        <f t="shared" si="150"/>
        <v/>
      </c>
      <c r="I267" s="37" t="str">
        <f t="shared" si="151"/>
        <v/>
      </c>
      <c r="J267" s="37" t="str">
        <f t="shared" si="152"/>
        <v/>
      </c>
      <c r="K267" s="37" t="str">
        <f t="shared" si="153"/>
        <v/>
      </c>
      <c r="L267" s="37" t="str">
        <f t="shared" si="154"/>
        <v/>
      </c>
      <c r="M267" s="37" t="str">
        <f t="shared" si="155"/>
        <v/>
      </c>
    </row>
    <row r="268" spans="4:13">
      <c r="D268" s="37" t="str">
        <f t="shared" si="146"/>
        <v/>
      </c>
      <c r="E268" s="37" t="str">
        <f t="shared" si="147"/>
        <v/>
      </c>
      <c r="F268" s="37" t="str">
        <f t="shared" si="148"/>
        <v/>
      </c>
      <c r="G268" s="37" t="str">
        <f t="shared" si="149"/>
        <v/>
      </c>
      <c r="H268" s="37" t="str">
        <f t="shared" si="150"/>
        <v/>
      </c>
      <c r="I268" s="37" t="str">
        <f t="shared" si="151"/>
        <v/>
      </c>
      <c r="J268" s="37" t="str">
        <f t="shared" si="152"/>
        <v/>
      </c>
      <c r="K268" s="37" t="str">
        <f t="shared" si="153"/>
        <v/>
      </c>
      <c r="L268" s="37" t="str">
        <f t="shared" si="154"/>
        <v/>
      </c>
      <c r="M268" s="37" t="str">
        <f t="shared" si="155"/>
        <v/>
      </c>
    </row>
    <row r="269" spans="4:13">
      <c r="D269" s="37" t="str">
        <f t="shared" si="146"/>
        <v/>
      </c>
      <c r="E269" s="37" t="str">
        <f t="shared" si="147"/>
        <v/>
      </c>
      <c r="F269" s="37" t="str">
        <f t="shared" si="148"/>
        <v/>
      </c>
      <c r="G269" s="37" t="str">
        <f t="shared" si="149"/>
        <v/>
      </c>
      <c r="H269" s="37" t="str">
        <f t="shared" si="150"/>
        <v/>
      </c>
      <c r="I269" s="37" t="str">
        <f t="shared" si="151"/>
        <v/>
      </c>
      <c r="J269" s="37" t="str">
        <f t="shared" si="152"/>
        <v/>
      </c>
      <c r="K269" s="37" t="str">
        <f t="shared" si="153"/>
        <v/>
      </c>
      <c r="L269" s="37" t="str">
        <f t="shared" si="154"/>
        <v/>
      </c>
      <c r="M269" s="37" t="str">
        <f t="shared" si="155"/>
        <v/>
      </c>
    </row>
    <row r="270" spans="4:13">
      <c r="D270" s="37" t="str">
        <f t="shared" si="146"/>
        <v/>
      </c>
      <c r="E270" s="37" t="str">
        <f t="shared" si="147"/>
        <v/>
      </c>
      <c r="F270" s="37" t="str">
        <f t="shared" si="148"/>
        <v/>
      </c>
      <c r="G270" s="37" t="str">
        <f t="shared" si="149"/>
        <v/>
      </c>
      <c r="H270" s="37" t="str">
        <f t="shared" si="150"/>
        <v/>
      </c>
      <c r="I270" s="37" t="str">
        <f t="shared" si="151"/>
        <v/>
      </c>
      <c r="J270" s="37" t="str">
        <f t="shared" si="152"/>
        <v/>
      </c>
      <c r="K270" s="37" t="str">
        <f t="shared" si="153"/>
        <v/>
      </c>
      <c r="L270" s="37" t="str">
        <f t="shared" si="154"/>
        <v/>
      </c>
      <c r="M270" s="37" t="str">
        <f t="shared" si="155"/>
        <v/>
      </c>
    </row>
    <row r="271" spans="4:13">
      <c r="D271" s="37" t="str">
        <f t="shared" si="146"/>
        <v/>
      </c>
      <c r="E271" s="37" t="str">
        <f t="shared" si="147"/>
        <v/>
      </c>
      <c r="F271" s="37" t="str">
        <f t="shared" si="148"/>
        <v/>
      </c>
      <c r="G271" s="37" t="str">
        <f t="shared" si="149"/>
        <v/>
      </c>
      <c r="H271" s="37" t="str">
        <f t="shared" si="150"/>
        <v/>
      </c>
      <c r="I271" s="37" t="str">
        <f t="shared" si="151"/>
        <v/>
      </c>
      <c r="J271" s="37" t="str">
        <f t="shared" si="152"/>
        <v/>
      </c>
      <c r="K271" s="37" t="str">
        <f t="shared" si="153"/>
        <v/>
      </c>
      <c r="L271" s="37" t="str">
        <f t="shared" si="154"/>
        <v/>
      </c>
      <c r="M271" s="37" t="str">
        <f t="shared" si="155"/>
        <v/>
      </c>
    </row>
    <row r="272" spans="4:13">
      <c r="D272" s="37" t="str">
        <f t="shared" si="146"/>
        <v/>
      </c>
      <c r="E272" s="37" t="str">
        <f t="shared" si="147"/>
        <v/>
      </c>
      <c r="F272" s="37" t="str">
        <f t="shared" si="148"/>
        <v/>
      </c>
      <c r="G272" s="37" t="str">
        <f t="shared" si="149"/>
        <v/>
      </c>
      <c r="H272" s="37" t="str">
        <f t="shared" si="150"/>
        <v/>
      </c>
      <c r="I272" s="37" t="str">
        <f t="shared" si="151"/>
        <v/>
      </c>
      <c r="J272" s="37" t="str">
        <f t="shared" si="152"/>
        <v/>
      </c>
      <c r="K272" s="37" t="str">
        <f t="shared" si="153"/>
        <v/>
      </c>
      <c r="L272" s="37" t="str">
        <f t="shared" si="154"/>
        <v/>
      </c>
      <c r="M272" s="37" t="str">
        <f t="shared" si="155"/>
        <v/>
      </c>
    </row>
    <row r="273" spans="4:13">
      <c r="D273" s="37" t="str">
        <f t="shared" si="146"/>
        <v/>
      </c>
      <c r="E273" s="37" t="str">
        <f t="shared" si="147"/>
        <v/>
      </c>
      <c r="F273" s="37" t="str">
        <f t="shared" si="148"/>
        <v/>
      </c>
      <c r="G273" s="37" t="str">
        <f t="shared" si="149"/>
        <v/>
      </c>
      <c r="H273" s="37" t="str">
        <f t="shared" si="150"/>
        <v/>
      </c>
      <c r="I273" s="37" t="str">
        <f t="shared" si="151"/>
        <v/>
      </c>
      <c r="J273" s="37" t="str">
        <f t="shared" si="152"/>
        <v/>
      </c>
      <c r="K273" s="37" t="str">
        <f t="shared" si="153"/>
        <v/>
      </c>
      <c r="L273" s="37" t="str">
        <f t="shared" si="154"/>
        <v/>
      </c>
      <c r="M273" s="37" t="str">
        <f t="shared" si="155"/>
        <v/>
      </c>
    </row>
    <row r="274" spans="4:13">
      <c r="D274" s="37" t="str">
        <f t="shared" si="146"/>
        <v/>
      </c>
      <c r="E274" s="37" t="str">
        <f t="shared" si="147"/>
        <v/>
      </c>
      <c r="F274" s="37" t="str">
        <f t="shared" si="148"/>
        <v/>
      </c>
      <c r="G274" s="37" t="str">
        <f t="shared" si="149"/>
        <v/>
      </c>
      <c r="H274" s="37" t="str">
        <f t="shared" si="150"/>
        <v/>
      </c>
      <c r="I274" s="37" t="str">
        <f t="shared" si="151"/>
        <v/>
      </c>
      <c r="J274" s="37" t="str">
        <f t="shared" si="152"/>
        <v/>
      </c>
      <c r="K274" s="37" t="str">
        <f t="shared" si="153"/>
        <v/>
      </c>
      <c r="L274" s="37" t="str">
        <f t="shared" si="154"/>
        <v/>
      </c>
      <c r="M274" s="37" t="str">
        <f t="shared" si="155"/>
        <v/>
      </c>
    </row>
    <row r="275" spans="4:13">
      <c r="D275" s="37" t="str">
        <f t="shared" si="146"/>
        <v/>
      </c>
      <c r="E275" s="37" t="str">
        <f t="shared" si="147"/>
        <v/>
      </c>
      <c r="F275" s="37" t="str">
        <f t="shared" si="148"/>
        <v/>
      </c>
      <c r="G275" s="37" t="str">
        <f t="shared" si="149"/>
        <v/>
      </c>
      <c r="H275" s="37" t="str">
        <f t="shared" si="150"/>
        <v/>
      </c>
      <c r="I275" s="37" t="str">
        <f t="shared" si="151"/>
        <v/>
      </c>
      <c r="J275" s="37" t="str">
        <f t="shared" si="152"/>
        <v/>
      </c>
      <c r="K275" s="37" t="str">
        <f t="shared" si="153"/>
        <v/>
      </c>
      <c r="L275" s="37" t="str">
        <f t="shared" si="154"/>
        <v/>
      </c>
      <c r="M275" s="37" t="str">
        <f t="shared" si="155"/>
        <v/>
      </c>
    </row>
    <row r="276" spans="4:13">
      <c r="D276" s="37" t="str">
        <f t="shared" si="146"/>
        <v/>
      </c>
      <c r="E276" s="37" t="str">
        <f t="shared" si="147"/>
        <v/>
      </c>
      <c r="F276" s="37" t="str">
        <f t="shared" si="148"/>
        <v/>
      </c>
      <c r="G276" s="37" t="str">
        <f t="shared" si="149"/>
        <v/>
      </c>
      <c r="H276" s="37" t="str">
        <f t="shared" si="150"/>
        <v/>
      </c>
      <c r="I276" s="37" t="str">
        <f t="shared" si="151"/>
        <v/>
      </c>
      <c r="J276" s="37" t="str">
        <f t="shared" si="152"/>
        <v/>
      </c>
      <c r="K276" s="37" t="str">
        <f t="shared" si="153"/>
        <v/>
      </c>
      <c r="L276" s="37" t="str">
        <f t="shared" si="154"/>
        <v/>
      </c>
      <c r="M276" s="37" t="str">
        <f t="shared" si="155"/>
        <v/>
      </c>
    </row>
    <row r="277" spans="4:13">
      <c r="D277" s="37" t="str">
        <f t="shared" si="146"/>
        <v/>
      </c>
      <c r="E277" s="37" t="str">
        <f t="shared" si="147"/>
        <v/>
      </c>
      <c r="F277" s="37" t="str">
        <f t="shared" si="148"/>
        <v/>
      </c>
      <c r="G277" s="37" t="str">
        <f t="shared" si="149"/>
        <v/>
      </c>
      <c r="H277" s="37" t="str">
        <f t="shared" si="150"/>
        <v/>
      </c>
      <c r="I277" s="37" t="str">
        <f t="shared" si="151"/>
        <v/>
      </c>
      <c r="J277" s="37" t="str">
        <f t="shared" si="152"/>
        <v/>
      </c>
      <c r="K277" s="37" t="str">
        <f t="shared" si="153"/>
        <v/>
      </c>
      <c r="L277" s="37" t="str">
        <f t="shared" si="154"/>
        <v/>
      </c>
      <c r="M277" s="37" t="str">
        <f t="shared" si="155"/>
        <v/>
      </c>
    </row>
    <row r="278" spans="4:13">
      <c r="D278" s="37" t="str">
        <f t="shared" si="146"/>
        <v/>
      </c>
      <c r="E278" s="37" t="str">
        <f t="shared" si="147"/>
        <v/>
      </c>
      <c r="F278" s="37" t="str">
        <f t="shared" si="148"/>
        <v/>
      </c>
      <c r="G278" s="37" t="str">
        <f t="shared" si="149"/>
        <v/>
      </c>
      <c r="H278" s="37" t="str">
        <f t="shared" si="150"/>
        <v/>
      </c>
      <c r="I278" s="37" t="str">
        <f t="shared" si="151"/>
        <v/>
      </c>
      <c r="J278" s="37" t="str">
        <f t="shared" si="152"/>
        <v/>
      </c>
      <c r="K278" s="37" t="str">
        <f t="shared" si="153"/>
        <v/>
      </c>
      <c r="L278" s="37" t="str">
        <f t="shared" si="154"/>
        <v/>
      </c>
      <c r="M278" s="37" t="str">
        <f t="shared" si="155"/>
        <v/>
      </c>
    </row>
    <row r="279" spans="4:13">
      <c r="D279" s="37" t="str">
        <f t="shared" si="146"/>
        <v/>
      </c>
      <c r="E279" s="37" t="str">
        <f t="shared" si="147"/>
        <v/>
      </c>
      <c r="F279" s="37" t="str">
        <f t="shared" si="148"/>
        <v/>
      </c>
      <c r="G279" s="37" t="str">
        <f t="shared" si="149"/>
        <v/>
      </c>
      <c r="H279" s="37" t="str">
        <f t="shared" si="150"/>
        <v/>
      </c>
      <c r="I279" s="37" t="str">
        <f t="shared" si="151"/>
        <v/>
      </c>
      <c r="J279" s="37" t="str">
        <f t="shared" si="152"/>
        <v/>
      </c>
      <c r="K279" s="37" t="str">
        <f t="shared" si="153"/>
        <v/>
      </c>
      <c r="L279" s="37" t="str">
        <f t="shared" si="154"/>
        <v/>
      </c>
      <c r="M279" s="37" t="str">
        <f t="shared" si="155"/>
        <v/>
      </c>
    </row>
    <row r="280" spans="4:13">
      <c r="D280" s="37" t="str">
        <f t="shared" si="146"/>
        <v/>
      </c>
      <c r="E280" s="37" t="str">
        <f t="shared" si="147"/>
        <v/>
      </c>
      <c r="F280" s="37" t="str">
        <f t="shared" si="148"/>
        <v/>
      </c>
      <c r="G280" s="37" t="str">
        <f t="shared" si="149"/>
        <v/>
      </c>
      <c r="H280" s="37" t="str">
        <f t="shared" si="150"/>
        <v/>
      </c>
      <c r="I280" s="37" t="str">
        <f t="shared" si="151"/>
        <v/>
      </c>
      <c r="J280" s="37" t="str">
        <f t="shared" si="152"/>
        <v/>
      </c>
      <c r="K280" s="37" t="str">
        <f t="shared" si="153"/>
        <v/>
      </c>
      <c r="L280" s="37" t="str">
        <f t="shared" si="154"/>
        <v/>
      </c>
      <c r="M280" s="37" t="str">
        <f t="shared" si="155"/>
        <v/>
      </c>
    </row>
    <row r="281" spans="4:13">
      <c r="D281" s="37" t="str">
        <f t="shared" si="146"/>
        <v/>
      </c>
      <c r="E281" s="37" t="str">
        <f t="shared" si="147"/>
        <v/>
      </c>
      <c r="F281" s="37" t="str">
        <f t="shared" si="148"/>
        <v/>
      </c>
      <c r="G281" s="37" t="str">
        <f t="shared" si="149"/>
        <v/>
      </c>
      <c r="H281" s="37" t="str">
        <f t="shared" si="150"/>
        <v/>
      </c>
      <c r="I281" s="37" t="str">
        <f t="shared" si="151"/>
        <v/>
      </c>
      <c r="J281" s="37" t="str">
        <f t="shared" si="152"/>
        <v/>
      </c>
      <c r="K281" s="37" t="str">
        <f t="shared" si="153"/>
        <v/>
      </c>
      <c r="L281" s="37" t="str">
        <f t="shared" si="154"/>
        <v/>
      </c>
      <c r="M281" s="37" t="str">
        <f t="shared" si="155"/>
        <v/>
      </c>
    </row>
    <row r="282" spans="4:13">
      <c r="D282" s="37" t="str">
        <f t="shared" si="146"/>
        <v/>
      </c>
      <c r="E282" s="37" t="str">
        <f t="shared" si="147"/>
        <v/>
      </c>
      <c r="F282" s="37" t="str">
        <f t="shared" si="148"/>
        <v/>
      </c>
      <c r="G282" s="37" t="str">
        <f t="shared" si="149"/>
        <v/>
      </c>
      <c r="H282" s="37" t="str">
        <f t="shared" si="150"/>
        <v/>
      </c>
      <c r="I282" s="37" t="str">
        <f t="shared" si="151"/>
        <v/>
      </c>
      <c r="J282" s="37" t="str">
        <f t="shared" si="152"/>
        <v/>
      </c>
      <c r="K282" s="37" t="str">
        <f t="shared" si="153"/>
        <v/>
      </c>
      <c r="L282" s="37" t="str">
        <f t="shared" si="154"/>
        <v/>
      </c>
      <c r="M282" s="37" t="str">
        <f t="shared" si="155"/>
        <v/>
      </c>
    </row>
    <row r="283" spans="4:13">
      <c r="D283" s="37" t="str">
        <f t="shared" si="146"/>
        <v/>
      </c>
      <c r="E283" s="37" t="str">
        <f t="shared" si="147"/>
        <v/>
      </c>
      <c r="F283" s="37" t="str">
        <f t="shared" si="148"/>
        <v/>
      </c>
      <c r="G283" s="37" t="str">
        <f t="shared" si="149"/>
        <v/>
      </c>
      <c r="H283" s="37" t="str">
        <f t="shared" si="150"/>
        <v/>
      </c>
      <c r="I283" s="37" t="str">
        <f t="shared" si="151"/>
        <v/>
      </c>
      <c r="J283" s="37" t="str">
        <f t="shared" si="152"/>
        <v/>
      </c>
      <c r="K283" s="37" t="str">
        <f t="shared" si="153"/>
        <v/>
      </c>
      <c r="L283" s="37" t="str">
        <f t="shared" si="154"/>
        <v/>
      </c>
      <c r="M283" s="37" t="str">
        <f t="shared" si="155"/>
        <v/>
      </c>
    </row>
    <row r="284" spans="4:13">
      <c r="D284" s="37" t="str">
        <f t="shared" si="146"/>
        <v/>
      </c>
      <c r="E284" s="37" t="str">
        <f t="shared" si="147"/>
        <v/>
      </c>
      <c r="F284" s="37" t="str">
        <f t="shared" si="148"/>
        <v/>
      </c>
      <c r="G284" s="37" t="str">
        <f t="shared" si="149"/>
        <v/>
      </c>
      <c r="H284" s="37" t="str">
        <f t="shared" si="150"/>
        <v/>
      </c>
      <c r="I284" s="37" t="str">
        <f t="shared" si="151"/>
        <v/>
      </c>
      <c r="J284" s="37" t="str">
        <f t="shared" si="152"/>
        <v/>
      </c>
      <c r="K284" s="37" t="str">
        <f t="shared" si="153"/>
        <v/>
      </c>
      <c r="L284" s="37" t="str">
        <f t="shared" si="154"/>
        <v/>
      </c>
      <c r="M284" s="37" t="str">
        <f t="shared" si="155"/>
        <v/>
      </c>
    </row>
    <row r="285" spans="4:13">
      <c r="D285" s="37" t="str">
        <f t="shared" si="146"/>
        <v/>
      </c>
      <c r="E285" s="37" t="str">
        <f t="shared" si="147"/>
        <v/>
      </c>
      <c r="F285" s="37" t="str">
        <f t="shared" si="148"/>
        <v/>
      </c>
      <c r="G285" s="37" t="str">
        <f t="shared" si="149"/>
        <v/>
      </c>
      <c r="H285" s="37" t="str">
        <f t="shared" si="150"/>
        <v/>
      </c>
      <c r="I285" s="37" t="str">
        <f t="shared" si="151"/>
        <v/>
      </c>
      <c r="J285" s="37" t="str">
        <f t="shared" si="152"/>
        <v/>
      </c>
      <c r="K285" s="37" t="str">
        <f t="shared" si="153"/>
        <v/>
      </c>
      <c r="L285" s="37" t="str">
        <f t="shared" si="154"/>
        <v/>
      </c>
      <c r="M285" s="37" t="str">
        <f t="shared" si="155"/>
        <v/>
      </c>
    </row>
    <row r="286" spans="4:13">
      <c r="D286" s="37" t="str">
        <f t="shared" si="146"/>
        <v/>
      </c>
      <c r="E286" s="37" t="str">
        <f t="shared" si="147"/>
        <v/>
      </c>
      <c r="F286" s="37" t="str">
        <f t="shared" si="148"/>
        <v/>
      </c>
      <c r="G286" s="37" t="str">
        <f t="shared" si="149"/>
        <v/>
      </c>
      <c r="H286" s="37" t="str">
        <f t="shared" si="150"/>
        <v/>
      </c>
      <c r="I286" s="37" t="str">
        <f t="shared" si="151"/>
        <v/>
      </c>
      <c r="J286" s="37" t="str">
        <f t="shared" si="152"/>
        <v/>
      </c>
      <c r="K286" s="37" t="str">
        <f t="shared" si="153"/>
        <v/>
      </c>
      <c r="L286" s="37" t="str">
        <f t="shared" si="154"/>
        <v/>
      </c>
      <c r="M286" s="37" t="str">
        <f t="shared" si="155"/>
        <v/>
      </c>
    </row>
    <row r="287" spans="4:13">
      <c r="D287" s="37" t="str">
        <f t="shared" si="146"/>
        <v/>
      </c>
      <c r="E287" s="37" t="str">
        <f t="shared" si="147"/>
        <v/>
      </c>
      <c r="F287" s="37" t="str">
        <f t="shared" si="148"/>
        <v/>
      </c>
      <c r="G287" s="37" t="str">
        <f t="shared" si="149"/>
        <v/>
      </c>
      <c r="H287" s="37" t="str">
        <f t="shared" si="150"/>
        <v/>
      </c>
      <c r="I287" s="37" t="str">
        <f t="shared" si="151"/>
        <v/>
      </c>
      <c r="J287" s="37" t="str">
        <f t="shared" si="152"/>
        <v/>
      </c>
      <c r="K287" s="37" t="str">
        <f t="shared" si="153"/>
        <v/>
      </c>
      <c r="L287" s="37" t="str">
        <f t="shared" si="154"/>
        <v/>
      </c>
      <c r="M287" s="37" t="str">
        <f t="shared" si="155"/>
        <v/>
      </c>
    </row>
    <row r="288" spans="4:13">
      <c r="D288" s="37" t="str">
        <f t="shared" si="146"/>
        <v/>
      </c>
      <c r="E288" s="37" t="str">
        <f t="shared" si="147"/>
        <v/>
      </c>
      <c r="F288" s="37" t="str">
        <f t="shared" si="148"/>
        <v/>
      </c>
      <c r="G288" s="37" t="str">
        <f t="shared" si="149"/>
        <v/>
      </c>
      <c r="H288" s="37" t="str">
        <f t="shared" si="150"/>
        <v/>
      </c>
      <c r="I288" s="37" t="str">
        <f t="shared" si="151"/>
        <v/>
      </c>
      <c r="J288" s="37" t="str">
        <f t="shared" si="152"/>
        <v/>
      </c>
      <c r="K288" s="37" t="str">
        <f t="shared" si="153"/>
        <v/>
      </c>
      <c r="L288" s="37" t="str">
        <f t="shared" si="154"/>
        <v/>
      </c>
      <c r="M288" s="37" t="str">
        <f t="shared" si="155"/>
        <v/>
      </c>
    </row>
    <row r="289" spans="4:13">
      <c r="D289" s="37" t="str">
        <f t="shared" si="146"/>
        <v/>
      </c>
      <c r="E289" s="37" t="str">
        <f t="shared" si="147"/>
        <v/>
      </c>
      <c r="F289" s="37" t="str">
        <f t="shared" si="148"/>
        <v/>
      </c>
      <c r="G289" s="37" t="str">
        <f t="shared" si="149"/>
        <v/>
      </c>
      <c r="H289" s="37" t="str">
        <f t="shared" si="150"/>
        <v/>
      </c>
      <c r="I289" s="37" t="str">
        <f t="shared" si="151"/>
        <v/>
      </c>
      <c r="J289" s="37" t="str">
        <f t="shared" si="152"/>
        <v/>
      </c>
      <c r="K289" s="37" t="str">
        <f t="shared" si="153"/>
        <v/>
      </c>
      <c r="L289" s="37" t="str">
        <f t="shared" si="154"/>
        <v/>
      </c>
      <c r="M289" s="37" t="str">
        <f t="shared" si="155"/>
        <v/>
      </c>
    </row>
    <row r="290" spans="4:13">
      <c r="D290" s="37" t="str">
        <f t="shared" si="146"/>
        <v/>
      </c>
      <c r="E290" s="37" t="str">
        <f t="shared" si="147"/>
        <v/>
      </c>
      <c r="F290" s="37" t="str">
        <f t="shared" si="148"/>
        <v/>
      </c>
      <c r="G290" s="37" t="str">
        <f t="shared" si="149"/>
        <v/>
      </c>
      <c r="H290" s="37" t="str">
        <f t="shared" si="150"/>
        <v/>
      </c>
      <c r="I290" s="37" t="str">
        <f t="shared" si="151"/>
        <v/>
      </c>
      <c r="J290" s="37" t="str">
        <f t="shared" si="152"/>
        <v/>
      </c>
      <c r="K290" s="37" t="str">
        <f t="shared" si="153"/>
        <v/>
      </c>
      <c r="L290" s="37" t="str">
        <f t="shared" si="154"/>
        <v/>
      </c>
      <c r="M290" s="37" t="str">
        <f t="shared" si="155"/>
        <v/>
      </c>
    </row>
    <row r="291" spans="4:13">
      <c r="D291" s="37" t="str">
        <f t="shared" si="146"/>
        <v/>
      </c>
      <c r="E291" s="37" t="str">
        <f t="shared" si="147"/>
        <v/>
      </c>
      <c r="F291" s="37" t="str">
        <f t="shared" si="148"/>
        <v/>
      </c>
      <c r="G291" s="37" t="str">
        <f t="shared" si="149"/>
        <v/>
      </c>
      <c r="H291" s="37" t="str">
        <f t="shared" si="150"/>
        <v/>
      </c>
      <c r="I291" s="37" t="str">
        <f t="shared" si="151"/>
        <v/>
      </c>
      <c r="J291" s="37" t="str">
        <f t="shared" si="152"/>
        <v/>
      </c>
      <c r="K291" s="37" t="str">
        <f t="shared" si="153"/>
        <v/>
      </c>
      <c r="L291" s="37" t="str">
        <f t="shared" si="154"/>
        <v/>
      </c>
      <c r="M291" s="37" t="str">
        <f t="shared" si="155"/>
        <v/>
      </c>
    </row>
    <row r="292" spans="4:13">
      <c r="D292" s="37" t="str">
        <f t="shared" si="146"/>
        <v/>
      </c>
      <c r="E292" s="37" t="str">
        <f t="shared" si="147"/>
        <v/>
      </c>
      <c r="F292" s="37" t="str">
        <f t="shared" si="148"/>
        <v/>
      </c>
      <c r="G292" s="37" t="str">
        <f t="shared" si="149"/>
        <v/>
      </c>
      <c r="H292" s="37" t="str">
        <f t="shared" si="150"/>
        <v/>
      </c>
      <c r="I292" s="37" t="str">
        <f t="shared" si="151"/>
        <v/>
      </c>
      <c r="J292" s="37" t="str">
        <f t="shared" si="152"/>
        <v/>
      </c>
      <c r="K292" s="37" t="str">
        <f t="shared" si="153"/>
        <v/>
      </c>
      <c r="L292" s="37" t="str">
        <f t="shared" si="154"/>
        <v/>
      </c>
      <c r="M292" s="37" t="str">
        <f t="shared" si="155"/>
        <v/>
      </c>
    </row>
    <row r="293" spans="4:13">
      <c r="D293" s="37" t="str">
        <f t="shared" si="146"/>
        <v/>
      </c>
      <c r="E293" s="37" t="str">
        <f t="shared" si="147"/>
        <v/>
      </c>
      <c r="F293" s="37" t="str">
        <f t="shared" si="148"/>
        <v/>
      </c>
      <c r="G293" s="37" t="str">
        <f t="shared" si="149"/>
        <v/>
      </c>
      <c r="H293" s="37" t="str">
        <f t="shared" si="150"/>
        <v/>
      </c>
      <c r="I293" s="37" t="str">
        <f t="shared" si="151"/>
        <v/>
      </c>
      <c r="J293" s="37" t="str">
        <f t="shared" si="152"/>
        <v/>
      </c>
      <c r="K293" s="37" t="str">
        <f t="shared" si="153"/>
        <v/>
      </c>
      <c r="L293" s="37" t="str">
        <f t="shared" si="154"/>
        <v/>
      </c>
      <c r="M293" s="37" t="str">
        <f t="shared" si="155"/>
        <v/>
      </c>
    </row>
    <row r="294" spans="4:13">
      <c r="D294" s="37" t="str">
        <f>IF(P294*$A$32=0,"",ROUND(P294*$A$32,0))</f>
        <v/>
      </c>
      <c r="E294" s="37" t="str">
        <f>IF(P294*$A$34/($V294-1)=0,"",ROUND(P294*$A$34/($V294-1),2))</f>
        <v/>
      </c>
      <c r="F294" s="37" t="str">
        <f>IF(Q294*$A$32=0,"",ROUND(Q294*$A$32,0))</f>
        <v/>
      </c>
      <c r="G294" s="37" t="str">
        <f>IF(Q294*$A$34/($V294-1)=0,"",ROUND(Q294*$A$34/($V294-1),2))</f>
        <v/>
      </c>
      <c r="H294" s="37" t="str">
        <f>IF(R294*$A$32=0,"",ROUND(R294*$A$32,0))</f>
        <v/>
      </c>
      <c r="I294" s="37" t="str">
        <f>IF(R294*$A$34/($V294-1)=0,"",ROUND(R294*$A$34/($V294-1),2))</f>
        <v/>
      </c>
      <c r="J294" s="37" t="str">
        <f>IF(S294*$A$32=0,"",ROUND(S294*$A$32,0))</f>
        <v/>
      </c>
      <c r="K294" s="37" t="str">
        <f>IF(S294*$A$34/($V294-1)=0,"",ROUND(S294*$A$34/($V294-1),2))</f>
        <v/>
      </c>
      <c r="L294" s="37" t="str">
        <f>IF(T294=0,"",ROUND(T294,0))</f>
        <v/>
      </c>
      <c r="M294" s="37" t="str">
        <f>IF(U294=0,"",ROUND(U294,3))</f>
        <v/>
      </c>
    </row>
    <row r="295" spans="4:13">
      <c r="D295" s="37" t="str">
        <f t="shared" ref="D295:D307" si="156">IF(P295*$A$32=0,"",ROUND(P295*$A$32,0))</f>
        <v/>
      </c>
      <c r="E295" s="37" t="str">
        <f t="shared" ref="E295:E307" si="157">IF(P295*$A$34/($V295-1)=0,"",ROUND(P295*$A$34/($V295-1),2))</f>
        <v/>
      </c>
      <c r="F295" s="37" t="str">
        <f t="shared" ref="F295:F307" si="158">IF(Q295*$A$32=0,"",ROUND(Q295*$A$32,0))</f>
        <v/>
      </c>
      <c r="G295" s="37" t="str">
        <f t="shared" ref="G295:G307" si="159">IF(Q295*$A$34/($V295-1)=0,"",ROUND(Q295*$A$34/($V295-1),2))</f>
        <v/>
      </c>
      <c r="H295" s="37" t="str">
        <f t="shared" ref="H295:H307" si="160">IF(R295*$A$32=0,"",ROUND(R295*$A$32,0))</f>
        <v/>
      </c>
      <c r="I295" s="37" t="str">
        <f t="shared" ref="I295:I307" si="161">IF(R295*$A$34/($V295-1)=0,"",ROUND(R295*$A$34/($V295-1),2))</f>
        <v/>
      </c>
      <c r="J295" s="37" t="str">
        <f t="shared" ref="J295:J307" si="162">IF(S295*$A$32=0,"",ROUND(S295*$A$32,0))</f>
        <v/>
      </c>
      <c r="K295" s="37" t="str">
        <f t="shared" ref="K295:K307" si="163">IF(S295*$A$34/($V295-1)=0,"",ROUND(S295*$A$34/($V295-1),2))</f>
        <v/>
      </c>
      <c r="L295" s="37" t="str">
        <f t="shared" ref="L295:L307" si="164">IF(T295=0,"",ROUND(T295,0))</f>
        <v/>
      </c>
      <c r="M295" s="37" t="str">
        <f t="shared" ref="M295:M307" si="165">IF(U295=0,"",ROUND(U295,3))</f>
        <v/>
      </c>
    </row>
    <row r="296" spans="4:13">
      <c r="D296" s="37" t="str">
        <f t="shared" si="156"/>
        <v/>
      </c>
      <c r="E296" s="37" t="str">
        <f t="shared" si="157"/>
        <v/>
      </c>
      <c r="F296" s="37" t="str">
        <f t="shared" si="158"/>
        <v/>
      </c>
      <c r="G296" s="37" t="str">
        <f t="shared" si="159"/>
        <v/>
      </c>
      <c r="H296" s="37" t="str">
        <f t="shared" si="160"/>
        <v/>
      </c>
      <c r="I296" s="37" t="str">
        <f t="shared" si="161"/>
        <v/>
      </c>
      <c r="J296" s="37" t="str">
        <f t="shared" si="162"/>
        <v/>
      </c>
      <c r="K296" s="37" t="str">
        <f t="shared" si="163"/>
        <v/>
      </c>
      <c r="L296" s="37" t="str">
        <f t="shared" si="164"/>
        <v/>
      </c>
      <c r="M296" s="37" t="str">
        <f t="shared" si="165"/>
        <v/>
      </c>
    </row>
    <row r="297" spans="4:13">
      <c r="D297" s="37" t="str">
        <f t="shared" si="156"/>
        <v/>
      </c>
      <c r="E297" s="37" t="str">
        <f t="shared" si="157"/>
        <v/>
      </c>
      <c r="F297" s="37" t="str">
        <f t="shared" si="158"/>
        <v/>
      </c>
      <c r="G297" s="37" t="str">
        <f t="shared" si="159"/>
        <v/>
      </c>
      <c r="H297" s="37" t="str">
        <f t="shared" si="160"/>
        <v/>
      </c>
      <c r="I297" s="37" t="str">
        <f t="shared" si="161"/>
        <v/>
      </c>
      <c r="J297" s="37" t="str">
        <f t="shared" si="162"/>
        <v/>
      </c>
      <c r="K297" s="37" t="str">
        <f t="shared" si="163"/>
        <v/>
      </c>
      <c r="L297" s="37" t="str">
        <f t="shared" si="164"/>
        <v/>
      </c>
      <c r="M297" s="37" t="str">
        <f t="shared" si="165"/>
        <v/>
      </c>
    </row>
    <row r="298" spans="4:13">
      <c r="D298" s="37" t="str">
        <f t="shared" si="156"/>
        <v/>
      </c>
      <c r="E298" s="37" t="str">
        <f t="shared" si="157"/>
        <v/>
      </c>
      <c r="F298" s="37" t="str">
        <f t="shared" si="158"/>
        <v/>
      </c>
      <c r="G298" s="37" t="str">
        <f t="shared" si="159"/>
        <v/>
      </c>
      <c r="H298" s="37" t="str">
        <f t="shared" si="160"/>
        <v/>
      </c>
      <c r="I298" s="37" t="str">
        <f t="shared" si="161"/>
        <v/>
      </c>
      <c r="J298" s="37" t="str">
        <f t="shared" si="162"/>
        <v/>
      </c>
      <c r="K298" s="37" t="str">
        <f t="shared" si="163"/>
        <v/>
      </c>
      <c r="L298" s="37" t="str">
        <f t="shared" si="164"/>
        <v/>
      </c>
      <c r="M298" s="37" t="str">
        <f t="shared" si="165"/>
        <v/>
      </c>
    </row>
    <row r="299" spans="4:13">
      <c r="D299" s="37" t="str">
        <f t="shared" si="156"/>
        <v/>
      </c>
      <c r="E299" s="37" t="str">
        <f t="shared" si="157"/>
        <v/>
      </c>
      <c r="F299" s="37" t="str">
        <f t="shared" si="158"/>
        <v/>
      </c>
      <c r="G299" s="37" t="str">
        <f t="shared" si="159"/>
        <v/>
      </c>
      <c r="H299" s="37" t="str">
        <f t="shared" si="160"/>
        <v/>
      </c>
      <c r="I299" s="37" t="str">
        <f t="shared" si="161"/>
        <v/>
      </c>
      <c r="J299" s="37" t="str">
        <f t="shared" si="162"/>
        <v/>
      </c>
      <c r="K299" s="37" t="str">
        <f t="shared" si="163"/>
        <v/>
      </c>
      <c r="L299" s="37" t="str">
        <f t="shared" si="164"/>
        <v/>
      </c>
      <c r="M299" s="37" t="str">
        <f t="shared" si="165"/>
        <v/>
      </c>
    </row>
    <row r="300" spans="4:13">
      <c r="D300" s="37" t="str">
        <f t="shared" si="156"/>
        <v/>
      </c>
      <c r="E300" s="37" t="str">
        <f t="shared" si="157"/>
        <v/>
      </c>
      <c r="F300" s="37" t="str">
        <f t="shared" si="158"/>
        <v/>
      </c>
      <c r="G300" s="37" t="str">
        <f t="shared" si="159"/>
        <v/>
      </c>
      <c r="H300" s="37" t="str">
        <f t="shared" si="160"/>
        <v/>
      </c>
      <c r="I300" s="37" t="str">
        <f t="shared" si="161"/>
        <v/>
      </c>
      <c r="J300" s="37" t="str">
        <f t="shared" si="162"/>
        <v/>
      </c>
      <c r="K300" s="37" t="str">
        <f t="shared" si="163"/>
        <v/>
      </c>
      <c r="L300" s="37" t="str">
        <f t="shared" si="164"/>
        <v/>
      </c>
      <c r="M300" s="37" t="str">
        <f t="shared" si="165"/>
        <v/>
      </c>
    </row>
    <row r="301" spans="4:13">
      <c r="D301" s="37" t="str">
        <f t="shared" si="156"/>
        <v/>
      </c>
      <c r="E301" s="37" t="str">
        <f t="shared" si="157"/>
        <v/>
      </c>
      <c r="F301" s="37" t="str">
        <f t="shared" si="158"/>
        <v/>
      </c>
      <c r="G301" s="37" t="str">
        <f t="shared" si="159"/>
        <v/>
      </c>
      <c r="H301" s="37" t="str">
        <f t="shared" si="160"/>
        <v/>
      </c>
      <c r="I301" s="37" t="str">
        <f t="shared" si="161"/>
        <v/>
      </c>
      <c r="J301" s="37" t="str">
        <f t="shared" si="162"/>
        <v/>
      </c>
      <c r="K301" s="37" t="str">
        <f t="shared" si="163"/>
        <v/>
      </c>
      <c r="L301" s="37" t="str">
        <f t="shared" si="164"/>
        <v/>
      </c>
      <c r="M301" s="37" t="str">
        <f t="shared" si="165"/>
        <v/>
      </c>
    </row>
    <row r="302" spans="4:13">
      <c r="D302" s="37" t="str">
        <f t="shared" si="156"/>
        <v/>
      </c>
      <c r="E302" s="37" t="str">
        <f t="shared" si="157"/>
        <v/>
      </c>
      <c r="F302" s="37" t="str">
        <f t="shared" si="158"/>
        <v/>
      </c>
      <c r="G302" s="37" t="str">
        <f t="shared" si="159"/>
        <v/>
      </c>
      <c r="H302" s="37" t="str">
        <f t="shared" si="160"/>
        <v/>
      </c>
      <c r="I302" s="37" t="str">
        <f t="shared" si="161"/>
        <v/>
      </c>
      <c r="J302" s="37" t="str">
        <f t="shared" si="162"/>
        <v/>
      </c>
      <c r="K302" s="37" t="str">
        <f t="shared" si="163"/>
        <v/>
      </c>
      <c r="L302" s="37" t="str">
        <f t="shared" si="164"/>
        <v/>
      </c>
      <c r="M302" s="37" t="str">
        <f t="shared" si="165"/>
        <v/>
      </c>
    </row>
    <row r="303" spans="4:13">
      <c r="D303" s="37" t="str">
        <f t="shared" si="156"/>
        <v/>
      </c>
      <c r="E303" s="37" t="str">
        <f t="shared" si="157"/>
        <v/>
      </c>
      <c r="F303" s="37" t="str">
        <f t="shared" si="158"/>
        <v/>
      </c>
      <c r="G303" s="37" t="str">
        <f t="shared" si="159"/>
        <v/>
      </c>
      <c r="H303" s="37" t="str">
        <f t="shared" si="160"/>
        <v/>
      </c>
      <c r="I303" s="37" t="str">
        <f t="shared" si="161"/>
        <v/>
      </c>
      <c r="J303" s="37" t="str">
        <f t="shared" si="162"/>
        <v/>
      </c>
      <c r="K303" s="37" t="str">
        <f t="shared" si="163"/>
        <v/>
      </c>
      <c r="L303" s="37" t="str">
        <f t="shared" si="164"/>
        <v/>
      </c>
      <c r="M303" s="37" t="str">
        <f t="shared" si="165"/>
        <v/>
      </c>
    </row>
    <row r="304" spans="4:13">
      <c r="D304" s="37" t="str">
        <f t="shared" si="156"/>
        <v/>
      </c>
      <c r="E304" s="37" t="str">
        <f t="shared" si="157"/>
        <v/>
      </c>
      <c r="F304" s="37" t="str">
        <f t="shared" si="158"/>
        <v/>
      </c>
      <c r="G304" s="37" t="str">
        <f t="shared" si="159"/>
        <v/>
      </c>
      <c r="H304" s="37" t="str">
        <f t="shared" si="160"/>
        <v/>
      </c>
      <c r="I304" s="37" t="str">
        <f t="shared" si="161"/>
        <v/>
      </c>
      <c r="J304" s="37" t="str">
        <f t="shared" si="162"/>
        <v/>
      </c>
      <c r="K304" s="37" t="str">
        <f t="shared" si="163"/>
        <v/>
      </c>
      <c r="L304" s="37" t="str">
        <f t="shared" si="164"/>
        <v/>
      </c>
      <c r="M304" s="37" t="str">
        <f t="shared" si="165"/>
        <v/>
      </c>
    </row>
    <row r="305" spans="4:13">
      <c r="D305" s="37" t="str">
        <f t="shared" si="156"/>
        <v/>
      </c>
      <c r="E305" s="37" t="str">
        <f t="shared" si="157"/>
        <v/>
      </c>
      <c r="F305" s="37" t="str">
        <f t="shared" si="158"/>
        <v/>
      </c>
      <c r="G305" s="37" t="str">
        <f t="shared" si="159"/>
        <v/>
      </c>
      <c r="H305" s="37" t="str">
        <f t="shared" si="160"/>
        <v/>
      </c>
      <c r="I305" s="37" t="str">
        <f t="shared" si="161"/>
        <v/>
      </c>
      <c r="J305" s="37" t="str">
        <f t="shared" si="162"/>
        <v/>
      </c>
      <c r="K305" s="37" t="str">
        <f t="shared" si="163"/>
        <v/>
      </c>
      <c r="L305" s="37" t="str">
        <f t="shared" si="164"/>
        <v/>
      </c>
      <c r="M305" s="37" t="str">
        <f t="shared" si="165"/>
        <v/>
      </c>
    </row>
    <row r="306" spans="4:13">
      <c r="D306" s="37" t="str">
        <f t="shared" si="156"/>
        <v/>
      </c>
      <c r="E306" s="37" t="str">
        <f t="shared" si="157"/>
        <v/>
      </c>
      <c r="F306" s="37" t="str">
        <f t="shared" si="158"/>
        <v/>
      </c>
      <c r="G306" s="37" t="str">
        <f t="shared" si="159"/>
        <v/>
      </c>
      <c r="H306" s="37" t="str">
        <f t="shared" si="160"/>
        <v/>
      </c>
      <c r="I306" s="37" t="str">
        <f t="shared" si="161"/>
        <v/>
      </c>
      <c r="J306" s="37" t="str">
        <f t="shared" si="162"/>
        <v/>
      </c>
      <c r="K306" s="37" t="str">
        <f t="shared" si="163"/>
        <v/>
      </c>
      <c r="L306" s="37" t="str">
        <f t="shared" si="164"/>
        <v/>
      </c>
      <c r="M306" s="37" t="str">
        <f t="shared" si="165"/>
        <v/>
      </c>
    </row>
    <row r="307" spans="4:13">
      <c r="D307" s="37" t="str">
        <f t="shared" si="156"/>
        <v/>
      </c>
      <c r="E307" s="37" t="str">
        <f t="shared" si="157"/>
        <v/>
      </c>
      <c r="F307" s="37" t="str">
        <f t="shared" si="158"/>
        <v/>
      </c>
      <c r="G307" s="37" t="str">
        <f t="shared" si="159"/>
        <v/>
      </c>
      <c r="H307" s="37" t="str">
        <f t="shared" si="160"/>
        <v/>
      </c>
      <c r="I307" s="37" t="str">
        <f t="shared" si="161"/>
        <v/>
      </c>
      <c r="J307" s="37" t="str">
        <f t="shared" si="162"/>
        <v/>
      </c>
      <c r="K307" s="37" t="str">
        <f t="shared" si="163"/>
        <v/>
      </c>
      <c r="L307" s="37" t="str">
        <f t="shared" si="164"/>
        <v/>
      </c>
      <c r="M307" s="37" t="str">
        <f t="shared" si="165"/>
        <v/>
      </c>
    </row>
  </sheetData>
  <phoneticPr fontId="2"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41"/>
  <sheetViews>
    <sheetView workbookViewId="0">
      <selection activeCell="C35" sqref="C35"/>
    </sheetView>
  </sheetViews>
  <sheetFormatPr defaultColWidth="13.75" defaultRowHeight="16.5"/>
  <cols>
    <col min="2" max="2" width="13.75" style="36"/>
    <col min="3" max="3" width="13.75" style="37"/>
    <col min="4" max="4" width="13.75" style="38"/>
    <col min="5" max="5" width="15.375" style="37" customWidth="1"/>
    <col min="6" max="6" width="17.5" style="37" customWidth="1"/>
    <col min="7" max="7" width="9.875" style="37" customWidth="1"/>
    <col min="8" max="8" width="13.75" style="39"/>
    <col min="9" max="9" width="15.875" customWidth="1"/>
  </cols>
  <sheetData>
    <row r="1" spans="1:11">
      <c r="A1" t="s">
        <v>102</v>
      </c>
      <c r="B1" s="36" t="s">
        <v>103</v>
      </c>
      <c r="C1" s="37" t="s">
        <v>1034</v>
      </c>
      <c r="D1" s="38" t="s">
        <v>1035</v>
      </c>
      <c r="E1" s="37" t="s">
        <v>1036</v>
      </c>
      <c r="F1" s="37" t="s">
        <v>104</v>
      </c>
      <c r="G1" s="37" t="s">
        <v>105</v>
      </c>
      <c r="H1" s="39" t="s">
        <v>106</v>
      </c>
      <c r="I1" t="s">
        <v>107</v>
      </c>
    </row>
    <row r="2" spans="1:11">
      <c r="A2" t="s">
        <v>1037</v>
      </c>
      <c r="B2" s="36">
        <v>1</v>
      </c>
      <c r="C2" s="37">
        <v>800</v>
      </c>
      <c r="D2" s="38">
        <f t="shared" ref="D2:D35" si="0">C2/B2</f>
        <v>800</v>
      </c>
      <c r="E2" s="38">
        <f>SUM(D$2:D2)</f>
        <v>800</v>
      </c>
      <c r="F2" s="36">
        <v>1</v>
      </c>
      <c r="G2" s="103">
        <v>1</v>
      </c>
      <c r="H2" s="39">
        <f>G2/F2</f>
        <v>1</v>
      </c>
      <c r="I2" s="39"/>
      <c r="J2" s="44"/>
    </row>
    <row r="3" spans="1:11">
      <c r="A3" t="s">
        <v>1038</v>
      </c>
      <c r="B3" s="36">
        <v>0.98</v>
      </c>
      <c r="C3" s="37">
        <v>1200</v>
      </c>
      <c r="D3" s="38">
        <f t="shared" si="0"/>
        <v>1224.4897959183675</v>
      </c>
      <c r="E3" s="38">
        <f>SUM(D$2:D3)</f>
        <v>2024.4897959183675</v>
      </c>
      <c r="F3" s="36">
        <v>1</v>
      </c>
      <c r="G3" s="103">
        <v>1</v>
      </c>
      <c r="H3" s="39">
        <f>G3/F3</f>
        <v>1</v>
      </c>
      <c r="I3" s="39"/>
    </row>
    <row r="4" spans="1:11">
      <c r="A4" t="s">
        <v>1039</v>
      </c>
      <c r="B4" s="36">
        <v>0.96</v>
      </c>
      <c r="C4" s="37">
        <v>1600</v>
      </c>
      <c r="D4" s="38">
        <f t="shared" si="0"/>
        <v>1666.6666666666667</v>
      </c>
      <c r="E4" s="38">
        <f>SUM(D$2:D4)</f>
        <v>3691.1564625850342</v>
      </c>
      <c r="F4" s="36">
        <v>1</v>
      </c>
      <c r="G4" s="103">
        <v>1</v>
      </c>
      <c r="H4" s="39">
        <f t="shared" ref="H4:H35" si="1">G4/F4</f>
        <v>1</v>
      </c>
      <c r="I4" s="39"/>
    </row>
    <row r="5" spans="1:11">
      <c r="A5" t="s">
        <v>1040</v>
      </c>
      <c r="B5" s="36">
        <v>0.94</v>
      </c>
      <c r="C5" s="37">
        <v>2000</v>
      </c>
      <c r="D5" s="38">
        <f t="shared" si="0"/>
        <v>2127.6595744680853</v>
      </c>
      <c r="E5" s="38">
        <f>SUM(D$2:D5)</f>
        <v>5818.8160370531195</v>
      </c>
      <c r="F5" s="36">
        <v>1</v>
      </c>
      <c r="G5" s="103">
        <v>1</v>
      </c>
      <c r="H5" s="39">
        <f t="shared" si="1"/>
        <v>1</v>
      </c>
      <c r="I5" s="39"/>
    </row>
    <row r="6" spans="1:11">
      <c r="A6" t="s">
        <v>1041</v>
      </c>
      <c r="B6" s="36">
        <v>0.92</v>
      </c>
      <c r="C6" s="37">
        <v>2400</v>
      </c>
      <c r="D6" s="38">
        <f t="shared" si="0"/>
        <v>2608.695652173913</v>
      </c>
      <c r="E6" s="38">
        <f>SUM(D$2:D6)</f>
        <v>8427.5116892270325</v>
      </c>
      <c r="F6" s="36">
        <v>1</v>
      </c>
      <c r="G6" s="103">
        <v>1</v>
      </c>
      <c r="H6" s="39">
        <f t="shared" si="1"/>
        <v>1</v>
      </c>
      <c r="I6" s="39"/>
    </row>
    <row r="7" spans="1:11">
      <c r="A7" t="s">
        <v>1042</v>
      </c>
      <c r="B7" s="36">
        <v>0.9</v>
      </c>
      <c r="C7" s="37">
        <v>2800</v>
      </c>
      <c r="D7" s="38">
        <f t="shared" si="0"/>
        <v>3111.1111111111109</v>
      </c>
      <c r="E7" s="38">
        <f>SUM(D$2:D7)</f>
        <v>11538.622800338144</v>
      </c>
      <c r="F7" s="36">
        <v>1</v>
      </c>
      <c r="G7" s="103">
        <v>1</v>
      </c>
      <c r="H7" s="39">
        <f t="shared" si="1"/>
        <v>1</v>
      </c>
      <c r="I7" s="39"/>
      <c r="K7" s="44"/>
    </row>
    <row r="8" spans="1:11">
      <c r="A8" t="s">
        <v>1043</v>
      </c>
      <c r="B8" s="36">
        <v>0.88</v>
      </c>
      <c r="C8" s="37">
        <v>3200</v>
      </c>
      <c r="D8" s="38">
        <f t="shared" si="0"/>
        <v>3636.3636363636365</v>
      </c>
      <c r="E8" s="38">
        <f>SUM(D$2:D8)</f>
        <v>15174.98643670178</v>
      </c>
      <c r="F8" s="36">
        <v>1</v>
      </c>
      <c r="G8" s="103">
        <v>1</v>
      </c>
      <c r="H8" s="39">
        <f t="shared" si="1"/>
        <v>1</v>
      </c>
      <c r="I8" s="39"/>
    </row>
    <row r="9" spans="1:11">
      <c r="A9" t="s">
        <v>1044</v>
      </c>
      <c r="B9" s="36">
        <v>0.86</v>
      </c>
      <c r="C9" s="37">
        <v>3600</v>
      </c>
      <c r="D9" s="38">
        <f t="shared" si="0"/>
        <v>4186.0465116279074</v>
      </c>
      <c r="E9" s="38">
        <f>SUM(D$2:D9)</f>
        <v>19361.032948329688</v>
      </c>
      <c r="F9" s="36">
        <v>1</v>
      </c>
      <c r="G9" s="103">
        <v>1</v>
      </c>
      <c r="H9" s="39">
        <f t="shared" si="1"/>
        <v>1</v>
      </c>
      <c r="I9" s="39"/>
      <c r="K9" s="40"/>
    </row>
    <row r="10" spans="1:11">
      <c r="A10" t="s">
        <v>1045</v>
      </c>
      <c r="B10" s="36">
        <v>0.84</v>
      </c>
      <c r="C10" s="37">
        <v>4000</v>
      </c>
      <c r="D10" s="38">
        <f t="shared" si="0"/>
        <v>4761.9047619047624</v>
      </c>
      <c r="E10" s="38">
        <f>SUM(D$2:D10)</f>
        <v>24122.937710234452</v>
      </c>
      <c r="F10" s="36">
        <v>1</v>
      </c>
      <c r="G10" s="103">
        <v>1</v>
      </c>
      <c r="H10" s="39">
        <f t="shared" si="1"/>
        <v>1</v>
      </c>
      <c r="I10" s="39"/>
    </row>
    <row r="11" spans="1:11">
      <c r="A11" t="s">
        <v>1046</v>
      </c>
      <c r="B11" s="36">
        <v>0.82</v>
      </c>
      <c r="C11" s="37">
        <v>4400</v>
      </c>
      <c r="D11" s="38">
        <f t="shared" si="0"/>
        <v>5365.8536585365855</v>
      </c>
      <c r="E11" s="38">
        <f>SUM(D$2:D11)</f>
        <v>29488.791368771039</v>
      </c>
      <c r="F11" s="36">
        <v>1</v>
      </c>
      <c r="G11" s="103">
        <f>ROUNDDOWN(D11/3000,0)</f>
        <v>1</v>
      </c>
      <c r="H11" s="39">
        <f t="shared" si="1"/>
        <v>1</v>
      </c>
      <c r="I11" s="39">
        <f>SUM(H$11:H11)</f>
        <v>1</v>
      </c>
    </row>
    <row r="12" spans="1:11">
      <c r="A12" t="s">
        <v>1047</v>
      </c>
      <c r="B12" s="36">
        <v>0.8</v>
      </c>
      <c r="C12" s="37">
        <v>4800</v>
      </c>
      <c r="D12" s="38">
        <f t="shared" si="0"/>
        <v>6000</v>
      </c>
      <c r="E12" s="38">
        <f>SUM(D$2:D12)</f>
        <v>35488.791368771039</v>
      </c>
      <c r="F12" s="36">
        <v>1</v>
      </c>
      <c r="G12" s="103">
        <f t="shared" ref="G12:G35" si="2">ROUNDDOWN(D12/3000,0)</f>
        <v>2</v>
      </c>
      <c r="H12" s="39">
        <f t="shared" si="1"/>
        <v>2</v>
      </c>
      <c r="I12" s="39">
        <f>SUM(H$11:H12)</f>
        <v>3</v>
      </c>
    </row>
    <row r="13" spans="1:11">
      <c r="A13" t="s">
        <v>1048</v>
      </c>
      <c r="B13" s="36">
        <v>0.78</v>
      </c>
      <c r="C13" s="37">
        <v>5200</v>
      </c>
      <c r="D13" s="38">
        <f t="shared" si="0"/>
        <v>6666.6666666666661</v>
      </c>
      <c r="E13" s="38">
        <f>SUM(D$2:D13)</f>
        <v>42155.458035437703</v>
      </c>
      <c r="F13" s="36">
        <v>1</v>
      </c>
      <c r="G13" s="103">
        <f t="shared" si="2"/>
        <v>2</v>
      </c>
      <c r="H13" s="39">
        <f t="shared" si="1"/>
        <v>2</v>
      </c>
      <c r="I13" s="39">
        <f>SUM(H$11:H13)</f>
        <v>5</v>
      </c>
    </row>
    <row r="14" spans="1:11">
      <c r="A14" t="s">
        <v>1049</v>
      </c>
      <c r="B14" s="36">
        <v>0.76</v>
      </c>
      <c r="C14" s="37">
        <v>5600</v>
      </c>
      <c r="D14" s="38">
        <f t="shared" si="0"/>
        <v>7368.4210526315792</v>
      </c>
      <c r="E14" s="38">
        <f>SUM(D$2:D14)</f>
        <v>49523.879088069283</v>
      </c>
      <c r="F14" s="36">
        <v>1</v>
      </c>
      <c r="G14" s="103">
        <f t="shared" si="2"/>
        <v>2</v>
      </c>
      <c r="H14" s="39">
        <f t="shared" si="1"/>
        <v>2</v>
      </c>
      <c r="I14" s="39">
        <f>SUM(H$11:H14)</f>
        <v>7</v>
      </c>
    </row>
    <row r="15" spans="1:11">
      <c r="A15" t="s">
        <v>1050</v>
      </c>
      <c r="B15" s="36">
        <v>0.74</v>
      </c>
      <c r="C15" s="37">
        <v>6000</v>
      </c>
      <c r="D15" s="38">
        <f t="shared" si="0"/>
        <v>8108.1081081081084</v>
      </c>
      <c r="E15" s="38">
        <f>SUM(D$2:D15)</f>
        <v>57631.98719617739</v>
      </c>
      <c r="F15" s="36">
        <v>1</v>
      </c>
      <c r="G15" s="103">
        <f t="shared" si="2"/>
        <v>2</v>
      </c>
      <c r="H15" s="39">
        <f t="shared" si="1"/>
        <v>2</v>
      </c>
      <c r="I15" s="39">
        <f>SUM(H$11:H15)</f>
        <v>9</v>
      </c>
    </row>
    <row r="16" spans="1:11">
      <c r="A16" t="s">
        <v>1051</v>
      </c>
      <c r="B16" s="36">
        <v>0.72</v>
      </c>
      <c r="C16" s="37">
        <v>6400</v>
      </c>
      <c r="D16" s="38">
        <f t="shared" si="0"/>
        <v>8888.8888888888887</v>
      </c>
      <c r="E16" s="38">
        <f>SUM(D$2:D16)</f>
        <v>66520.87608506628</v>
      </c>
      <c r="F16" s="36">
        <v>1</v>
      </c>
      <c r="G16" s="103">
        <f t="shared" si="2"/>
        <v>2</v>
      </c>
      <c r="H16" s="39">
        <f t="shared" si="1"/>
        <v>2</v>
      </c>
      <c r="I16" s="39">
        <f>SUM(H$11:H16)</f>
        <v>11</v>
      </c>
      <c r="K16" s="40"/>
    </row>
    <row r="17" spans="1:9">
      <c r="A17" t="s">
        <v>1052</v>
      </c>
      <c r="B17" s="36">
        <v>0.7</v>
      </c>
      <c r="C17" s="37">
        <v>6800</v>
      </c>
      <c r="D17" s="38">
        <f t="shared" si="0"/>
        <v>9714.2857142857156</v>
      </c>
      <c r="E17" s="38">
        <f>SUM(D$2:D17)</f>
        <v>76235.16179935199</v>
      </c>
      <c r="F17" s="36">
        <v>1</v>
      </c>
      <c r="G17" s="103">
        <f t="shared" si="2"/>
        <v>3</v>
      </c>
      <c r="H17" s="39">
        <f t="shared" si="1"/>
        <v>3</v>
      </c>
      <c r="I17" s="39">
        <f>SUM(H$11:H17)</f>
        <v>14</v>
      </c>
    </row>
    <row r="18" spans="1:9">
      <c r="A18" t="s">
        <v>1053</v>
      </c>
      <c r="B18" s="36">
        <v>0.68</v>
      </c>
      <c r="C18" s="37">
        <v>7200</v>
      </c>
      <c r="D18" s="38">
        <f t="shared" si="0"/>
        <v>10588.235294117647</v>
      </c>
      <c r="E18" s="38">
        <f>SUM(D$2:D18)</f>
        <v>86823.397093469641</v>
      </c>
      <c r="F18" s="36">
        <v>1</v>
      </c>
      <c r="G18" s="103">
        <f t="shared" si="2"/>
        <v>3</v>
      </c>
      <c r="H18" s="39">
        <f t="shared" si="1"/>
        <v>3</v>
      </c>
      <c r="I18" s="39">
        <f>SUM(H$11:H18)</f>
        <v>17</v>
      </c>
    </row>
    <row r="19" spans="1:9">
      <c r="A19" t="s">
        <v>1054</v>
      </c>
      <c r="B19" s="36">
        <v>0.66</v>
      </c>
      <c r="C19" s="37">
        <v>7600</v>
      </c>
      <c r="D19" s="38">
        <f t="shared" si="0"/>
        <v>11515.151515151514</v>
      </c>
      <c r="E19" s="38">
        <f>SUM(D$2:D19)</f>
        <v>98338.54860862116</v>
      </c>
      <c r="F19" s="36">
        <v>1</v>
      </c>
      <c r="G19" s="103">
        <f t="shared" si="2"/>
        <v>3</v>
      </c>
      <c r="H19" s="39">
        <f t="shared" si="1"/>
        <v>3</v>
      </c>
      <c r="I19" s="39">
        <f>SUM(H$11:H19)</f>
        <v>20</v>
      </c>
    </row>
    <row r="20" spans="1:9">
      <c r="A20" t="s">
        <v>1055</v>
      </c>
      <c r="B20" s="36">
        <v>0.64</v>
      </c>
      <c r="C20" s="37">
        <v>8000</v>
      </c>
      <c r="D20" s="38">
        <f t="shared" si="0"/>
        <v>12500</v>
      </c>
      <c r="E20" s="38">
        <f>SUM(D$2:D20)</f>
        <v>110838.54860862116</v>
      </c>
      <c r="F20" s="36">
        <v>1</v>
      </c>
      <c r="G20" s="103">
        <f t="shared" si="2"/>
        <v>4</v>
      </c>
      <c r="H20" s="39">
        <f t="shared" si="1"/>
        <v>4</v>
      </c>
      <c r="I20" s="39">
        <f>SUM(H$11:H20)</f>
        <v>24</v>
      </c>
    </row>
    <row r="21" spans="1:9">
      <c r="A21" t="s">
        <v>1056</v>
      </c>
      <c r="B21" s="36">
        <v>0.62</v>
      </c>
      <c r="C21" s="37">
        <v>8400</v>
      </c>
      <c r="D21" s="38">
        <f t="shared" si="0"/>
        <v>13548.387096774193</v>
      </c>
      <c r="E21" s="38">
        <f>SUM(D$2:D21)</f>
        <v>124386.93570539536</v>
      </c>
      <c r="F21" s="36">
        <v>1</v>
      </c>
      <c r="G21" s="103">
        <f t="shared" si="2"/>
        <v>4</v>
      </c>
      <c r="H21" s="39">
        <f t="shared" si="1"/>
        <v>4</v>
      </c>
      <c r="I21" s="39">
        <f>SUM(H$11:H21)</f>
        <v>28</v>
      </c>
    </row>
    <row r="22" spans="1:9">
      <c r="A22" t="s">
        <v>1057</v>
      </c>
      <c r="B22" s="36">
        <v>0.6</v>
      </c>
      <c r="C22" s="37">
        <v>8800</v>
      </c>
      <c r="D22" s="38">
        <f t="shared" si="0"/>
        <v>14666.666666666668</v>
      </c>
      <c r="E22" s="38">
        <f>SUM(D$2:D22)</f>
        <v>139053.60237206201</v>
      </c>
      <c r="F22" s="36">
        <v>1</v>
      </c>
      <c r="G22" s="103">
        <f t="shared" si="2"/>
        <v>4</v>
      </c>
      <c r="H22" s="39">
        <f t="shared" si="1"/>
        <v>4</v>
      </c>
      <c r="I22" s="39">
        <f>SUM(H$11:H22)</f>
        <v>32</v>
      </c>
    </row>
    <row r="23" spans="1:9">
      <c r="A23" t="s">
        <v>1058</v>
      </c>
      <c r="B23" s="36">
        <v>0.57999999999999996</v>
      </c>
      <c r="C23" s="37">
        <v>9200</v>
      </c>
      <c r="D23" s="38">
        <f t="shared" si="0"/>
        <v>15862.068965517243</v>
      </c>
      <c r="E23" s="38">
        <f>SUM(D$2:D23)</f>
        <v>154915.67133757926</v>
      </c>
      <c r="F23" s="36">
        <v>1</v>
      </c>
      <c r="G23" s="103">
        <f t="shared" si="2"/>
        <v>5</v>
      </c>
      <c r="H23" s="39">
        <f t="shared" si="1"/>
        <v>5</v>
      </c>
      <c r="I23" s="39">
        <f>SUM(H$11:H23)</f>
        <v>37</v>
      </c>
    </row>
    <row r="24" spans="1:9">
      <c r="A24" t="s">
        <v>1059</v>
      </c>
      <c r="B24" s="36">
        <v>0.56000000000000005</v>
      </c>
      <c r="C24" s="37">
        <v>9600</v>
      </c>
      <c r="D24" s="38">
        <f t="shared" si="0"/>
        <v>17142.857142857141</v>
      </c>
      <c r="E24" s="38">
        <f>SUM(D$2:D24)</f>
        <v>172058.52848043639</v>
      </c>
      <c r="F24" s="36">
        <v>1</v>
      </c>
      <c r="G24" s="103">
        <f t="shared" si="2"/>
        <v>5</v>
      </c>
      <c r="H24" s="39">
        <f t="shared" si="1"/>
        <v>5</v>
      </c>
      <c r="I24" s="39">
        <f>SUM(H$11:H24)</f>
        <v>42</v>
      </c>
    </row>
    <row r="25" spans="1:9">
      <c r="A25" t="s">
        <v>1060</v>
      </c>
      <c r="B25" s="36">
        <v>0.54</v>
      </c>
      <c r="C25" s="37">
        <v>10000</v>
      </c>
      <c r="D25" s="38">
        <f t="shared" si="0"/>
        <v>18518.518518518518</v>
      </c>
      <c r="E25" s="38">
        <f>SUM(D$2:D25)</f>
        <v>190577.0469989549</v>
      </c>
      <c r="F25" s="36">
        <v>1</v>
      </c>
      <c r="G25" s="103">
        <f t="shared" si="2"/>
        <v>6</v>
      </c>
      <c r="H25" s="39">
        <f t="shared" si="1"/>
        <v>6</v>
      </c>
      <c r="I25" s="39">
        <f>SUM(H$11:H25)</f>
        <v>48</v>
      </c>
    </row>
    <row r="26" spans="1:9">
      <c r="A26" t="s">
        <v>1061</v>
      </c>
      <c r="B26" s="36">
        <v>0.52</v>
      </c>
      <c r="C26" s="37">
        <v>10400</v>
      </c>
      <c r="D26" s="38">
        <f t="shared" si="0"/>
        <v>20000</v>
      </c>
      <c r="E26" s="38">
        <f>SUM(D$2:D26)</f>
        <v>210577.0469989549</v>
      </c>
      <c r="F26" s="36">
        <v>1</v>
      </c>
      <c r="G26" s="103">
        <f t="shared" si="2"/>
        <v>6</v>
      </c>
      <c r="H26" s="39">
        <f t="shared" si="1"/>
        <v>6</v>
      </c>
      <c r="I26" s="39">
        <f>SUM(H$11:H26)</f>
        <v>54</v>
      </c>
    </row>
    <row r="27" spans="1:9">
      <c r="A27" t="s">
        <v>1062</v>
      </c>
      <c r="B27" s="36">
        <v>0.5</v>
      </c>
      <c r="C27" s="37">
        <v>10800</v>
      </c>
      <c r="D27" s="38">
        <f t="shared" si="0"/>
        <v>21600</v>
      </c>
      <c r="E27" s="38">
        <f>SUM(D$2:D27)</f>
        <v>232177.0469989549</v>
      </c>
      <c r="F27" s="36">
        <v>1</v>
      </c>
      <c r="G27" s="103">
        <f t="shared" si="2"/>
        <v>7</v>
      </c>
      <c r="H27" s="39">
        <f t="shared" si="1"/>
        <v>7</v>
      </c>
      <c r="I27" s="39">
        <f>SUM(H$11:H27)</f>
        <v>61</v>
      </c>
    </row>
    <row r="28" spans="1:9">
      <c r="A28" t="s">
        <v>1063</v>
      </c>
      <c r="B28" s="36">
        <v>0.48</v>
      </c>
      <c r="C28" s="37">
        <v>11200</v>
      </c>
      <c r="D28" s="38">
        <f t="shared" si="0"/>
        <v>23333.333333333336</v>
      </c>
      <c r="E28" s="38">
        <f>SUM(D$2:D28)</f>
        <v>255510.38033228824</v>
      </c>
      <c r="F28" s="36">
        <v>1</v>
      </c>
      <c r="G28" s="103">
        <f t="shared" si="2"/>
        <v>7</v>
      </c>
      <c r="H28" s="39">
        <f t="shared" si="1"/>
        <v>7</v>
      </c>
      <c r="I28" s="39">
        <f>SUM(H$11:H28)</f>
        <v>68</v>
      </c>
    </row>
    <row r="29" spans="1:9">
      <c r="A29" t="s">
        <v>1064</v>
      </c>
      <c r="B29" s="36">
        <v>0.46</v>
      </c>
      <c r="C29" s="37">
        <v>11600</v>
      </c>
      <c r="D29" s="38">
        <f t="shared" si="0"/>
        <v>25217.391304347824</v>
      </c>
      <c r="E29" s="38">
        <f>SUM(D$2:D29)</f>
        <v>280727.77163663605</v>
      </c>
      <c r="F29" s="36">
        <v>1</v>
      </c>
      <c r="G29" s="103">
        <f t="shared" si="2"/>
        <v>8</v>
      </c>
      <c r="H29" s="39">
        <f t="shared" si="1"/>
        <v>8</v>
      </c>
      <c r="I29" s="39">
        <f>SUM(H$11:H29)</f>
        <v>76</v>
      </c>
    </row>
    <row r="30" spans="1:9">
      <c r="A30" t="s">
        <v>1065</v>
      </c>
      <c r="B30" s="36">
        <v>0.44</v>
      </c>
      <c r="C30" s="37">
        <v>12000</v>
      </c>
      <c r="D30" s="38">
        <f t="shared" si="0"/>
        <v>27272.727272727272</v>
      </c>
      <c r="E30" s="38">
        <f>SUM(D$2:D30)</f>
        <v>308000.49890936335</v>
      </c>
      <c r="F30" s="36">
        <v>1</v>
      </c>
      <c r="G30" s="103">
        <f t="shared" si="2"/>
        <v>9</v>
      </c>
      <c r="H30" s="39">
        <f t="shared" si="1"/>
        <v>9</v>
      </c>
      <c r="I30" s="39">
        <f>SUM(H$11:H30)</f>
        <v>85</v>
      </c>
    </row>
    <row r="31" spans="1:9">
      <c r="A31" t="s">
        <v>1066</v>
      </c>
      <c r="B31" s="36">
        <v>0.41999999999999899</v>
      </c>
      <c r="C31" s="37">
        <v>12400</v>
      </c>
      <c r="D31" s="38">
        <f t="shared" si="0"/>
        <v>29523.809523809596</v>
      </c>
      <c r="E31" s="38">
        <f>SUM(D$2:D31)</f>
        <v>337524.30843317293</v>
      </c>
      <c r="F31" s="36">
        <v>1</v>
      </c>
      <c r="G31" s="103">
        <f t="shared" si="2"/>
        <v>9</v>
      </c>
      <c r="H31" s="39">
        <f t="shared" si="1"/>
        <v>9</v>
      </c>
      <c r="I31" s="39">
        <f>SUM(H$11:H31)</f>
        <v>94</v>
      </c>
    </row>
    <row r="32" spans="1:9">
      <c r="A32" t="s">
        <v>1067</v>
      </c>
      <c r="B32" s="36">
        <v>0.39999999999999902</v>
      </c>
      <c r="C32" s="37">
        <v>12800</v>
      </c>
      <c r="D32" s="38">
        <f t="shared" si="0"/>
        <v>32000.000000000076</v>
      </c>
      <c r="E32" s="38">
        <f>SUM(D$2:D32)</f>
        <v>369524.30843317299</v>
      </c>
      <c r="F32" s="36">
        <v>1</v>
      </c>
      <c r="G32" s="103">
        <f t="shared" si="2"/>
        <v>10</v>
      </c>
      <c r="H32" s="39">
        <f t="shared" si="1"/>
        <v>10</v>
      </c>
      <c r="I32" s="39">
        <f>SUM(H$11:H32)</f>
        <v>104</v>
      </c>
    </row>
    <row r="33" spans="1:9">
      <c r="A33" t="s">
        <v>1068</v>
      </c>
      <c r="B33" s="36">
        <v>0.37999999999999901</v>
      </c>
      <c r="C33" s="37">
        <v>13200</v>
      </c>
      <c r="D33" s="38">
        <f t="shared" si="0"/>
        <v>34736.842105263248</v>
      </c>
      <c r="E33" s="38">
        <f>SUM(D$2:D33)</f>
        <v>404261.15053843625</v>
      </c>
      <c r="F33" s="36">
        <v>1</v>
      </c>
      <c r="G33" s="103">
        <f t="shared" si="2"/>
        <v>11</v>
      </c>
      <c r="H33" s="39">
        <f t="shared" si="1"/>
        <v>11</v>
      </c>
      <c r="I33" s="39">
        <f>SUM(H$11:H33)</f>
        <v>115</v>
      </c>
    </row>
    <row r="34" spans="1:9">
      <c r="A34" t="s">
        <v>1069</v>
      </c>
      <c r="B34" s="36">
        <v>0.35999999999999899</v>
      </c>
      <c r="C34" s="37">
        <v>13600</v>
      </c>
      <c r="D34" s="38">
        <f t="shared" si="0"/>
        <v>37777.777777777883</v>
      </c>
      <c r="E34" s="38">
        <f>SUM(D$2:D34)</f>
        <v>442038.92831621412</v>
      </c>
      <c r="F34" s="36">
        <v>1</v>
      </c>
      <c r="G34" s="103">
        <f t="shared" si="2"/>
        <v>12</v>
      </c>
      <c r="H34" s="39">
        <f t="shared" si="1"/>
        <v>12</v>
      </c>
      <c r="I34" s="39">
        <f>SUM(H$11:H34)</f>
        <v>127</v>
      </c>
    </row>
    <row r="35" spans="1:9">
      <c r="A35" t="s">
        <v>1070</v>
      </c>
      <c r="B35" s="36">
        <v>0.33999999999999903</v>
      </c>
      <c r="C35" s="37">
        <v>14000</v>
      </c>
      <c r="D35" s="38">
        <f t="shared" si="0"/>
        <v>41176.47058823541</v>
      </c>
      <c r="E35" s="38">
        <f>SUM(D$2:D35)</f>
        <v>483215.39890444954</v>
      </c>
      <c r="F35" s="36">
        <v>1</v>
      </c>
      <c r="G35" s="103">
        <f t="shared" si="2"/>
        <v>13</v>
      </c>
      <c r="H35" s="39">
        <f t="shared" si="1"/>
        <v>13</v>
      </c>
      <c r="I35" s="39">
        <f>SUM(H$11:H35)</f>
        <v>140</v>
      </c>
    </row>
    <row r="36" spans="1:9">
      <c r="A36" t="s">
        <v>1071</v>
      </c>
      <c r="E36" s="38"/>
      <c r="F36" s="36"/>
      <c r="G36" s="103"/>
      <c r="I36" s="39"/>
    </row>
    <row r="37" spans="1:9">
      <c r="A37" t="s">
        <v>1072</v>
      </c>
      <c r="G37" s="102"/>
    </row>
    <row r="38" spans="1:9">
      <c r="A38" t="s">
        <v>1073</v>
      </c>
    </row>
    <row r="39" spans="1:9">
      <c r="A39" t="s">
        <v>1074</v>
      </c>
    </row>
    <row r="40" spans="1:9">
      <c r="A40" t="s">
        <v>1075</v>
      </c>
    </row>
    <row r="41" spans="1:9">
      <c r="A41" t="s">
        <v>1076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B6:S31"/>
  <sheetViews>
    <sheetView topLeftCell="A10" workbookViewId="0">
      <selection activeCell="D46" sqref="D46"/>
    </sheetView>
  </sheetViews>
  <sheetFormatPr defaultRowHeight="16.5"/>
  <sheetData>
    <row r="6" spans="2:12">
      <c r="G6">
        <v>42</v>
      </c>
    </row>
    <row r="7" spans="2:12" s="1" customFormat="1">
      <c r="B7" s="9" t="s">
        <v>34</v>
      </c>
      <c r="C7" s="10"/>
    </row>
    <row r="8" spans="2:12" s="1" customFormat="1">
      <c r="D8" s="21" t="s">
        <v>39</v>
      </c>
      <c r="E8" s="21"/>
      <c r="F8" s="21"/>
    </row>
    <row r="9" spans="2:12" s="1" customFormat="1">
      <c r="D9" s="4" t="s">
        <v>12</v>
      </c>
      <c r="E9" s="4"/>
      <c r="F9" s="5"/>
      <c r="G9" s="5"/>
      <c r="H9" s="4"/>
      <c r="I9" s="4"/>
      <c r="J9" s="4"/>
      <c r="K9" s="4"/>
      <c r="L9" s="4"/>
    </row>
    <row r="10" spans="2:12" s="1" customFormat="1">
      <c r="D10" s="4" t="s">
        <v>13</v>
      </c>
      <c r="E10" s="4" t="s">
        <v>14</v>
      </c>
      <c r="F10" s="5"/>
      <c r="G10" s="4" t="s">
        <v>15</v>
      </c>
      <c r="H10" s="4"/>
      <c r="I10" s="4"/>
      <c r="J10" s="4"/>
      <c r="K10" s="4"/>
      <c r="L10" s="4" t="s">
        <v>16</v>
      </c>
    </row>
    <row r="11" spans="2:12" s="1" customFormat="1">
      <c r="D11" s="11" t="s">
        <v>17</v>
      </c>
      <c r="E11" s="12" t="s">
        <v>18</v>
      </c>
      <c r="F11" s="12" t="s">
        <v>19</v>
      </c>
      <c r="G11" s="12" t="s">
        <v>20</v>
      </c>
      <c r="H11" s="13"/>
      <c r="I11" s="13"/>
      <c r="J11" s="13"/>
      <c r="K11" s="13"/>
      <c r="L11" s="12" t="s">
        <v>21</v>
      </c>
    </row>
    <row r="12" spans="2:12" s="1" customFormat="1">
      <c r="D12" s="6">
        <v>0.3</v>
      </c>
      <c r="E12" s="7">
        <v>176</v>
      </c>
      <c r="F12" s="12">
        <f>((E12*E18+E20) *L12*L14)</f>
        <v>176</v>
      </c>
      <c r="G12" s="7">
        <v>88</v>
      </c>
      <c r="H12" s="14"/>
      <c r="I12" s="14"/>
      <c r="J12" s="14"/>
      <c r="K12" s="14"/>
      <c r="L12" s="12">
        <f>1+(E14-G14)</f>
        <v>1</v>
      </c>
    </row>
    <row r="13" spans="2:12" s="1" customFormat="1">
      <c r="D13" s="15" t="s">
        <v>22</v>
      </c>
      <c r="E13" s="12" t="s">
        <v>23</v>
      </c>
      <c r="F13" s="12" t="s">
        <v>41</v>
      </c>
      <c r="G13" s="12" t="s">
        <v>24</v>
      </c>
      <c r="H13" s="14"/>
      <c r="I13" s="14"/>
      <c r="J13" s="16"/>
      <c r="K13" s="16"/>
      <c r="L13" s="12" t="s">
        <v>17</v>
      </c>
    </row>
    <row r="14" spans="2:12" s="1" customFormat="1">
      <c r="D14" s="6">
        <v>0.2</v>
      </c>
      <c r="E14" s="8">
        <v>0</v>
      </c>
      <c r="F14" s="12">
        <f>INT(E12*D16)</f>
        <v>15</v>
      </c>
      <c r="G14" s="8">
        <v>0</v>
      </c>
      <c r="H14" s="16"/>
      <c r="I14" s="16"/>
      <c r="J14" s="16"/>
      <c r="K14" s="16"/>
      <c r="L14" s="12">
        <f>1+IF(E16="相剋",D12,IF(E16="被剋",D12*-1,0))</f>
        <v>1</v>
      </c>
    </row>
    <row r="15" spans="2:12" s="1" customFormat="1">
      <c r="D15" s="15" t="s">
        <v>41</v>
      </c>
      <c r="E15" s="12" t="s">
        <v>25</v>
      </c>
      <c r="F15" s="16"/>
      <c r="G15" s="12" t="s">
        <v>26</v>
      </c>
      <c r="H15" s="16"/>
      <c r="I15" s="16"/>
      <c r="J15" s="16"/>
      <c r="K15" s="16"/>
      <c r="L15" s="12" t="s">
        <v>27</v>
      </c>
    </row>
    <row r="16" spans="2:12" s="1" customFormat="1">
      <c r="D16" s="6">
        <v>0.09</v>
      </c>
      <c r="E16" s="7" t="s">
        <v>28</v>
      </c>
      <c r="F16" s="16"/>
      <c r="G16" s="7">
        <v>1404</v>
      </c>
      <c r="J16" s="16"/>
      <c r="K16" s="16"/>
      <c r="L16" s="12">
        <f ca="1">- ( (INT(RAND()*100)/100 )*D14 )</f>
        <v>-0.15200000000000002</v>
      </c>
    </row>
    <row r="17" spans="4:19" s="1" customFormat="1">
      <c r="D17" s="16"/>
      <c r="E17" s="2" t="s">
        <v>29</v>
      </c>
      <c r="F17" s="16"/>
      <c r="G17" s="17"/>
      <c r="H17" s="18"/>
      <c r="I17" s="18"/>
      <c r="J17" s="17"/>
      <c r="K17" s="17"/>
      <c r="L17" s="12" t="s">
        <v>30</v>
      </c>
    </row>
    <row r="18" spans="4:19" s="1" customFormat="1">
      <c r="D18" s="16"/>
      <c r="E18" s="8">
        <v>1</v>
      </c>
      <c r="F18" s="16"/>
      <c r="G18" s="17"/>
      <c r="H18" s="17"/>
      <c r="I18" s="17"/>
      <c r="J18" s="17"/>
      <c r="K18" s="17"/>
      <c r="L18" s="12">
        <f>INT( IF(F14&gt;(((E12*E18+E20) *L12*L14)-G12),F14,(((E12*E18+E20) *L12*L14)-G12) ))</f>
        <v>88</v>
      </c>
    </row>
    <row r="19" spans="4:19" s="1" customFormat="1">
      <c r="D19" s="16"/>
      <c r="E19" s="12" t="s">
        <v>31</v>
      </c>
      <c r="F19" s="16"/>
      <c r="G19" s="19"/>
      <c r="H19" s="19"/>
      <c r="I19" s="19"/>
      <c r="J19" s="19"/>
      <c r="K19" s="19"/>
      <c r="L19" s="12" t="s">
        <v>32</v>
      </c>
    </row>
    <row r="20" spans="4:19" s="1" customFormat="1">
      <c r="D20" s="16"/>
      <c r="E20" s="7">
        <v>0</v>
      </c>
      <c r="F20" s="16"/>
      <c r="G20" s="17"/>
      <c r="H20" s="20"/>
      <c r="I20" s="20"/>
      <c r="J20" s="17"/>
      <c r="K20" s="17"/>
      <c r="L20" s="12">
        <f ca="1">INT( L18+(L18*L16) )+1</f>
        <v>75</v>
      </c>
    </row>
    <row r="21" spans="4:19" s="1" customFormat="1">
      <c r="D21" s="16"/>
      <c r="E21" s="16"/>
      <c r="F21" s="16"/>
      <c r="G21" s="17"/>
      <c r="H21" s="17"/>
      <c r="I21" s="17"/>
      <c r="J21" s="17"/>
      <c r="K21" s="17"/>
      <c r="L21" s="2" t="s">
        <v>33</v>
      </c>
    </row>
    <row r="22" spans="4:19" s="1" customFormat="1">
      <c r="D22" s="16"/>
      <c r="E22" s="16"/>
      <c r="F22" s="16"/>
      <c r="G22" s="17"/>
      <c r="H22" s="17"/>
      <c r="I22" s="17"/>
      <c r="J22" s="17"/>
      <c r="K22" s="17"/>
      <c r="L22" s="12">
        <f>ROUNDUP(G16/L18,0)</f>
        <v>16</v>
      </c>
    </row>
    <row r="26" spans="4:19">
      <c r="E26" t="s">
        <v>42</v>
      </c>
      <c r="F26" t="s">
        <v>43</v>
      </c>
      <c r="G26" t="s">
        <v>44</v>
      </c>
      <c r="H26" t="s">
        <v>45</v>
      </c>
      <c r="I26" t="s">
        <v>46</v>
      </c>
      <c r="J26" t="s">
        <v>47</v>
      </c>
      <c r="K26" t="s">
        <v>48</v>
      </c>
      <c r="M26" t="s">
        <v>42</v>
      </c>
      <c r="N26" t="s">
        <v>43</v>
      </c>
      <c r="O26" t="s">
        <v>44</v>
      </c>
      <c r="P26" t="s">
        <v>45</v>
      </c>
      <c r="Q26" t="s">
        <v>46</v>
      </c>
      <c r="R26" t="s">
        <v>47</v>
      </c>
      <c r="S26" t="s">
        <v>48</v>
      </c>
    </row>
    <row r="27" spans="4:19">
      <c r="E27" t="s">
        <v>2</v>
      </c>
      <c r="F27">
        <v>1950</v>
      </c>
      <c r="G27">
        <v>152.49</v>
      </c>
      <c r="H27">
        <v>195</v>
      </c>
      <c r="I27">
        <v>759</v>
      </c>
      <c r="J27">
        <v>210</v>
      </c>
      <c r="K27">
        <v>0.14699999999999999</v>
      </c>
      <c r="M27" t="s">
        <v>2</v>
      </c>
      <c r="N27">
        <v>1404</v>
      </c>
      <c r="O27">
        <v>242.19</v>
      </c>
      <c r="P27">
        <v>132.6</v>
      </c>
      <c r="Q27">
        <v>690</v>
      </c>
      <c r="R27">
        <v>180</v>
      </c>
      <c r="S27">
        <v>0.126</v>
      </c>
    </row>
    <row r="28" spans="4:19">
      <c r="E28" t="s">
        <v>5</v>
      </c>
      <c r="F28">
        <v>2730</v>
      </c>
      <c r="G28">
        <v>198.23700000000002</v>
      </c>
      <c r="H28">
        <v>253.5</v>
      </c>
      <c r="I28">
        <v>759</v>
      </c>
      <c r="J28">
        <v>210</v>
      </c>
      <c r="K28">
        <v>0.14699999999999999</v>
      </c>
      <c r="M28" t="s">
        <v>5</v>
      </c>
      <c r="N28">
        <v>1965.6</v>
      </c>
      <c r="O28">
        <v>314.84699999999998</v>
      </c>
      <c r="P28">
        <v>172.38</v>
      </c>
      <c r="Q28">
        <v>690</v>
      </c>
      <c r="R28">
        <v>180</v>
      </c>
      <c r="S28">
        <v>0.126</v>
      </c>
    </row>
    <row r="29" spans="4:19">
      <c r="E29" t="s">
        <v>3</v>
      </c>
      <c r="F29">
        <v>3705</v>
      </c>
      <c r="G29">
        <v>243.98400000000004</v>
      </c>
      <c r="H29">
        <v>312</v>
      </c>
      <c r="I29">
        <v>759</v>
      </c>
      <c r="J29">
        <v>231</v>
      </c>
      <c r="K29">
        <v>0.16170000000000001</v>
      </c>
      <c r="M29" t="s">
        <v>3</v>
      </c>
      <c r="N29">
        <v>2667.6</v>
      </c>
      <c r="O29">
        <v>387.50400000000002</v>
      </c>
      <c r="P29">
        <v>212.16</v>
      </c>
      <c r="Q29">
        <v>690</v>
      </c>
      <c r="R29">
        <v>198</v>
      </c>
      <c r="S29">
        <v>0.1386</v>
      </c>
    </row>
    <row r="30" spans="4:19">
      <c r="E30" t="s">
        <v>1</v>
      </c>
      <c r="F30">
        <v>4875</v>
      </c>
      <c r="G30">
        <v>289.73099999999999</v>
      </c>
      <c r="H30">
        <v>370.5</v>
      </c>
      <c r="I30">
        <v>759</v>
      </c>
      <c r="J30">
        <v>231</v>
      </c>
      <c r="K30">
        <v>0.16170000000000001</v>
      </c>
      <c r="M30" t="s">
        <v>1</v>
      </c>
      <c r="N30">
        <v>3510</v>
      </c>
      <c r="O30">
        <v>460.161</v>
      </c>
      <c r="P30">
        <v>251.94</v>
      </c>
      <c r="Q30">
        <v>690</v>
      </c>
      <c r="R30">
        <v>198</v>
      </c>
      <c r="S30">
        <v>0.1386</v>
      </c>
    </row>
    <row r="31" spans="4:19">
      <c r="E31" t="s">
        <v>4</v>
      </c>
      <c r="F31">
        <v>6240</v>
      </c>
      <c r="G31">
        <v>335.47800000000007</v>
      </c>
      <c r="H31">
        <v>429</v>
      </c>
      <c r="I31">
        <v>759</v>
      </c>
      <c r="J31">
        <v>252</v>
      </c>
      <c r="K31">
        <v>0.1764</v>
      </c>
      <c r="M31" t="s">
        <v>4</v>
      </c>
      <c r="N31">
        <v>4492.8</v>
      </c>
      <c r="O31">
        <v>532.81799999999998</v>
      </c>
      <c r="P31">
        <v>291.72000000000003</v>
      </c>
      <c r="Q31">
        <v>690</v>
      </c>
      <c r="R31">
        <v>216</v>
      </c>
      <c r="S31">
        <v>0.1512</v>
      </c>
    </row>
  </sheetData>
  <phoneticPr fontId="2" type="noConversion"/>
  <dataValidations count="1">
    <dataValidation type="list" allowBlank="1" showInputMessage="1" showErrorMessage="1" sqref="E16">
      <formula1>"相剋,不相剋,被剋"</formula1>
    </dataValidation>
  </dataValidation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54"/>
  <sheetViews>
    <sheetView workbookViewId="0">
      <pane xSplit="4" ySplit="6" topLeftCell="M22" activePane="bottomRight" state="frozen"/>
      <selection pane="topRight" activeCell="E1" sqref="E1"/>
      <selection pane="bottomLeft" activeCell="A7" sqref="A7"/>
      <selection pane="bottomRight" activeCell="C16" sqref="C16"/>
    </sheetView>
  </sheetViews>
  <sheetFormatPr defaultRowHeight="16.5"/>
  <cols>
    <col min="4" max="4" width="36.625" customWidth="1"/>
    <col min="6" max="6" width="33" customWidth="1"/>
    <col min="8" max="8" width="14.5" customWidth="1"/>
    <col min="9" max="9" width="11.375" style="49" customWidth="1"/>
    <col min="10" max="10" width="10.625" style="49" customWidth="1"/>
    <col min="11" max="11" width="11.25" style="49" customWidth="1"/>
    <col min="12" max="12" width="11.125" style="49" customWidth="1"/>
    <col min="13" max="13" width="7" style="49" customWidth="1"/>
    <col min="14" max="14" width="7.125" style="49" customWidth="1"/>
    <col min="15" max="15" width="7.875" style="49" customWidth="1"/>
    <col min="16" max="16" width="6.5" style="49" customWidth="1"/>
    <col min="18" max="21" width="9" customWidth="1"/>
    <col min="22" max="22" width="12" customWidth="1"/>
    <col min="24" max="24" width="9.5" bestFit="1" customWidth="1"/>
  </cols>
  <sheetData>
    <row r="1" spans="1:25">
      <c r="B1" t="s">
        <v>200</v>
      </c>
    </row>
    <row r="2" spans="1:25">
      <c r="B2" t="s">
        <v>201</v>
      </c>
      <c r="W2" t="s">
        <v>223</v>
      </c>
    </row>
    <row r="5" spans="1:25">
      <c r="A5">
        <f>SUM(G7:G91)</f>
        <v>25500</v>
      </c>
    </row>
    <row r="6" spans="1:25">
      <c r="A6" s="44" t="s">
        <v>196</v>
      </c>
      <c r="B6" s="47" t="s">
        <v>156</v>
      </c>
      <c r="C6" s="47" t="s">
        <v>157</v>
      </c>
      <c r="D6" s="47" t="s">
        <v>158</v>
      </c>
      <c r="E6" s="47" t="s">
        <v>159</v>
      </c>
      <c r="F6" s="47" t="s">
        <v>160</v>
      </c>
      <c r="G6" s="47" t="s">
        <v>161</v>
      </c>
      <c r="H6" s="47" t="s">
        <v>162</v>
      </c>
      <c r="I6" s="50" t="s">
        <v>186</v>
      </c>
      <c r="J6" s="50" t="s">
        <v>167</v>
      </c>
      <c r="K6" s="50" t="s">
        <v>168</v>
      </c>
      <c r="L6" s="50" t="s">
        <v>187</v>
      </c>
      <c r="M6" s="50" t="s">
        <v>188</v>
      </c>
      <c r="N6" s="50" t="s">
        <v>189</v>
      </c>
      <c r="O6" s="50" t="s">
        <v>190</v>
      </c>
      <c r="P6" s="50" t="s">
        <v>191</v>
      </c>
      <c r="Q6" s="44" t="s">
        <v>197</v>
      </c>
      <c r="R6" t="s">
        <v>166</v>
      </c>
      <c r="S6" t="s">
        <v>167</v>
      </c>
      <c r="T6" t="s">
        <v>168</v>
      </c>
      <c r="U6" t="s">
        <v>169</v>
      </c>
      <c r="V6" s="44" t="s">
        <v>193</v>
      </c>
      <c r="W6" s="44" t="s">
        <v>194</v>
      </c>
      <c r="X6" s="44" t="s">
        <v>192</v>
      </c>
      <c r="Y6" s="44" t="s">
        <v>195</v>
      </c>
    </row>
    <row r="7" spans="1:25">
      <c r="A7" s="56">
        <f>G7/A$5</f>
        <v>1.9607843137254902E-2</v>
      </c>
      <c r="B7" s="45">
        <v>101</v>
      </c>
      <c r="C7" s="22" t="s">
        <v>143</v>
      </c>
      <c r="D7" s="22" t="s">
        <v>984</v>
      </c>
      <c r="E7" s="22">
        <v>500101</v>
      </c>
      <c r="F7" t="str">
        <f>CombineByChar(R7:U7,B$2)</f>
        <v>101223,2/101201,2/101211,2/104101,10</v>
      </c>
      <c r="G7" s="22">
        <v>500</v>
      </c>
      <c r="H7" s="22">
        <v>5000</v>
      </c>
      <c r="I7" s="49" t="s">
        <v>176</v>
      </c>
      <c r="J7" s="49" t="s">
        <v>202</v>
      </c>
      <c r="K7" s="49" t="s">
        <v>225</v>
      </c>
      <c r="L7" s="49" t="s">
        <v>216</v>
      </c>
      <c r="M7" s="49">
        <v>2</v>
      </c>
      <c r="N7" s="49">
        <v>2</v>
      </c>
      <c r="O7" s="49">
        <v>2</v>
      </c>
      <c r="P7" s="49">
        <v>10</v>
      </c>
      <c r="Q7">
        <f>IF(I7="",0,VLOOKUP(I7,V:Y,4,FALSE))*M7+IF(J7="",0,VLOOKUP(J7,V:Y,4,FALSE))*N7+IF(K7="",0,VLOOKUP(K7,V:Y,4,FALSE))*O7+IF(L7="",0,VLOOKUP(L7,V:Y,4,FALSE))*P7</f>
        <v>280</v>
      </c>
      <c r="R7" t="str">
        <f t="shared" ref="R7:T7" si="0">IF(AND(I7&lt;&gt;"",M7&lt;&gt;"",M7&lt;&gt;0),VLOOKUP(I7,$V:$W,2,FALSE)&amp;","&amp;M7,"")</f>
        <v>101223,2</v>
      </c>
      <c r="S7" t="str">
        <f t="shared" si="0"/>
        <v>101201,2</v>
      </c>
      <c r="T7" t="str">
        <f t="shared" si="0"/>
        <v>101211,2</v>
      </c>
      <c r="U7" t="str">
        <f>IF(AND(L7&lt;&gt;"",P7&lt;&gt;"",P7&lt;&gt;0),VLOOKUP(L7,$V:$W,2,FALSE)&amp;","&amp;P7,"")</f>
        <v>104101,10</v>
      </c>
      <c r="V7" s="55" t="s">
        <v>185</v>
      </c>
      <c r="W7" s="26">
        <v>101201</v>
      </c>
      <c r="X7">
        <f>CountSource(R$7:U$300,W7)</f>
        <v>10</v>
      </c>
      <c r="Y7">
        <v>40</v>
      </c>
    </row>
    <row r="8" spans="1:25">
      <c r="A8" s="56">
        <f t="shared" ref="A8:A72" si="1">G8/A$5</f>
        <v>1.7647058823529412E-2</v>
      </c>
      <c r="B8" s="45">
        <v>102</v>
      </c>
      <c r="C8" s="22" t="s">
        <v>143</v>
      </c>
      <c r="D8" s="22" t="s">
        <v>985</v>
      </c>
      <c r="E8" s="22">
        <v>500102</v>
      </c>
      <c r="F8" t="str">
        <f t="shared" ref="F8:F10" si="2">CombineByChar(R8:U8,B$2)</f>
        <v>101202,2/101215,2/101216,2/104101,15</v>
      </c>
      <c r="G8" s="22">
        <v>450</v>
      </c>
      <c r="H8" s="22">
        <v>10000</v>
      </c>
      <c r="I8" s="49" t="s">
        <v>234</v>
      </c>
      <c r="J8" s="49" t="s">
        <v>232</v>
      </c>
      <c r="K8" s="49" t="s">
        <v>172</v>
      </c>
      <c r="L8" s="49" t="s">
        <v>216</v>
      </c>
      <c r="M8" s="49">
        <v>2</v>
      </c>
      <c r="N8" s="49">
        <v>2</v>
      </c>
      <c r="O8" s="49">
        <v>2</v>
      </c>
      <c r="P8" s="49">
        <v>15</v>
      </c>
      <c r="Q8">
        <f t="shared" ref="Q8:Q72" si="3">IF(I8="",0,VLOOKUP(I8,V:Y,4,FALSE))*M8+IF(J8="",0,VLOOKUP(J8,V:Y,4,FALSE))*N8+IF(K8="",0,VLOOKUP(K8,V:Y,4,FALSE))*O8+IF(L8="",0,VLOOKUP(L8,V:Y,4,FALSE))*P8</f>
        <v>300</v>
      </c>
      <c r="R8" t="str">
        <f t="shared" ref="R8:R26" si="4">IF(AND(I8&lt;&gt;"",M8&lt;&gt;"",M8&lt;&gt;0),VLOOKUP(I8,$V:$W,2,FALSE)&amp;","&amp;M8,"")</f>
        <v>101202,2</v>
      </c>
      <c r="S8" t="str">
        <f t="shared" ref="S8:S26" si="5">IF(AND(J8&lt;&gt;"",N8&lt;&gt;"",N8&lt;&gt;0),VLOOKUP(J8,$V:$W,2,FALSE)&amp;","&amp;N8,"")</f>
        <v>101215,2</v>
      </c>
      <c r="T8" t="str">
        <f t="shared" ref="T8:T26" si="6">IF(AND(K8&lt;&gt;"",O8&lt;&gt;"",O8&lt;&gt;0),VLOOKUP(K8,$V:$W,2,FALSE)&amp;","&amp;O8,"")</f>
        <v>101216,2</v>
      </c>
      <c r="U8" t="str">
        <f t="shared" ref="U8:U72" si="7">IF(AND(L8&lt;&gt;"",P8&lt;&gt;"",P8&lt;&gt;0),VLOOKUP(L8,$V:$W,2,FALSE)&amp;","&amp;P8,"")</f>
        <v>104101,15</v>
      </c>
      <c r="V8" s="51" t="s">
        <v>198</v>
      </c>
      <c r="W8" s="26">
        <v>101202</v>
      </c>
      <c r="X8">
        <f t="shared" ref="X8:X41" si="8">CountSource(R$7:U$300,W8)</f>
        <v>16</v>
      </c>
      <c r="Y8">
        <v>40</v>
      </c>
    </row>
    <row r="9" spans="1:25">
      <c r="A9" s="56">
        <f t="shared" si="1"/>
        <v>1.3725490196078431E-2</v>
      </c>
      <c r="B9" s="45">
        <v>103</v>
      </c>
      <c r="C9" s="22" t="s">
        <v>143</v>
      </c>
      <c r="D9" s="22" t="s">
        <v>986</v>
      </c>
      <c r="E9" s="22">
        <v>500103</v>
      </c>
      <c r="F9" t="str">
        <f t="shared" si="2"/>
        <v>101219,2/101217,2/101220,2/104101,20</v>
      </c>
      <c r="G9" s="22">
        <v>350</v>
      </c>
      <c r="H9" s="22">
        <v>15000</v>
      </c>
      <c r="I9" s="49" t="s">
        <v>174</v>
      </c>
      <c r="J9" s="49" t="s">
        <v>173</v>
      </c>
      <c r="K9" s="49" t="s">
        <v>229</v>
      </c>
      <c r="L9" s="49" t="s">
        <v>216</v>
      </c>
      <c r="M9" s="49">
        <v>2</v>
      </c>
      <c r="N9" s="49">
        <v>2</v>
      </c>
      <c r="O9" s="49">
        <v>2</v>
      </c>
      <c r="P9" s="49">
        <v>20</v>
      </c>
      <c r="Q9">
        <f t="shared" si="3"/>
        <v>560</v>
      </c>
      <c r="R9" t="str">
        <f t="shared" si="4"/>
        <v>101219,2</v>
      </c>
      <c r="S9" t="str">
        <f t="shared" si="5"/>
        <v>101217,2</v>
      </c>
      <c r="T9" t="str">
        <f t="shared" si="6"/>
        <v>101220,2</v>
      </c>
      <c r="U9" t="str">
        <f t="shared" si="7"/>
        <v>104101,20</v>
      </c>
      <c r="V9" s="54" t="s">
        <v>248</v>
      </c>
      <c r="W9" s="26">
        <v>101203</v>
      </c>
      <c r="X9">
        <f t="shared" si="8"/>
        <v>16</v>
      </c>
      <c r="Y9">
        <v>80</v>
      </c>
    </row>
    <row r="10" spans="1:25">
      <c r="A10" s="56">
        <f t="shared" si="1"/>
        <v>5.8823529411764705E-3</v>
      </c>
      <c r="B10" s="45">
        <v>104</v>
      </c>
      <c r="C10" s="22" t="s">
        <v>143</v>
      </c>
      <c r="D10" s="22" t="s">
        <v>987</v>
      </c>
      <c r="E10" s="22">
        <v>500104</v>
      </c>
      <c r="F10" t="str">
        <f t="shared" si="2"/>
        <v>101229,2/101228,2/101226,2/104102,15</v>
      </c>
      <c r="G10" s="46">
        <v>150</v>
      </c>
      <c r="H10" s="22">
        <v>20000</v>
      </c>
      <c r="I10" s="49" t="s">
        <v>179</v>
      </c>
      <c r="J10" s="49" t="s">
        <v>235</v>
      </c>
      <c r="K10" s="49" t="s">
        <v>238</v>
      </c>
      <c r="L10" s="49" t="s">
        <v>217</v>
      </c>
      <c r="M10" s="49">
        <v>2</v>
      </c>
      <c r="N10" s="49">
        <v>2</v>
      </c>
      <c r="O10" s="49">
        <v>2</v>
      </c>
      <c r="P10" s="49">
        <v>15</v>
      </c>
      <c r="Q10">
        <f t="shared" si="3"/>
        <v>840</v>
      </c>
      <c r="R10" t="str">
        <f t="shared" si="4"/>
        <v>101229,2</v>
      </c>
      <c r="S10" t="str">
        <f t="shared" si="5"/>
        <v>101228,2</v>
      </c>
      <c r="T10" t="str">
        <f t="shared" si="6"/>
        <v>101226,2</v>
      </c>
      <c r="U10" t="str">
        <f t="shared" si="7"/>
        <v>104102,15</v>
      </c>
      <c r="V10" s="55" t="s">
        <v>199</v>
      </c>
      <c r="W10" s="26">
        <v>101204</v>
      </c>
      <c r="X10">
        <f t="shared" si="8"/>
        <v>10</v>
      </c>
      <c r="Y10">
        <v>40</v>
      </c>
    </row>
    <row r="11" spans="1:25">
      <c r="A11" s="56">
        <f t="shared" si="1"/>
        <v>1.9607843137254902E-3</v>
      </c>
      <c r="B11" s="45">
        <v>105</v>
      </c>
      <c r="C11" s="22" t="s">
        <v>143</v>
      </c>
      <c r="D11" s="22" t="s">
        <v>988</v>
      </c>
      <c r="E11" s="22">
        <v>500105</v>
      </c>
      <c r="F11" t="str">
        <f>CombineByChar(R11:U11,B$2)</f>
        <v>101235,2/101234,2/101233,2/104102,20</v>
      </c>
      <c r="G11" s="46">
        <v>50</v>
      </c>
      <c r="H11" s="22">
        <v>30000</v>
      </c>
      <c r="I11" s="49" t="s">
        <v>184</v>
      </c>
      <c r="J11" s="49" t="s">
        <v>183</v>
      </c>
      <c r="K11" s="49" t="s">
        <v>182</v>
      </c>
      <c r="L11" s="49" t="s">
        <v>217</v>
      </c>
      <c r="M11" s="49">
        <v>2</v>
      </c>
      <c r="N11" s="49">
        <v>2</v>
      </c>
      <c r="O11" s="49">
        <v>2</v>
      </c>
      <c r="P11" s="49">
        <v>20</v>
      </c>
      <c r="Q11">
        <f t="shared" si="3"/>
        <v>1120</v>
      </c>
      <c r="R11" t="str">
        <f t="shared" si="4"/>
        <v>101235,2</v>
      </c>
      <c r="S11" t="str">
        <f t="shared" si="5"/>
        <v>101234,2</v>
      </c>
      <c r="T11" t="str">
        <f t="shared" si="6"/>
        <v>101233,2</v>
      </c>
      <c r="U11" t="str">
        <f t="shared" si="7"/>
        <v>104102,20</v>
      </c>
      <c r="V11" s="55" t="s">
        <v>210</v>
      </c>
      <c r="W11" s="26">
        <v>101205</v>
      </c>
      <c r="X11">
        <f t="shared" si="8"/>
        <v>8</v>
      </c>
      <c r="Y11">
        <v>40</v>
      </c>
    </row>
    <row r="12" spans="1:25">
      <c r="A12" s="56">
        <f t="shared" si="1"/>
        <v>1.9607843137254902E-2</v>
      </c>
      <c r="B12" s="45">
        <v>201</v>
      </c>
      <c r="C12" s="22" t="s">
        <v>144</v>
      </c>
      <c r="D12" s="22" t="s">
        <v>989</v>
      </c>
      <c r="E12" s="22">
        <v>500201</v>
      </c>
      <c r="F12" t="str">
        <f>CombineByChar(R12:U12,B$2)</f>
        <v>101201,2/101208,2/101204,2/104101,10</v>
      </c>
      <c r="G12" s="22">
        <v>500</v>
      </c>
      <c r="H12" s="22">
        <v>5000</v>
      </c>
      <c r="I12" s="49" t="s">
        <v>202</v>
      </c>
      <c r="J12" s="49" t="s">
        <v>171</v>
      </c>
      <c r="K12" s="49" t="s">
        <v>203</v>
      </c>
      <c r="L12" s="49" t="s">
        <v>216</v>
      </c>
      <c r="M12" s="49">
        <v>2</v>
      </c>
      <c r="N12" s="49">
        <v>2</v>
      </c>
      <c r="O12" s="49">
        <v>2</v>
      </c>
      <c r="P12" s="49">
        <v>10</v>
      </c>
      <c r="Q12">
        <f t="shared" si="3"/>
        <v>280</v>
      </c>
      <c r="R12" t="str">
        <f t="shared" si="4"/>
        <v>101201,2</v>
      </c>
      <c r="S12" t="str">
        <f t="shared" si="5"/>
        <v>101208,2</v>
      </c>
      <c r="T12" t="str">
        <f t="shared" si="6"/>
        <v>101204,2</v>
      </c>
      <c r="U12" t="str">
        <f t="shared" si="7"/>
        <v>104101,10</v>
      </c>
      <c r="V12" s="55" t="s">
        <v>212</v>
      </c>
      <c r="W12" s="26">
        <v>101206</v>
      </c>
      <c r="X12">
        <f t="shared" si="8"/>
        <v>10</v>
      </c>
      <c r="Y12">
        <v>40</v>
      </c>
    </row>
    <row r="13" spans="1:25">
      <c r="A13" s="56">
        <f t="shared" si="1"/>
        <v>1.7647058823529412E-2</v>
      </c>
      <c r="B13" s="45">
        <v>202</v>
      </c>
      <c r="C13" s="22" t="s">
        <v>144</v>
      </c>
      <c r="D13" s="22" t="s">
        <v>981</v>
      </c>
      <c r="E13" s="22">
        <v>500202</v>
      </c>
      <c r="F13" t="str">
        <f>CombineByChar(R13:U13,B$2)</f>
        <v>101216,2/101215,2/101213,2/104101,15</v>
      </c>
      <c r="G13" s="22">
        <v>450</v>
      </c>
      <c r="H13" s="22">
        <v>10000</v>
      </c>
      <c r="I13" s="49" t="s">
        <v>172</v>
      </c>
      <c r="J13" s="49" t="s">
        <v>232</v>
      </c>
      <c r="K13" s="49" t="s">
        <v>243</v>
      </c>
      <c r="L13" s="49" t="s">
        <v>216</v>
      </c>
      <c r="M13" s="49">
        <v>2</v>
      </c>
      <c r="N13" s="49">
        <v>2</v>
      </c>
      <c r="O13" s="49">
        <v>2</v>
      </c>
      <c r="P13" s="49">
        <v>15</v>
      </c>
      <c r="Q13">
        <f t="shared" si="3"/>
        <v>300</v>
      </c>
      <c r="R13" t="str">
        <f t="shared" si="4"/>
        <v>101216,2</v>
      </c>
      <c r="S13" t="str">
        <f t="shared" si="5"/>
        <v>101215,2</v>
      </c>
      <c r="T13" t="str">
        <f t="shared" si="6"/>
        <v>101213,2</v>
      </c>
      <c r="U13" t="str">
        <f t="shared" si="7"/>
        <v>104101,15</v>
      </c>
      <c r="V13" s="55" t="s">
        <v>222</v>
      </c>
      <c r="W13" s="26">
        <v>101207</v>
      </c>
      <c r="X13">
        <f t="shared" si="8"/>
        <v>10</v>
      </c>
      <c r="Y13">
        <v>40</v>
      </c>
    </row>
    <row r="14" spans="1:25">
      <c r="A14" s="56">
        <f t="shared" si="1"/>
        <v>1.3725490196078431E-2</v>
      </c>
      <c r="B14" s="45">
        <v>203</v>
      </c>
      <c r="C14" s="22" t="s">
        <v>144</v>
      </c>
      <c r="D14" s="22" t="s">
        <v>982</v>
      </c>
      <c r="E14" s="22">
        <v>500203</v>
      </c>
      <c r="F14" t="str">
        <f>CombineByChar(R14:U14,B$2)</f>
        <v>101221,2/101218,2/101203,2/104101,20</v>
      </c>
      <c r="G14" s="22">
        <v>350</v>
      </c>
      <c r="H14" s="22">
        <v>15000</v>
      </c>
      <c r="I14" s="49" t="s">
        <v>175</v>
      </c>
      <c r="J14" s="49" t="s">
        <v>245</v>
      </c>
      <c r="K14" s="49" t="s">
        <v>170</v>
      </c>
      <c r="L14" s="49" t="s">
        <v>216</v>
      </c>
      <c r="M14" s="49">
        <v>2</v>
      </c>
      <c r="N14" s="49">
        <v>2</v>
      </c>
      <c r="O14" s="49">
        <v>2</v>
      </c>
      <c r="P14" s="49">
        <v>20</v>
      </c>
      <c r="Q14">
        <f t="shared" si="3"/>
        <v>560</v>
      </c>
      <c r="R14" t="str">
        <f t="shared" si="4"/>
        <v>101221,2</v>
      </c>
      <c r="S14" t="str">
        <f t="shared" si="5"/>
        <v>101218,2</v>
      </c>
      <c r="T14" t="str">
        <f t="shared" si="6"/>
        <v>101203,2</v>
      </c>
      <c r="U14" t="str">
        <f t="shared" si="7"/>
        <v>104101,20</v>
      </c>
      <c r="V14" s="55" t="s">
        <v>205</v>
      </c>
      <c r="W14" s="26">
        <v>101208</v>
      </c>
      <c r="X14">
        <f t="shared" si="8"/>
        <v>8</v>
      </c>
      <c r="Y14">
        <v>40</v>
      </c>
    </row>
    <row r="15" spans="1:25">
      <c r="A15" s="56">
        <f t="shared" si="1"/>
        <v>5.8823529411764705E-3</v>
      </c>
      <c r="B15" s="45">
        <v>204</v>
      </c>
      <c r="C15" s="22" t="s">
        <v>144</v>
      </c>
      <c r="D15" s="22" t="s">
        <v>983</v>
      </c>
      <c r="E15" s="22">
        <v>500204</v>
      </c>
      <c r="F15" t="str">
        <f t="shared" ref="F15:F78" si="9">CombineByChar(R15:U15,B$2)</f>
        <v>101224,2/101227,2/101228,2/104102,15</v>
      </c>
      <c r="G15" s="46">
        <v>150</v>
      </c>
      <c r="H15" s="22">
        <v>20000</v>
      </c>
      <c r="I15" s="49" t="s">
        <v>177</v>
      </c>
      <c r="J15" s="49" t="s">
        <v>178</v>
      </c>
      <c r="K15" s="49" t="s">
        <v>235</v>
      </c>
      <c r="L15" s="49" t="s">
        <v>217</v>
      </c>
      <c r="M15" s="49">
        <v>2</v>
      </c>
      <c r="N15" s="49">
        <v>2</v>
      </c>
      <c r="O15" s="49">
        <v>2</v>
      </c>
      <c r="P15" s="49">
        <v>15</v>
      </c>
      <c r="Q15">
        <f t="shared" si="3"/>
        <v>840</v>
      </c>
      <c r="R15" t="str">
        <f t="shared" si="4"/>
        <v>101224,2</v>
      </c>
      <c r="S15" t="str">
        <f t="shared" si="5"/>
        <v>101227,2</v>
      </c>
      <c r="T15" t="str">
        <f t="shared" si="6"/>
        <v>101228,2</v>
      </c>
      <c r="U15" t="str">
        <f t="shared" si="7"/>
        <v>104102,15</v>
      </c>
      <c r="V15" s="55" t="s">
        <v>208</v>
      </c>
      <c r="W15" s="26">
        <v>101209</v>
      </c>
      <c r="X15">
        <f t="shared" si="8"/>
        <v>8</v>
      </c>
      <c r="Y15">
        <v>40</v>
      </c>
    </row>
    <row r="16" spans="1:25">
      <c r="A16" s="56">
        <f t="shared" si="1"/>
        <v>1.9607843137254902E-3</v>
      </c>
      <c r="B16" s="45">
        <v>205</v>
      </c>
      <c r="C16" s="22" t="s">
        <v>144</v>
      </c>
      <c r="D16" s="22" t="s">
        <v>990</v>
      </c>
      <c r="E16" s="22">
        <v>500205</v>
      </c>
      <c r="F16" t="str">
        <f t="shared" si="9"/>
        <v>101232,2/101231,2/101230,2/104102,20</v>
      </c>
      <c r="G16" s="46">
        <v>50</v>
      </c>
      <c r="H16" s="22">
        <v>30000</v>
      </c>
      <c r="I16" s="49" t="s">
        <v>251</v>
      </c>
      <c r="J16" s="49" t="s">
        <v>181</v>
      </c>
      <c r="K16" s="49" t="s">
        <v>180</v>
      </c>
      <c r="L16" s="49" t="s">
        <v>217</v>
      </c>
      <c r="M16" s="49">
        <v>2</v>
      </c>
      <c r="N16" s="49">
        <v>2</v>
      </c>
      <c r="O16" s="49">
        <v>2</v>
      </c>
      <c r="P16" s="49">
        <v>20</v>
      </c>
      <c r="Q16">
        <f t="shared" si="3"/>
        <v>1120</v>
      </c>
      <c r="R16" t="str">
        <f t="shared" si="4"/>
        <v>101232,2</v>
      </c>
      <c r="S16" t="str">
        <f t="shared" si="5"/>
        <v>101231,2</v>
      </c>
      <c r="T16" t="str">
        <f t="shared" si="6"/>
        <v>101230,2</v>
      </c>
      <c r="U16" t="str">
        <f t="shared" si="7"/>
        <v>104102,20</v>
      </c>
      <c r="V16" s="55" t="s">
        <v>209</v>
      </c>
      <c r="W16" s="26">
        <v>101210</v>
      </c>
      <c r="X16">
        <f t="shared" si="8"/>
        <v>10</v>
      </c>
      <c r="Y16">
        <v>40</v>
      </c>
    </row>
    <row r="17" spans="1:25">
      <c r="A17" s="56">
        <f t="shared" si="1"/>
        <v>1.9607843137254902E-2</v>
      </c>
      <c r="B17" s="45">
        <v>301</v>
      </c>
      <c r="C17" s="22" t="s">
        <v>145</v>
      </c>
      <c r="D17" s="22" t="s">
        <v>991</v>
      </c>
      <c r="E17" s="22">
        <v>500301</v>
      </c>
      <c r="F17" t="str">
        <f t="shared" si="9"/>
        <v>101209,2/101210,2/101206,2/104101,10</v>
      </c>
      <c r="G17" s="22">
        <v>500</v>
      </c>
      <c r="H17" s="22">
        <v>5000</v>
      </c>
      <c r="I17" s="49" t="s">
        <v>254</v>
      </c>
      <c r="J17" s="49" t="s">
        <v>255</v>
      </c>
      <c r="K17" s="49" t="s">
        <v>256</v>
      </c>
      <c r="L17" s="49" t="s">
        <v>216</v>
      </c>
      <c r="M17" s="49">
        <v>2</v>
      </c>
      <c r="N17" s="49">
        <v>2</v>
      </c>
      <c r="O17" s="49">
        <v>2</v>
      </c>
      <c r="P17" s="49">
        <v>10</v>
      </c>
      <c r="Q17">
        <f t="shared" si="3"/>
        <v>280</v>
      </c>
      <c r="R17" t="str">
        <f t="shared" si="4"/>
        <v>101209,2</v>
      </c>
      <c r="S17" t="str">
        <f t="shared" si="5"/>
        <v>101210,2</v>
      </c>
      <c r="T17" t="str">
        <f t="shared" si="6"/>
        <v>101206,2</v>
      </c>
      <c r="U17" t="str">
        <f t="shared" si="7"/>
        <v>104101,10</v>
      </c>
      <c r="V17" s="55" t="s">
        <v>226</v>
      </c>
      <c r="W17" s="26">
        <v>101211</v>
      </c>
      <c r="X17">
        <f t="shared" si="8"/>
        <v>8</v>
      </c>
      <c r="Y17">
        <v>40</v>
      </c>
    </row>
    <row r="18" spans="1:25">
      <c r="A18" s="56">
        <f t="shared" si="1"/>
        <v>1.7647058823529412E-2</v>
      </c>
      <c r="B18" s="45">
        <v>302</v>
      </c>
      <c r="C18" s="22" t="s">
        <v>145</v>
      </c>
      <c r="D18" s="22" t="s">
        <v>992</v>
      </c>
      <c r="E18" s="22">
        <v>500302</v>
      </c>
      <c r="F18" t="str">
        <f t="shared" si="9"/>
        <v>101216,2/101215,2/101202,2/104101,15</v>
      </c>
      <c r="G18" s="22">
        <v>450</v>
      </c>
      <c r="H18" s="22">
        <v>10000</v>
      </c>
      <c r="I18" s="49" t="s">
        <v>172</v>
      </c>
      <c r="J18" s="49" t="s">
        <v>232</v>
      </c>
      <c r="K18" s="49" t="s">
        <v>234</v>
      </c>
      <c r="L18" s="49" t="s">
        <v>216</v>
      </c>
      <c r="M18" s="49">
        <v>2</v>
      </c>
      <c r="N18" s="49">
        <v>2</v>
      </c>
      <c r="O18" s="49">
        <v>2</v>
      </c>
      <c r="P18" s="49">
        <v>15</v>
      </c>
      <c r="Q18">
        <f t="shared" si="3"/>
        <v>300</v>
      </c>
      <c r="R18" t="str">
        <f t="shared" si="4"/>
        <v>101216,2</v>
      </c>
      <c r="S18" t="str">
        <f t="shared" si="5"/>
        <v>101215,2</v>
      </c>
      <c r="T18" t="str">
        <f t="shared" si="6"/>
        <v>101202,2</v>
      </c>
      <c r="U18" t="str">
        <f t="shared" si="7"/>
        <v>104101,15</v>
      </c>
      <c r="V18" s="51" t="s">
        <v>213</v>
      </c>
      <c r="W18" s="26">
        <v>101212</v>
      </c>
      <c r="X18">
        <f t="shared" si="8"/>
        <v>16</v>
      </c>
      <c r="Y18">
        <v>40</v>
      </c>
    </row>
    <row r="19" spans="1:25">
      <c r="A19" s="56">
        <f t="shared" si="1"/>
        <v>1.3725490196078431E-2</v>
      </c>
      <c r="B19" s="45">
        <v>303</v>
      </c>
      <c r="C19" s="22" t="s">
        <v>145</v>
      </c>
      <c r="D19" s="22" t="s">
        <v>993</v>
      </c>
      <c r="E19" s="22">
        <v>500303</v>
      </c>
      <c r="F19" t="str">
        <f t="shared" si="9"/>
        <v>101217,2/101218,2/101219,2/104101,20</v>
      </c>
      <c r="G19" s="22">
        <v>350</v>
      </c>
      <c r="H19" s="22">
        <v>15000</v>
      </c>
      <c r="I19" s="49" t="s">
        <v>173</v>
      </c>
      <c r="J19" s="49" t="s">
        <v>245</v>
      </c>
      <c r="K19" s="49" t="s">
        <v>174</v>
      </c>
      <c r="L19" s="49" t="s">
        <v>216</v>
      </c>
      <c r="M19" s="49">
        <v>2</v>
      </c>
      <c r="N19" s="49">
        <v>2</v>
      </c>
      <c r="O19" s="49">
        <v>2</v>
      </c>
      <c r="P19" s="49">
        <v>20</v>
      </c>
      <c r="Q19">
        <f t="shared" si="3"/>
        <v>560</v>
      </c>
      <c r="R19" t="str">
        <f t="shared" si="4"/>
        <v>101217,2</v>
      </c>
      <c r="S19" t="str">
        <f t="shared" si="5"/>
        <v>101218,2</v>
      </c>
      <c r="T19" t="str">
        <f t="shared" si="6"/>
        <v>101219,2</v>
      </c>
      <c r="U19" t="str">
        <f t="shared" si="7"/>
        <v>104101,20</v>
      </c>
      <c r="V19" s="51" t="s">
        <v>244</v>
      </c>
      <c r="W19" s="26">
        <v>101213</v>
      </c>
      <c r="X19">
        <f t="shared" si="8"/>
        <v>18</v>
      </c>
      <c r="Y19">
        <v>40</v>
      </c>
    </row>
    <row r="20" spans="1:25">
      <c r="A20" s="56">
        <f t="shared" si="1"/>
        <v>5.8823529411764705E-3</v>
      </c>
      <c r="B20" s="45">
        <v>304</v>
      </c>
      <c r="C20" s="22" t="s">
        <v>145</v>
      </c>
      <c r="D20" s="22" t="s">
        <v>994</v>
      </c>
      <c r="E20" s="22">
        <v>500304</v>
      </c>
      <c r="F20" t="str">
        <f t="shared" si="9"/>
        <v>101225,2/101229,2/101227,2/104102,15</v>
      </c>
      <c r="G20" s="46">
        <v>150</v>
      </c>
      <c r="H20" s="22">
        <v>20000</v>
      </c>
      <c r="I20" s="49" t="s">
        <v>257</v>
      </c>
      <c r="J20" s="49" t="s">
        <v>237</v>
      </c>
      <c r="K20" s="49" t="s">
        <v>250</v>
      </c>
      <c r="L20" s="49" t="s">
        <v>217</v>
      </c>
      <c r="M20" s="49">
        <v>2</v>
      </c>
      <c r="N20" s="49">
        <v>2</v>
      </c>
      <c r="O20" s="49">
        <v>2</v>
      </c>
      <c r="P20" s="49">
        <v>15</v>
      </c>
      <c r="Q20">
        <f t="shared" si="3"/>
        <v>840</v>
      </c>
      <c r="R20" t="str">
        <f t="shared" si="4"/>
        <v>101225,2</v>
      </c>
      <c r="S20" t="str">
        <f t="shared" si="5"/>
        <v>101229,2</v>
      </c>
      <c r="T20" t="str">
        <f t="shared" si="6"/>
        <v>101227,2</v>
      </c>
      <c r="U20" t="str">
        <f t="shared" si="7"/>
        <v>104102,15</v>
      </c>
      <c r="V20" s="51" t="s">
        <v>231</v>
      </c>
      <c r="W20" s="26">
        <v>101214</v>
      </c>
      <c r="X20">
        <f t="shared" si="8"/>
        <v>16</v>
      </c>
      <c r="Y20">
        <v>40</v>
      </c>
    </row>
    <row r="21" spans="1:25">
      <c r="A21" s="56">
        <f t="shared" si="1"/>
        <v>1.9607843137254902E-3</v>
      </c>
      <c r="B21" s="45">
        <v>305</v>
      </c>
      <c r="C21" s="22" t="s">
        <v>145</v>
      </c>
      <c r="D21" s="22" t="s">
        <v>995</v>
      </c>
      <c r="E21" s="22">
        <v>500305</v>
      </c>
      <c r="F21" t="str">
        <f t="shared" si="9"/>
        <v>101231,2/101230,2/101233,2/104102,20</v>
      </c>
      <c r="G21" s="46">
        <v>50</v>
      </c>
      <c r="H21" s="22">
        <v>30000</v>
      </c>
      <c r="I21" s="49" t="s">
        <v>211</v>
      </c>
      <c r="J21" s="49" t="s">
        <v>253</v>
      </c>
      <c r="K21" s="49" t="s">
        <v>242</v>
      </c>
      <c r="L21" s="49" t="s">
        <v>217</v>
      </c>
      <c r="M21" s="49">
        <v>2</v>
      </c>
      <c r="N21" s="49">
        <v>2</v>
      </c>
      <c r="O21" s="49">
        <v>2</v>
      </c>
      <c r="P21" s="49">
        <v>20</v>
      </c>
      <c r="Q21">
        <f t="shared" si="3"/>
        <v>1120</v>
      </c>
      <c r="R21" t="str">
        <f t="shared" si="4"/>
        <v>101231,2</v>
      </c>
      <c r="S21" t="str">
        <f t="shared" si="5"/>
        <v>101230,2</v>
      </c>
      <c r="T21" t="str">
        <f t="shared" si="6"/>
        <v>101233,2</v>
      </c>
      <c r="U21" t="str">
        <f t="shared" si="7"/>
        <v>104102,20</v>
      </c>
      <c r="V21" s="51" t="s">
        <v>233</v>
      </c>
      <c r="W21" s="26">
        <v>101215</v>
      </c>
      <c r="X21">
        <f t="shared" si="8"/>
        <v>18</v>
      </c>
      <c r="Y21">
        <v>40</v>
      </c>
    </row>
    <row r="22" spans="1:25">
      <c r="A22" s="56">
        <f t="shared" si="1"/>
        <v>1.9607843137254902E-2</v>
      </c>
      <c r="B22" s="45">
        <v>401</v>
      </c>
      <c r="C22" s="22" t="s">
        <v>146</v>
      </c>
      <c r="D22" s="22" t="s">
        <v>996</v>
      </c>
      <c r="E22" s="22">
        <v>500401</v>
      </c>
      <c r="F22" t="str">
        <f t="shared" si="9"/>
        <v>101204,2/101201,2/101205,2/104101,10</v>
      </c>
      <c r="G22" s="22">
        <v>500</v>
      </c>
      <c r="H22" s="22">
        <v>5000</v>
      </c>
      <c r="I22" s="49" t="s">
        <v>199</v>
      </c>
      <c r="J22" s="49" t="s">
        <v>185</v>
      </c>
      <c r="K22" s="49" t="s">
        <v>210</v>
      </c>
      <c r="L22" s="49" t="s">
        <v>216</v>
      </c>
      <c r="M22" s="49">
        <v>2</v>
      </c>
      <c r="N22" s="49">
        <v>2</v>
      </c>
      <c r="O22" s="49">
        <v>2</v>
      </c>
      <c r="P22" s="49">
        <v>10</v>
      </c>
      <c r="Q22">
        <f t="shared" si="3"/>
        <v>280</v>
      </c>
      <c r="R22" t="str">
        <f t="shared" si="4"/>
        <v>101204,2</v>
      </c>
      <c r="S22" t="str">
        <f t="shared" si="5"/>
        <v>101201,2</v>
      </c>
      <c r="T22" t="str">
        <f t="shared" si="6"/>
        <v>101205,2</v>
      </c>
      <c r="U22" t="str">
        <f t="shared" si="7"/>
        <v>104101,10</v>
      </c>
      <c r="V22" s="51" t="s">
        <v>206</v>
      </c>
      <c r="W22" s="26">
        <v>101216</v>
      </c>
      <c r="X22">
        <f t="shared" si="8"/>
        <v>18</v>
      </c>
      <c r="Y22">
        <v>40</v>
      </c>
    </row>
    <row r="23" spans="1:25">
      <c r="A23" s="56">
        <f t="shared" si="1"/>
        <v>1.7647058823529412E-2</v>
      </c>
      <c r="B23" s="45">
        <v>402</v>
      </c>
      <c r="C23" s="22" t="s">
        <v>146</v>
      </c>
      <c r="D23" s="22" t="s">
        <v>997</v>
      </c>
      <c r="E23" s="22">
        <v>500402</v>
      </c>
      <c r="F23" t="str">
        <f t="shared" si="9"/>
        <v>101212,2/101216,2/101202,2/104101,15</v>
      </c>
      <c r="G23" s="22">
        <v>450</v>
      </c>
      <c r="H23" s="22">
        <v>10000</v>
      </c>
      <c r="I23" s="49" t="s">
        <v>213</v>
      </c>
      <c r="J23" s="49" t="s">
        <v>206</v>
      </c>
      <c r="K23" s="49" t="s">
        <v>198</v>
      </c>
      <c r="L23" s="49" t="s">
        <v>216</v>
      </c>
      <c r="M23" s="49">
        <v>2</v>
      </c>
      <c r="N23" s="49">
        <v>2</v>
      </c>
      <c r="O23" s="49">
        <v>2</v>
      </c>
      <c r="P23" s="49">
        <v>15</v>
      </c>
      <c r="Q23">
        <f t="shared" si="3"/>
        <v>300</v>
      </c>
      <c r="R23" t="str">
        <f t="shared" si="4"/>
        <v>101212,2</v>
      </c>
      <c r="S23" t="str">
        <f t="shared" si="5"/>
        <v>101216,2</v>
      </c>
      <c r="T23" t="str">
        <f t="shared" si="6"/>
        <v>101202,2</v>
      </c>
      <c r="U23" t="str">
        <f t="shared" si="7"/>
        <v>104101,15</v>
      </c>
      <c r="V23" s="54" t="s">
        <v>228</v>
      </c>
      <c r="W23" s="26">
        <v>101217</v>
      </c>
      <c r="X23">
        <f t="shared" si="8"/>
        <v>16</v>
      </c>
      <c r="Y23">
        <v>80</v>
      </c>
    </row>
    <row r="24" spans="1:25">
      <c r="A24" s="56">
        <f t="shared" si="1"/>
        <v>1.3725490196078431E-2</v>
      </c>
      <c r="B24" s="45">
        <v>403</v>
      </c>
      <c r="C24" s="22" t="s">
        <v>146</v>
      </c>
      <c r="D24" s="22" t="s">
        <v>998</v>
      </c>
      <c r="E24" s="22">
        <v>500403</v>
      </c>
      <c r="F24" t="str">
        <f t="shared" si="9"/>
        <v>101219,2/101221,2/101203,2/104101,20</v>
      </c>
      <c r="G24" s="22">
        <v>350</v>
      </c>
      <c r="H24" s="22">
        <v>15000</v>
      </c>
      <c r="I24" s="49" t="s">
        <v>227</v>
      </c>
      <c r="J24" s="49" t="s">
        <v>247</v>
      </c>
      <c r="K24" s="49" t="s">
        <v>248</v>
      </c>
      <c r="L24" s="49" t="s">
        <v>216</v>
      </c>
      <c r="M24" s="49">
        <v>2</v>
      </c>
      <c r="N24" s="49">
        <v>2</v>
      </c>
      <c r="O24" s="49">
        <v>2</v>
      </c>
      <c r="P24" s="49">
        <v>20</v>
      </c>
      <c r="Q24">
        <f t="shared" si="3"/>
        <v>560</v>
      </c>
      <c r="R24" t="str">
        <f t="shared" si="4"/>
        <v>101219,2</v>
      </c>
      <c r="S24" t="str">
        <f t="shared" si="5"/>
        <v>101221,2</v>
      </c>
      <c r="T24" t="str">
        <f t="shared" si="6"/>
        <v>101203,2</v>
      </c>
      <c r="U24" t="str">
        <f t="shared" si="7"/>
        <v>104101,20</v>
      </c>
      <c r="V24" s="54" t="s">
        <v>246</v>
      </c>
      <c r="W24" s="26">
        <v>101218</v>
      </c>
      <c r="X24">
        <f t="shared" si="8"/>
        <v>16</v>
      </c>
      <c r="Y24">
        <v>80</v>
      </c>
    </row>
    <row r="25" spans="1:25">
      <c r="A25" s="56">
        <f t="shared" si="1"/>
        <v>5.8823529411764705E-3</v>
      </c>
      <c r="B25" s="45">
        <v>404</v>
      </c>
      <c r="C25" s="22" t="s">
        <v>146</v>
      </c>
      <c r="D25" s="22" t="s">
        <v>999</v>
      </c>
      <c r="E25" s="22">
        <v>500404</v>
      </c>
      <c r="F25" t="str">
        <f t="shared" si="9"/>
        <v>101224,2/101228,2/101226,2/104102,15</v>
      </c>
      <c r="G25" s="46">
        <v>150</v>
      </c>
      <c r="H25" s="22">
        <v>20000</v>
      </c>
      <c r="I25" s="49" t="s">
        <v>249</v>
      </c>
      <c r="J25" s="49" t="s">
        <v>236</v>
      </c>
      <c r="K25" s="49" t="s">
        <v>239</v>
      </c>
      <c r="L25" s="49" t="s">
        <v>217</v>
      </c>
      <c r="M25" s="49">
        <v>2</v>
      </c>
      <c r="N25" s="49">
        <v>2</v>
      </c>
      <c r="O25" s="49">
        <v>2</v>
      </c>
      <c r="P25" s="49">
        <v>15</v>
      </c>
      <c r="Q25">
        <f t="shared" si="3"/>
        <v>840</v>
      </c>
      <c r="R25" t="str">
        <f t="shared" si="4"/>
        <v>101224,2</v>
      </c>
      <c r="S25" t="str">
        <f t="shared" si="5"/>
        <v>101228,2</v>
      </c>
      <c r="T25" t="str">
        <f t="shared" si="6"/>
        <v>101226,2</v>
      </c>
      <c r="U25" t="str">
        <f t="shared" si="7"/>
        <v>104102,15</v>
      </c>
      <c r="V25" s="54" t="s">
        <v>227</v>
      </c>
      <c r="W25" s="26">
        <v>101219</v>
      </c>
      <c r="X25">
        <f t="shared" si="8"/>
        <v>16</v>
      </c>
      <c r="Y25">
        <v>80</v>
      </c>
    </row>
    <row r="26" spans="1:25">
      <c r="A26" s="56">
        <f t="shared" si="1"/>
        <v>1.9607843137254902E-3</v>
      </c>
      <c r="B26" s="45">
        <v>405</v>
      </c>
      <c r="C26" s="22" t="s">
        <v>146</v>
      </c>
      <c r="D26" s="22" t="s">
        <v>1000</v>
      </c>
      <c r="E26" s="22">
        <v>500405</v>
      </c>
      <c r="F26" t="str">
        <f t="shared" si="9"/>
        <v>101231,2/101233,2/101230,2/104102,20</v>
      </c>
      <c r="G26" s="46">
        <v>50</v>
      </c>
      <c r="H26" s="22">
        <v>30000</v>
      </c>
      <c r="I26" s="49" t="s">
        <v>211</v>
      </c>
      <c r="J26" s="49" t="s">
        <v>242</v>
      </c>
      <c r="K26" s="49" t="s">
        <v>253</v>
      </c>
      <c r="L26" s="49" t="s">
        <v>217</v>
      </c>
      <c r="M26" s="49">
        <v>2</v>
      </c>
      <c r="N26" s="49">
        <v>2</v>
      </c>
      <c r="O26" s="49">
        <v>2</v>
      </c>
      <c r="P26" s="49">
        <v>20</v>
      </c>
      <c r="Q26">
        <f t="shared" si="3"/>
        <v>1120</v>
      </c>
      <c r="R26" t="str">
        <f t="shared" si="4"/>
        <v>101231,2</v>
      </c>
      <c r="S26" t="str">
        <f t="shared" si="5"/>
        <v>101233,2</v>
      </c>
      <c r="T26" t="str">
        <f t="shared" si="6"/>
        <v>101230,2</v>
      </c>
      <c r="U26" t="str">
        <f t="shared" si="7"/>
        <v>104102,20</v>
      </c>
      <c r="V26" s="54" t="s">
        <v>230</v>
      </c>
      <c r="W26" s="26">
        <v>101220</v>
      </c>
      <c r="X26">
        <f t="shared" si="8"/>
        <v>18</v>
      </c>
      <c r="Y26">
        <v>80</v>
      </c>
    </row>
    <row r="27" spans="1:25">
      <c r="A27" s="56">
        <f t="shared" si="1"/>
        <v>1.9607843137254902E-2</v>
      </c>
      <c r="B27" s="45">
        <v>501</v>
      </c>
      <c r="C27" s="22" t="s">
        <v>147</v>
      </c>
      <c r="D27" s="46" t="s">
        <v>1001</v>
      </c>
      <c r="E27" s="22">
        <v>500501</v>
      </c>
      <c r="F27" t="str">
        <f t="shared" si="9"/>
        <v>101206,2/101207,2/101211,2/104101,10</v>
      </c>
      <c r="G27" s="22">
        <v>500</v>
      </c>
      <c r="H27" s="22">
        <v>5000</v>
      </c>
      <c r="I27" s="49" t="s">
        <v>212</v>
      </c>
      <c r="J27" s="49" t="s">
        <v>222</v>
      </c>
      <c r="K27" s="49" t="s">
        <v>226</v>
      </c>
      <c r="L27" s="49" t="s">
        <v>216</v>
      </c>
      <c r="M27" s="49">
        <v>2</v>
      </c>
      <c r="N27" s="49">
        <v>2</v>
      </c>
      <c r="O27" s="49">
        <v>2</v>
      </c>
      <c r="P27" s="49">
        <v>10</v>
      </c>
      <c r="Q27">
        <f t="shared" si="3"/>
        <v>280</v>
      </c>
      <c r="R27" t="str">
        <f t="shared" ref="R27:R90" si="10">IF(AND(I27&lt;&gt;"",M27&lt;&gt;"",M27&lt;&gt;0),VLOOKUP(I27,$V:$W,2,FALSE)&amp;","&amp;M27,"")</f>
        <v>101206,2</v>
      </c>
      <c r="S27" t="str">
        <f t="shared" ref="S27:S90" si="11">IF(AND(J27&lt;&gt;"",N27&lt;&gt;"",N27&lt;&gt;0),VLOOKUP(J27,$V:$W,2,FALSE)&amp;","&amp;N27,"")</f>
        <v>101207,2</v>
      </c>
      <c r="T27" t="str">
        <f t="shared" ref="T27:U90" si="12">IF(AND(K27&lt;&gt;"",O27&lt;&gt;"",O27&lt;&gt;0),VLOOKUP(K27,$V:$W,2,FALSE)&amp;","&amp;O27,"")</f>
        <v>101211,2</v>
      </c>
      <c r="U27" t="str">
        <f t="shared" si="7"/>
        <v>104101,10</v>
      </c>
      <c r="V27" s="54" t="s">
        <v>247</v>
      </c>
      <c r="W27" s="26">
        <v>101221</v>
      </c>
      <c r="X27">
        <f t="shared" si="8"/>
        <v>20</v>
      </c>
      <c r="Y27">
        <v>80</v>
      </c>
    </row>
    <row r="28" spans="1:25">
      <c r="A28" s="56">
        <f t="shared" si="1"/>
        <v>1.7647058823529412E-2</v>
      </c>
      <c r="B28" s="45">
        <v>502</v>
      </c>
      <c r="C28" s="22" t="s">
        <v>147</v>
      </c>
      <c r="D28" s="46" t="s">
        <v>1002</v>
      </c>
      <c r="E28" s="22">
        <v>500502</v>
      </c>
      <c r="F28" t="str">
        <f t="shared" si="9"/>
        <v>101212,2/101213,2/101215,2/104101,15</v>
      </c>
      <c r="G28" s="22">
        <v>450</v>
      </c>
      <c r="H28" s="22">
        <v>10000</v>
      </c>
      <c r="I28" s="49" t="s">
        <v>213</v>
      </c>
      <c r="J28" s="49" t="s">
        <v>244</v>
      </c>
      <c r="K28" s="49" t="s">
        <v>233</v>
      </c>
      <c r="L28" s="49" t="s">
        <v>216</v>
      </c>
      <c r="M28" s="49">
        <v>2</v>
      </c>
      <c r="N28" s="49">
        <v>2</v>
      </c>
      <c r="O28" s="49">
        <v>2</v>
      </c>
      <c r="P28" s="49">
        <v>15</v>
      </c>
      <c r="Q28">
        <f t="shared" si="3"/>
        <v>300</v>
      </c>
      <c r="R28" t="str">
        <f t="shared" si="10"/>
        <v>101212,2</v>
      </c>
      <c r="S28" t="str">
        <f t="shared" si="11"/>
        <v>101213,2</v>
      </c>
      <c r="T28" t="str">
        <f t="shared" si="12"/>
        <v>101215,2</v>
      </c>
      <c r="U28" t="str">
        <f t="shared" si="7"/>
        <v>104101,15</v>
      </c>
      <c r="V28" s="55" t="s">
        <v>204</v>
      </c>
      <c r="W28" s="26">
        <v>101222</v>
      </c>
      <c r="X28">
        <f t="shared" si="8"/>
        <v>10</v>
      </c>
      <c r="Y28">
        <v>40</v>
      </c>
    </row>
    <row r="29" spans="1:25">
      <c r="A29" s="56">
        <f t="shared" si="1"/>
        <v>1.3725490196078431E-2</v>
      </c>
      <c r="B29" s="45">
        <v>503</v>
      </c>
      <c r="C29" s="22" t="s">
        <v>147</v>
      </c>
      <c r="D29" s="46" t="s">
        <v>1003</v>
      </c>
      <c r="E29" s="22">
        <v>500503</v>
      </c>
      <c r="F29" t="str">
        <f t="shared" si="9"/>
        <v>101220,2/101221,2/101218,2/104101,20</v>
      </c>
      <c r="G29" s="22">
        <v>350</v>
      </c>
      <c r="H29" s="22">
        <v>15000</v>
      </c>
      <c r="I29" s="49" t="s">
        <v>230</v>
      </c>
      <c r="J29" s="49" t="s">
        <v>247</v>
      </c>
      <c r="K29" s="49" t="s">
        <v>246</v>
      </c>
      <c r="L29" s="49" t="s">
        <v>216</v>
      </c>
      <c r="M29" s="49">
        <v>2</v>
      </c>
      <c r="N29" s="49">
        <v>2</v>
      </c>
      <c r="O29" s="49">
        <v>2</v>
      </c>
      <c r="P29" s="49">
        <v>20</v>
      </c>
      <c r="Q29">
        <f>IF(I29="",0,VLOOKUP(I29,V:Y,4,FALSE))*M29+IF(J29="",0,VLOOKUP(J29,V:Y,4,FALSE))*N29+IF(K29="",0,VLOOKUP(K29,V:Y,4,FALSE))*O29+IF(L29="",0,VLOOKUP(L29,V:Y,4,FALSE))*P29</f>
        <v>560</v>
      </c>
      <c r="R29" t="str">
        <f t="shared" si="10"/>
        <v>101220,2</v>
      </c>
      <c r="S29" t="str">
        <f>IF(AND(J29&lt;&gt;"",N29&lt;&gt;"",N29&lt;&gt;0),VLOOKUP(J29,$V:$W,2,FALSE)&amp;","&amp;N29,"")</f>
        <v>101221,2</v>
      </c>
      <c r="T29" t="str">
        <f t="shared" si="12"/>
        <v>101218,2</v>
      </c>
      <c r="U29" t="str">
        <f t="shared" si="7"/>
        <v>104101,20</v>
      </c>
      <c r="V29" s="55" t="s">
        <v>224</v>
      </c>
      <c r="W29" s="26">
        <v>101223</v>
      </c>
      <c r="X29">
        <f t="shared" si="8"/>
        <v>10</v>
      </c>
      <c r="Y29">
        <v>40</v>
      </c>
    </row>
    <row r="30" spans="1:25">
      <c r="A30" s="56">
        <f t="shared" si="1"/>
        <v>5.8823529411764705E-3</v>
      </c>
      <c r="B30" s="45">
        <v>504</v>
      </c>
      <c r="C30" s="22" t="s">
        <v>147</v>
      </c>
      <c r="D30" s="46" t="s">
        <v>1004</v>
      </c>
      <c r="E30" s="22">
        <v>500504</v>
      </c>
      <c r="F30" t="str">
        <f t="shared" si="9"/>
        <v>101224,2/101225,2/101226,2/104102,15</v>
      </c>
      <c r="G30" s="46">
        <v>150</v>
      </c>
      <c r="H30" s="22">
        <v>20000</v>
      </c>
      <c r="I30" s="49" t="s">
        <v>249</v>
      </c>
      <c r="J30" s="49" t="s">
        <v>207</v>
      </c>
      <c r="K30" s="49" t="s">
        <v>239</v>
      </c>
      <c r="L30" s="49" t="s">
        <v>217</v>
      </c>
      <c r="M30" s="49">
        <v>2</v>
      </c>
      <c r="N30" s="49">
        <v>2</v>
      </c>
      <c r="O30" s="49">
        <v>2</v>
      </c>
      <c r="P30" s="49">
        <v>15</v>
      </c>
      <c r="Q30">
        <f>IF(I30="",0,VLOOKUP(I30,V:Y,4,FALSE))*M30+IF(J30="",0,VLOOKUP(J30,V:Y,4,FALSE))*N30+IF(K30="",0,VLOOKUP(K30,V:Y,4,FALSE))*O30+IF(L30="",0,VLOOKUP(L30,V:Y,4,FALSE))*P30</f>
        <v>840</v>
      </c>
      <c r="R30" t="str">
        <f t="shared" si="10"/>
        <v>101224,2</v>
      </c>
      <c r="S30" t="str">
        <f>IF(AND(J30&lt;&gt;"",N30&lt;&gt;"",N30&lt;&gt;0),VLOOKUP(J30,$V:$W,2,FALSE)&amp;","&amp;N30,"")</f>
        <v>101225,2</v>
      </c>
      <c r="T30" t="str">
        <f t="shared" si="12"/>
        <v>101226,2</v>
      </c>
      <c r="U30" t="str">
        <f t="shared" si="7"/>
        <v>104102,15</v>
      </c>
      <c r="V30" s="53" t="s">
        <v>249</v>
      </c>
      <c r="W30" s="26">
        <v>101224</v>
      </c>
      <c r="X30">
        <f t="shared" si="8"/>
        <v>16</v>
      </c>
      <c r="Y30">
        <v>120</v>
      </c>
    </row>
    <row r="31" spans="1:25">
      <c r="A31" s="56">
        <f t="shared" si="1"/>
        <v>1.9607843137254902E-3</v>
      </c>
      <c r="B31" s="45">
        <v>505</v>
      </c>
      <c r="C31" s="22" t="s">
        <v>147</v>
      </c>
      <c r="D31" s="46" t="s">
        <v>1005</v>
      </c>
      <c r="E31" s="22">
        <v>500505</v>
      </c>
      <c r="F31" t="str">
        <f t="shared" si="9"/>
        <v>101235,2/101232,2/101230,2/104102,20</v>
      </c>
      <c r="G31" s="46">
        <v>50</v>
      </c>
      <c r="H31" s="22">
        <v>30000</v>
      </c>
      <c r="I31" s="49" t="s">
        <v>240</v>
      </c>
      <c r="J31" s="49" t="s">
        <v>252</v>
      </c>
      <c r="K31" s="49" t="s">
        <v>253</v>
      </c>
      <c r="L31" s="49" t="s">
        <v>217</v>
      </c>
      <c r="M31" s="49">
        <v>2</v>
      </c>
      <c r="N31" s="49">
        <v>2</v>
      </c>
      <c r="O31" s="49">
        <v>2</v>
      </c>
      <c r="P31" s="49">
        <v>20</v>
      </c>
      <c r="Q31">
        <f t="shared" si="3"/>
        <v>1120</v>
      </c>
      <c r="R31" t="str">
        <f t="shared" si="10"/>
        <v>101235,2</v>
      </c>
      <c r="S31" t="str">
        <f t="shared" si="11"/>
        <v>101232,2</v>
      </c>
      <c r="T31" t="str">
        <f t="shared" si="12"/>
        <v>101230,2</v>
      </c>
      <c r="U31" t="str">
        <f t="shared" si="7"/>
        <v>104102,20</v>
      </c>
      <c r="V31" s="53" t="s">
        <v>207</v>
      </c>
      <c r="W31" s="26">
        <v>101225</v>
      </c>
      <c r="X31">
        <f t="shared" si="8"/>
        <v>20</v>
      </c>
      <c r="Y31">
        <v>120</v>
      </c>
    </row>
    <row r="32" spans="1:25">
      <c r="A32" s="56">
        <f t="shared" si="1"/>
        <v>1.9607843137254902E-2</v>
      </c>
      <c r="B32" s="45">
        <v>601</v>
      </c>
      <c r="C32" s="22" t="s">
        <v>148</v>
      </c>
      <c r="D32" s="46" t="s">
        <v>1006</v>
      </c>
      <c r="E32" s="22">
        <v>500601</v>
      </c>
      <c r="F32" t="str">
        <f t="shared" si="9"/>
        <v>101222,2/101205,2/101210,2/104101,10</v>
      </c>
      <c r="G32" s="22">
        <v>500</v>
      </c>
      <c r="H32" s="22">
        <v>5000</v>
      </c>
      <c r="I32" s="49" t="s">
        <v>204</v>
      </c>
      <c r="J32" s="49" t="s">
        <v>210</v>
      </c>
      <c r="K32" s="49" t="s">
        <v>209</v>
      </c>
      <c r="L32" s="49" t="s">
        <v>216</v>
      </c>
      <c r="M32" s="49">
        <v>2</v>
      </c>
      <c r="N32" s="49">
        <v>2</v>
      </c>
      <c r="O32" s="49">
        <v>2</v>
      </c>
      <c r="P32" s="49">
        <v>10</v>
      </c>
      <c r="Q32">
        <f t="shared" si="3"/>
        <v>280</v>
      </c>
      <c r="R32" t="str">
        <f t="shared" si="10"/>
        <v>101222,2</v>
      </c>
      <c r="S32" t="str">
        <f t="shared" si="11"/>
        <v>101205,2</v>
      </c>
      <c r="T32" t="str">
        <f t="shared" si="12"/>
        <v>101210,2</v>
      </c>
      <c r="U32" t="str">
        <f t="shared" si="7"/>
        <v>104101,10</v>
      </c>
      <c r="V32" s="53" t="s">
        <v>239</v>
      </c>
      <c r="W32" s="26">
        <v>101226</v>
      </c>
      <c r="X32">
        <f t="shared" si="8"/>
        <v>16</v>
      </c>
      <c r="Y32">
        <v>120</v>
      </c>
    </row>
    <row r="33" spans="1:25">
      <c r="A33" s="56">
        <f t="shared" si="1"/>
        <v>1.7647058823529412E-2</v>
      </c>
      <c r="B33" s="45">
        <v>602</v>
      </c>
      <c r="C33" s="22" t="s">
        <v>148</v>
      </c>
      <c r="D33" s="46" t="s">
        <v>1007</v>
      </c>
      <c r="E33" s="22">
        <v>500602</v>
      </c>
      <c r="F33" t="str">
        <f t="shared" si="9"/>
        <v>101212,2/101213,2/101214,2/104101,15</v>
      </c>
      <c r="G33" s="22">
        <v>450</v>
      </c>
      <c r="H33" s="22">
        <v>10000</v>
      </c>
      <c r="I33" s="49" t="s">
        <v>213</v>
      </c>
      <c r="J33" s="49" t="s">
        <v>244</v>
      </c>
      <c r="K33" s="49" t="s">
        <v>231</v>
      </c>
      <c r="L33" s="49" t="s">
        <v>216</v>
      </c>
      <c r="M33" s="49">
        <v>2</v>
      </c>
      <c r="N33" s="49">
        <v>2</v>
      </c>
      <c r="O33" s="49">
        <v>2</v>
      </c>
      <c r="P33" s="49">
        <v>15</v>
      </c>
      <c r="Q33">
        <f t="shared" si="3"/>
        <v>300</v>
      </c>
      <c r="R33" t="str">
        <f t="shared" si="10"/>
        <v>101212,2</v>
      </c>
      <c r="S33" t="str">
        <f t="shared" si="11"/>
        <v>101213,2</v>
      </c>
      <c r="T33" t="str">
        <f t="shared" si="12"/>
        <v>101214,2</v>
      </c>
      <c r="U33" t="str">
        <f t="shared" si="7"/>
        <v>104101,15</v>
      </c>
      <c r="V33" s="53" t="s">
        <v>250</v>
      </c>
      <c r="W33" s="26">
        <v>101227</v>
      </c>
      <c r="X33">
        <f t="shared" si="8"/>
        <v>16</v>
      </c>
      <c r="Y33">
        <v>120</v>
      </c>
    </row>
    <row r="34" spans="1:25">
      <c r="A34" s="56">
        <f t="shared" si="1"/>
        <v>1.3725490196078431E-2</v>
      </c>
      <c r="B34" s="45">
        <v>603</v>
      </c>
      <c r="C34" s="22" t="s">
        <v>148</v>
      </c>
      <c r="D34" s="46" t="s">
        <v>1008</v>
      </c>
      <c r="E34" s="22">
        <v>500603</v>
      </c>
      <c r="F34" t="str">
        <f t="shared" si="9"/>
        <v>101203,2/101220,2/101217,2/104101,20</v>
      </c>
      <c r="G34" s="22">
        <v>350</v>
      </c>
      <c r="H34" s="22">
        <v>15000</v>
      </c>
      <c r="I34" s="49" t="s">
        <v>248</v>
      </c>
      <c r="J34" s="49" t="s">
        <v>230</v>
      </c>
      <c r="K34" s="49" t="s">
        <v>228</v>
      </c>
      <c r="L34" s="49" t="s">
        <v>216</v>
      </c>
      <c r="M34" s="49">
        <v>2</v>
      </c>
      <c r="N34" s="49">
        <v>2</v>
      </c>
      <c r="O34" s="49">
        <v>2</v>
      </c>
      <c r="P34" s="49">
        <v>20</v>
      </c>
      <c r="Q34">
        <f t="shared" si="3"/>
        <v>560</v>
      </c>
      <c r="R34" t="str">
        <f t="shared" si="10"/>
        <v>101203,2</v>
      </c>
      <c r="S34" t="str">
        <f t="shared" si="11"/>
        <v>101220,2</v>
      </c>
      <c r="T34" t="str">
        <f t="shared" si="12"/>
        <v>101217,2</v>
      </c>
      <c r="U34" t="str">
        <f t="shared" si="7"/>
        <v>104101,20</v>
      </c>
      <c r="V34" s="53" t="s">
        <v>236</v>
      </c>
      <c r="W34" s="26">
        <v>101228</v>
      </c>
      <c r="X34">
        <f t="shared" si="8"/>
        <v>18</v>
      </c>
      <c r="Y34">
        <v>120</v>
      </c>
    </row>
    <row r="35" spans="1:25">
      <c r="A35" s="56">
        <f t="shared" si="1"/>
        <v>5.8823529411764705E-3</v>
      </c>
      <c r="B35" s="45">
        <v>604</v>
      </c>
      <c r="C35" s="22" t="s">
        <v>148</v>
      </c>
      <c r="D35" s="46" t="s">
        <v>1009</v>
      </c>
      <c r="E35" s="22">
        <v>500604</v>
      </c>
      <c r="F35" t="str">
        <f t="shared" si="9"/>
        <v>101229,2/101227,2/101228,2/104102,15</v>
      </c>
      <c r="G35" s="46">
        <v>150</v>
      </c>
      <c r="H35" s="22">
        <v>20000</v>
      </c>
      <c r="I35" s="49" t="s">
        <v>237</v>
      </c>
      <c r="J35" s="49" t="s">
        <v>250</v>
      </c>
      <c r="K35" s="49" t="s">
        <v>236</v>
      </c>
      <c r="L35" s="49" t="s">
        <v>217</v>
      </c>
      <c r="M35" s="49">
        <v>2</v>
      </c>
      <c r="N35" s="49">
        <v>2</v>
      </c>
      <c r="O35" s="49">
        <v>2</v>
      </c>
      <c r="P35" s="49">
        <v>15</v>
      </c>
      <c r="Q35">
        <f t="shared" si="3"/>
        <v>840</v>
      </c>
      <c r="R35" t="str">
        <f t="shared" si="10"/>
        <v>101229,2</v>
      </c>
      <c r="S35" t="str">
        <f t="shared" si="11"/>
        <v>101227,2</v>
      </c>
      <c r="T35" t="str">
        <f t="shared" si="12"/>
        <v>101228,2</v>
      </c>
      <c r="U35" t="str">
        <f t="shared" si="7"/>
        <v>104102,15</v>
      </c>
      <c r="V35" s="53" t="s">
        <v>237</v>
      </c>
      <c r="W35" s="26">
        <v>101229</v>
      </c>
      <c r="X35">
        <f t="shared" si="8"/>
        <v>16</v>
      </c>
      <c r="Y35">
        <v>120</v>
      </c>
    </row>
    <row r="36" spans="1:25">
      <c r="A36" s="56">
        <f t="shared" si="1"/>
        <v>1.9607843137254902E-3</v>
      </c>
      <c r="B36" s="45">
        <v>605</v>
      </c>
      <c r="C36" s="22" t="s">
        <v>148</v>
      </c>
      <c r="D36" s="46" t="s">
        <v>1010</v>
      </c>
      <c r="E36" s="22">
        <v>500605</v>
      </c>
      <c r="F36" t="str">
        <f t="shared" si="9"/>
        <v>101231,2/101232,2/101234,2/104102,20</v>
      </c>
      <c r="G36" s="46">
        <v>50</v>
      </c>
      <c r="H36" s="22">
        <v>30000</v>
      </c>
      <c r="I36" s="49" t="s">
        <v>211</v>
      </c>
      <c r="J36" s="49" t="s">
        <v>252</v>
      </c>
      <c r="K36" s="49" t="s">
        <v>241</v>
      </c>
      <c r="L36" s="49" t="s">
        <v>217</v>
      </c>
      <c r="M36" s="49">
        <v>2</v>
      </c>
      <c r="N36" s="49">
        <v>2</v>
      </c>
      <c r="O36" s="49">
        <v>2</v>
      </c>
      <c r="P36" s="49">
        <v>20</v>
      </c>
      <c r="Q36">
        <f t="shared" si="3"/>
        <v>1120</v>
      </c>
      <c r="R36" t="str">
        <f t="shared" si="10"/>
        <v>101231,2</v>
      </c>
      <c r="S36" t="str">
        <f t="shared" si="11"/>
        <v>101232,2</v>
      </c>
      <c r="T36" t="str">
        <f t="shared" si="12"/>
        <v>101234,2</v>
      </c>
      <c r="U36" t="str">
        <f t="shared" si="7"/>
        <v>104102,20</v>
      </c>
      <c r="V36" s="52" t="s">
        <v>253</v>
      </c>
      <c r="W36" s="26">
        <v>101230</v>
      </c>
      <c r="X36">
        <f t="shared" si="8"/>
        <v>16</v>
      </c>
      <c r="Y36">
        <v>160</v>
      </c>
    </row>
    <row r="37" spans="1:25">
      <c r="A37" s="56">
        <f t="shared" si="1"/>
        <v>1.9607843137254902E-2</v>
      </c>
      <c r="B37" s="45">
        <v>701</v>
      </c>
      <c r="C37" s="22" t="s">
        <v>149</v>
      </c>
      <c r="D37" s="46" t="s">
        <v>1011</v>
      </c>
      <c r="E37" s="22">
        <v>500701</v>
      </c>
      <c r="F37" t="str">
        <f t="shared" si="9"/>
        <v>101210,2/101209,2/101222,2/104101,10</v>
      </c>
      <c r="G37" s="22">
        <v>500</v>
      </c>
      <c r="H37" s="22">
        <v>5000</v>
      </c>
      <c r="I37" s="49" t="s">
        <v>209</v>
      </c>
      <c r="J37" s="49" t="s">
        <v>208</v>
      </c>
      <c r="K37" s="49" t="s">
        <v>204</v>
      </c>
      <c r="L37" s="49" t="s">
        <v>216</v>
      </c>
      <c r="M37" s="49">
        <v>2</v>
      </c>
      <c r="N37" s="49">
        <v>2</v>
      </c>
      <c r="O37" s="49">
        <v>2</v>
      </c>
      <c r="P37" s="49">
        <v>10</v>
      </c>
      <c r="Q37">
        <f t="shared" si="3"/>
        <v>280</v>
      </c>
      <c r="R37" t="str">
        <f t="shared" si="10"/>
        <v>101210,2</v>
      </c>
      <c r="S37" t="str">
        <f t="shared" si="11"/>
        <v>101209,2</v>
      </c>
      <c r="T37" t="str">
        <f t="shared" si="12"/>
        <v>101222,2</v>
      </c>
      <c r="U37" t="str">
        <f t="shared" si="7"/>
        <v>104101,10</v>
      </c>
      <c r="V37" s="52" t="s">
        <v>211</v>
      </c>
      <c r="W37" s="26">
        <v>101231</v>
      </c>
      <c r="X37">
        <f t="shared" si="8"/>
        <v>18</v>
      </c>
      <c r="Y37">
        <v>160</v>
      </c>
    </row>
    <row r="38" spans="1:25">
      <c r="A38" s="56">
        <f t="shared" si="1"/>
        <v>1.7647058823529412E-2</v>
      </c>
      <c r="B38" s="45">
        <v>702</v>
      </c>
      <c r="C38" s="22" t="s">
        <v>149</v>
      </c>
      <c r="D38" s="46" t="s">
        <v>1012</v>
      </c>
      <c r="E38" s="22">
        <v>500702</v>
      </c>
      <c r="F38" t="str">
        <f t="shared" si="9"/>
        <v>101214,2/101213,2/101215,2/104101,15</v>
      </c>
      <c r="G38" s="22">
        <v>450</v>
      </c>
      <c r="H38" s="22">
        <v>10000</v>
      </c>
      <c r="I38" s="49" t="s">
        <v>231</v>
      </c>
      <c r="J38" s="49" t="s">
        <v>244</v>
      </c>
      <c r="K38" s="49" t="s">
        <v>233</v>
      </c>
      <c r="L38" s="49" t="s">
        <v>216</v>
      </c>
      <c r="M38" s="49">
        <v>2</v>
      </c>
      <c r="N38" s="49">
        <v>2</v>
      </c>
      <c r="O38" s="49">
        <v>2</v>
      </c>
      <c r="P38" s="49">
        <v>15</v>
      </c>
      <c r="Q38">
        <f t="shared" si="3"/>
        <v>300</v>
      </c>
      <c r="R38" t="str">
        <f t="shared" si="10"/>
        <v>101214,2</v>
      </c>
      <c r="S38" t="str">
        <f t="shared" si="11"/>
        <v>101213,2</v>
      </c>
      <c r="T38" t="str">
        <f t="shared" si="12"/>
        <v>101215,2</v>
      </c>
      <c r="U38" t="str">
        <f t="shared" si="7"/>
        <v>104101,15</v>
      </c>
      <c r="V38" s="52" t="s">
        <v>252</v>
      </c>
      <c r="W38" s="26">
        <v>101232</v>
      </c>
      <c r="X38">
        <f t="shared" si="8"/>
        <v>16</v>
      </c>
      <c r="Y38">
        <v>160</v>
      </c>
    </row>
    <row r="39" spans="1:25">
      <c r="A39" s="56">
        <f t="shared" si="1"/>
        <v>1.3725490196078431E-2</v>
      </c>
      <c r="B39" s="45">
        <v>703</v>
      </c>
      <c r="C39" s="22" t="s">
        <v>149</v>
      </c>
      <c r="D39" s="46" t="s">
        <v>1013</v>
      </c>
      <c r="E39" s="22">
        <v>500703</v>
      </c>
      <c r="F39" t="str">
        <f t="shared" si="9"/>
        <v>101217,2/101218,2/101220,2/104101,20</v>
      </c>
      <c r="G39" s="22">
        <v>350</v>
      </c>
      <c r="H39" s="22">
        <v>15000</v>
      </c>
      <c r="I39" s="49" t="s">
        <v>228</v>
      </c>
      <c r="J39" s="49" t="s">
        <v>246</v>
      </c>
      <c r="K39" s="49" t="s">
        <v>230</v>
      </c>
      <c r="L39" s="49" t="s">
        <v>216</v>
      </c>
      <c r="M39" s="49">
        <v>2</v>
      </c>
      <c r="N39" s="49">
        <v>2</v>
      </c>
      <c r="O39" s="49">
        <v>2</v>
      </c>
      <c r="P39" s="49">
        <v>20</v>
      </c>
      <c r="Q39">
        <f t="shared" si="3"/>
        <v>560</v>
      </c>
      <c r="R39" t="str">
        <f t="shared" si="10"/>
        <v>101217,2</v>
      </c>
      <c r="S39" t="str">
        <f t="shared" si="11"/>
        <v>101218,2</v>
      </c>
      <c r="T39" t="str">
        <f t="shared" si="12"/>
        <v>101220,2</v>
      </c>
      <c r="U39" t="str">
        <f t="shared" si="7"/>
        <v>104101,20</v>
      </c>
      <c r="V39" s="52" t="s">
        <v>242</v>
      </c>
      <c r="W39" s="26">
        <v>101233</v>
      </c>
      <c r="X39">
        <f t="shared" si="8"/>
        <v>16</v>
      </c>
      <c r="Y39">
        <v>160</v>
      </c>
    </row>
    <row r="40" spans="1:25">
      <c r="A40" s="56">
        <f t="shared" si="1"/>
        <v>5.8823529411764705E-3</v>
      </c>
      <c r="B40" s="45">
        <v>704</v>
      </c>
      <c r="C40" s="22" t="s">
        <v>149</v>
      </c>
      <c r="D40" s="46" t="s">
        <v>1014</v>
      </c>
      <c r="E40" s="22">
        <v>500704</v>
      </c>
      <c r="F40" t="str">
        <f t="shared" si="9"/>
        <v>101225,2/101229,2/101226,2/104102,15</v>
      </c>
      <c r="G40" s="46">
        <v>150</v>
      </c>
      <c r="H40" s="22">
        <v>20000</v>
      </c>
      <c r="I40" s="49" t="s">
        <v>207</v>
      </c>
      <c r="J40" s="49" t="s">
        <v>237</v>
      </c>
      <c r="K40" s="49" t="s">
        <v>239</v>
      </c>
      <c r="L40" s="49" t="s">
        <v>217</v>
      </c>
      <c r="M40" s="49">
        <v>2</v>
      </c>
      <c r="N40" s="49">
        <v>2</v>
      </c>
      <c r="O40" s="49">
        <v>2</v>
      </c>
      <c r="P40" s="49">
        <v>15</v>
      </c>
      <c r="Q40">
        <f t="shared" si="3"/>
        <v>840</v>
      </c>
      <c r="R40" t="str">
        <f t="shared" si="10"/>
        <v>101225,2</v>
      </c>
      <c r="S40" t="str">
        <f t="shared" si="11"/>
        <v>101229,2</v>
      </c>
      <c r="T40" t="str">
        <f t="shared" si="12"/>
        <v>101226,2</v>
      </c>
      <c r="U40" t="str">
        <f t="shared" si="7"/>
        <v>104102,15</v>
      </c>
      <c r="V40" s="52" t="s">
        <v>241</v>
      </c>
      <c r="W40" s="26">
        <v>101234</v>
      </c>
      <c r="X40">
        <f t="shared" si="8"/>
        <v>18</v>
      </c>
      <c r="Y40">
        <v>160</v>
      </c>
    </row>
    <row r="41" spans="1:25">
      <c r="A41" s="56">
        <f t="shared" si="1"/>
        <v>1.9607843137254902E-3</v>
      </c>
      <c r="B41" s="45">
        <v>705</v>
      </c>
      <c r="C41" s="22" t="s">
        <v>149</v>
      </c>
      <c r="D41" s="46" t="s">
        <v>1015</v>
      </c>
      <c r="E41" s="22">
        <v>500705</v>
      </c>
      <c r="F41" t="str">
        <f t="shared" si="9"/>
        <v>101230,2/101233,2/101235,2/104102,20</v>
      </c>
      <c r="G41" s="46">
        <v>50</v>
      </c>
      <c r="H41" s="22">
        <v>30000</v>
      </c>
      <c r="I41" s="49" t="s">
        <v>253</v>
      </c>
      <c r="J41" s="49" t="s">
        <v>242</v>
      </c>
      <c r="K41" s="49" t="s">
        <v>240</v>
      </c>
      <c r="L41" s="49" t="s">
        <v>217</v>
      </c>
      <c r="M41" s="49">
        <v>2</v>
      </c>
      <c r="N41" s="49">
        <v>2</v>
      </c>
      <c r="O41" s="49">
        <v>2</v>
      </c>
      <c r="P41" s="49">
        <v>20</v>
      </c>
      <c r="Q41">
        <f t="shared" si="3"/>
        <v>1120</v>
      </c>
      <c r="R41" t="str">
        <f t="shared" si="10"/>
        <v>101230,2</v>
      </c>
      <c r="S41" t="str">
        <f t="shared" si="11"/>
        <v>101233,2</v>
      </c>
      <c r="T41" t="str">
        <f t="shared" si="12"/>
        <v>101235,2</v>
      </c>
      <c r="U41" t="str">
        <f t="shared" si="7"/>
        <v>104102,20</v>
      </c>
      <c r="V41" s="52" t="s">
        <v>240</v>
      </c>
      <c r="W41" s="26">
        <v>101235</v>
      </c>
      <c r="X41">
        <f t="shared" si="8"/>
        <v>18</v>
      </c>
      <c r="Y41">
        <v>160</v>
      </c>
    </row>
    <row r="42" spans="1:25">
      <c r="A42" s="56">
        <f t="shared" si="1"/>
        <v>1.9607843137254902E-2</v>
      </c>
      <c r="B42" s="45">
        <v>801</v>
      </c>
      <c r="C42" s="22" t="s">
        <v>150</v>
      </c>
      <c r="D42" s="46" t="s">
        <v>1016</v>
      </c>
      <c r="E42" s="22">
        <v>500801</v>
      </c>
      <c r="F42" t="str">
        <f t="shared" si="9"/>
        <v>101207,2/101222,2/101223,2/104101,10</v>
      </c>
      <c r="G42" s="22">
        <v>500</v>
      </c>
      <c r="H42" s="22">
        <v>5000</v>
      </c>
      <c r="I42" s="49" t="s">
        <v>222</v>
      </c>
      <c r="J42" s="49" t="s">
        <v>204</v>
      </c>
      <c r="K42" s="49" t="s">
        <v>224</v>
      </c>
      <c r="L42" s="49" t="s">
        <v>216</v>
      </c>
      <c r="M42" s="49">
        <v>2</v>
      </c>
      <c r="N42" s="49">
        <v>2</v>
      </c>
      <c r="O42" s="49">
        <v>2</v>
      </c>
      <c r="P42" s="49">
        <v>10</v>
      </c>
      <c r="Q42">
        <f t="shared" si="3"/>
        <v>280</v>
      </c>
      <c r="R42" t="str">
        <f t="shared" si="10"/>
        <v>101207,2</v>
      </c>
      <c r="S42" t="str">
        <f t="shared" si="11"/>
        <v>101222,2</v>
      </c>
      <c r="T42" t="str">
        <f t="shared" si="12"/>
        <v>101223,2</v>
      </c>
      <c r="U42" t="str">
        <f t="shared" si="7"/>
        <v>104101,10</v>
      </c>
      <c r="V42" s="57" t="s">
        <v>214</v>
      </c>
      <c r="W42" s="58">
        <v>104101</v>
      </c>
      <c r="X42">
        <f t="shared" ref="X42:X43" si="13">CountSource(R$7:U$1000,W42)</f>
        <v>765</v>
      </c>
      <c r="Y42">
        <v>4</v>
      </c>
    </row>
    <row r="43" spans="1:25">
      <c r="A43" s="56">
        <f t="shared" si="1"/>
        <v>1.7647058823529412E-2</v>
      </c>
      <c r="B43" s="45">
        <v>802</v>
      </c>
      <c r="C43" s="22" t="s">
        <v>150</v>
      </c>
      <c r="D43" s="46" t="s">
        <v>1017</v>
      </c>
      <c r="E43" s="22">
        <v>500802</v>
      </c>
      <c r="F43" t="str">
        <f t="shared" si="9"/>
        <v>101214,2/101202,2/101212,2/104101,15</v>
      </c>
      <c r="G43" s="22">
        <v>450</v>
      </c>
      <c r="H43" s="22">
        <v>10000</v>
      </c>
      <c r="I43" s="49" t="s">
        <v>231</v>
      </c>
      <c r="J43" s="49" t="s">
        <v>198</v>
      </c>
      <c r="K43" s="49" t="s">
        <v>213</v>
      </c>
      <c r="L43" s="49" t="s">
        <v>216</v>
      </c>
      <c r="M43" s="49">
        <v>2</v>
      </c>
      <c r="N43" s="49">
        <v>2</v>
      </c>
      <c r="O43" s="49">
        <v>2</v>
      </c>
      <c r="P43" s="49">
        <v>15</v>
      </c>
      <c r="Q43">
        <f t="shared" si="3"/>
        <v>300</v>
      </c>
      <c r="R43" t="str">
        <f t="shared" si="10"/>
        <v>101214,2</v>
      </c>
      <c r="S43" t="str">
        <f t="shared" si="11"/>
        <v>101202,2</v>
      </c>
      <c r="T43" t="str">
        <f t="shared" si="12"/>
        <v>101212,2</v>
      </c>
      <c r="U43" t="str">
        <f t="shared" si="7"/>
        <v>104101,15</v>
      </c>
      <c r="V43" s="57" t="s">
        <v>215</v>
      </c>
      <c r="W43" s="58">
        <v>104102</v>
      </c>
      <c r="X43">
        <f t="shared" si="13"/>
        <v>595</v>
      </c>
      <c r="Y43">
        <v>8</v>
      </c>
    </row>
    <row r="44" spans="1:25">
      <c r="A44" s="56">
        <f t="shared" si="1"/>
        <v>1.3725490196078431E-2</v>
      </c>
      <c r="B44" s="45">
        <v>803</v>
      </c>
      <c r="C44" s="22" t="s">
        <v>150</v>
      </c>
      <c r="D44" s="46" t="s">
        <v>1018</v>
      </c>
      <c r="E44" s="22">
        <v>500803</v>
      </c>
      <c r="F44" t="str">
        <f t="shared" si="9"/>
        <v>101220,2/101203,2/101218,2/104101,20</v>
      </c>
      <c r="G44" s="22">
        <v>350</v>
      </c>
      <c r="H44" s="22">
        <v>15000</v>
      </c>
      <c r="I44" s="49" t="s">
        <v>230</v>
      </c>
      <c r="J44" s="49" t="s">
        <v>248</v>
      </c>
      <c r="K44" s="49" t="s">
        <v>246</v>
      </c>
      <c r="L44" s="49" t="s">
        <v>216</v>
      </c>
      <c r="M44" s="49">
        <v>2</v>
      </c>
      <c r="N44" s="49">
        <v>2</v>
      </c>
      <c r="O44" s="49">
        <v>2</v>
      </c>
      <c r="P44" s="49">
        <v>20</v>
      </c>
      <c r="Q44">
        <f t="shared" si="3"/>
        <v>560</v>
      </c>
      <c r="R44" t="str">
        <f t="shared" si="10"/>
        <v>101220,2</v>
      </c>
      <c r="S44" t="str">
        <f t="shared" si="11"/>
        <v>101203,2</v>
      </c>
      <c r="T44" t="str">
        <f t="shared" si="12"/>
        <v>101218,2</v>
      </c>
      <c r="U44" t="str">
        <f t="shared" si="7"/>
        <v>104101,20</v>
      </c>
      <c r="V44" s="57"/>
      <c r="W44" s="58"/>
    </row>
    <row r="45" spans="1:25">
      <c r="A45" s="56">
        <f t="shared" si="1"/>
        <v>5.8823529411764705E-3</v>
      </c>
      <c r="B45" s="45">
        <v>804</v>
      </c>
      <c r="C45" s="22" t="s">
        <v>150</v>
      </c>
      <c r="D45" s="46" t="s">
        <v>1019</v>
      </c>
      <c r="E45" s="22">
        <v>500804</v>
      </c>
      <c r="F45" t="str">
        <f t="shared" si="9"/>
        <v>101226,2/101227,2/101224,2/104102,15</v>
      </c>
      <c r="G45" s="46">
        <v>150</v>
      </c>
      <c r="H45" s="22">
        <v>20000</v>
      </c>
      <c r="I45" s="49" t="s">
        <v>239</v>
      </c>
      <c r="J45" s="49" t="s">
        <v>250</v>
      </c>
      <c r="K45" s="49" t="s">
        <v>249</v>
      </c>
      <c r="L45" s="49" t="s">
        <v>217</v>
      </c>
      <c r="M45" s="49">
        <v>2</v>
      </c>
      <c r="N45" s="49">
        <v>2</v>
      </c>
      <c r="O45" s="49">
        <v>2</v>
      </c>
      <c r="P45" s="49">
        <v>15</v>
      </c>
      <c r="Q45">
        <f t="shared" si="3"/>
        <v>840</v>
      </c>
      <c r="R45" t="str">
        <f t="shared" si="10"/>
        <v>101226,2</v>
      </c>
      <c r="S45" t="str">
        <f t="shared" si="11"/>
        <v>101227,2</v>
      </c>
      <c r="T45" t="str">
        <f t="shared" si="12"/>
        <v>101224,2</v>
      </c>
      <c r="U45" t="str">
        <f t="shared" si="7"/>
        <v>104102,15</v>
      </c>
    </row>
    <row r="46" spans="1:25">
      <c r="A46" s="56">
        <f t="shared" si="1"/>
        <v>1.9607843137254902E-3</v>
      </c>
      <c r="B46" s="45">
        <v>805</v>
      </c>
      <c r="C46" s="22" t="s">
        <v>150</v>
      </c>
      <c r="D46" s="46" t="s">
        <v>1020</v>
      </c>
      <c r="E46" s="22">
        <v>500805</v>
      </c>
      <c r="F46" t="str">
        <f t="shared" si="9"/>
        <v>101234,2/101232,2/101233,2/104102,20</v>
      </c>
      <c r="G46" s="46">
        <v>50</v>
      </c>
      <c r="H46" s="22">
        <v>30000</v>
      </c>
      <c r="I46" s="49" t="s">
        <v>241</v>
      </c>
      <c r="J46" s="49" t="s">
        <v>252</v>
      </c>
      <c r="K46" s="49" t="s">
        <v>242</v>
      </c>
      <c r="L46" s="49" t="s">
        <v>217</v>
      </c>
      <c r="M46" s="49">
        <v>2</v>
      </c>
      <c r="N46" s="49">
        <v>2</v>
      </c>
      <c r="O46" s="49">
        <v>2</v>
      </c>
      <c r="P46" s="49">
        <v>20</v>
      </c>
      <c r="Q46">
        <f t="shared" si="3"/>
        <v>1120</v>
      </c>
      <c r="R46" t="str">
        <f t="shared" si="10"/>
        <v>101234,2</v>
      </c>
      <c r="S46" t="str">
        <f t="shared" si="11"/>
        <v>101232,2</v>
      </c>
      <c r="T46" t="str">
        <f t="shared" si="12"/>
        <v>101233,2</v>
      </c>
      <c r="U46" t="str">
        <f t="shared" si="7"/>
        <v>104102,20</v>
      </c>
    </row>
    <row r="47" spans="1:25">
      <c r="A47" s="56">
        <f t="shared" si="1"/>
        <v>1.9607843137254902E-2</v>
      </c>
      <c r="B47" s="45">
        <v>901</v>
      </c>
      <c r="C47" s="22" t="s">
        <v>151</v>
      </c>
      <c r="D47" s="46" t="s">
        <v>1021</v>
      </c>
      <c r="E47" s="22">
        <v>500901</v>
      </c>
      <c r="F47" t="str">
        <f t="shared" si="9"/>
        <v>101208,2/101204,2/101205,2/104101,10</v>
      </c>
      <c r="G47" s="22">
        <v>500</v>
      </c>
      <c r="H47" s="22">
        <v>5000</v>
      </c>
      <c r="I47" s="49" t="s">
        <v>205</v>
      </c>
      <c r="J47" s="49" t="s">
        <v>199</v>
      </c>
      <c r="K47" s="49" t="s">
        <v>210</v>
      </c>
      <c r="L47" s="49" t="s">
        <v>216</v>
      </c>
      <c r="M47" s="49">
        <v>2</v>
      </c>
      <c r="N47" s="49">
        <v>2</v>
      </c>
      <c r="O47" s="49">
        <v>2</v>
      </c>
      <c r="P47" s="49">
        <v>10</v>
      </c>
      <c r="Q47">
        <f t="shared" si="3"/>
        <v>280</v>
      </c>
      <c r="R47" t="str">
        <f t="shared" si="10"/>
        <v>101208,2</v>
      </c>
      <c r="S47" t="str">
        <f t="shared" si="11"/>
        <v>101204,2</v>
      </c>
      <c r="T47" t="str">
        <f t="shared" si="12"/>
        <v>101205,2</v>
      </c>
      <c r="U47" t="str">
        <f t="shared" si="7"/>
        <v>104101,10</v>
      </c>
    </row>
    <row r="48" spans="1:25">
      <c r="A48" s="56">
        <f t="shared" si="1"/>
        <v>1.7647058823529412E-2</v>
      </c>
      <c r="B48" s="45">
        <v>902</v>
      </c>
      <c r="C48" s="22" t="s">
        <v>151</v>
      </c>
      <c r="D48" s="46" t="s">
        <v>1022</v>
      </c>
      <c r="E48" s="22">
        <v>500901</v>
      </c>
      <c r="F48" t="str">
        <f t="shared" si="9"/>
        <v>101212,2/101214,2/101213,2/104101,15</v>
      </c>
      <c r="G48" s="22">
        <v>450</v>
      </c>
      <c r="H48" s="22">
        <v>10000</v>
      </c>
      <c r="I48" s="49" t="s">
        <v>213</v>
      </c>
      <c r="J48" s="49" t="s">
        <v>231</v>
      </c>
      <c r="K48" s="49" t="s">
        <v>244</v>
      </c>
      <c r="L48" s="49" t="s">
        <v>216</v>
      </c>
      <c r="M48" s="49">
        <v>2</v>
      </c>
      <c r="N48" s="49">
        <v>2</v>
      </c>
      <c r="O48" s="49">
        <v>2</v>
      </c>
      <c r="P48" s="49">
        <v>15</v>
      </c>
      <c r="Q48">
        <f t="shared" si="3"/>
        <v>300</v>
      </c>
      <c r="R48" t="str">
        <f t="shared" si="10"/>
        <v>101212,2</v>
      </c>
      <c r="S48" t="str">
        <f t="shared" si="11"/>
        <v>101214,2</v>
      </c>
      <c r="T48" t="str">
        <f t="shared" si="12"/>
        <v>101213,2</v>
      </c>
      <c r="U48" t="str">
        <f t="shared" si="7"/>
        <v>104101,15</v>
      </c>
    </row>
    <row r="49" spans="1:21">
      <c r="A49" s="56">
        <f t="shared" si="1"/>
        <v>1.3725490196078431E-2</v>
      </c>
      <c r="B49" s="45">
        <v>903</v>
      </c>
      <c r="C49" s="22" t="s">
        <v>151</v>
      </c>
      <c r="D49" s="46" t="s">
        <v>1023</v>
      </c>
      <c r="E49" s="22">
        <v>500901</v>
      </c>
      <c r="F49" t="str">
        <f t="shared" si="9"/>
        <v>101221,2/101219,2/101217,2/104101,20</v>
      </c>
      <c r="G49" s="22">
        <v>350</v>
      </c>
      <c r="H49" s="22">
        <v>15000</v>
      </c>
      <c r="I49" s="49" t="s">
        <v>247</v>
      </c>
      <c r="J49" s="49" t="s">
        <v>227</v>
      </c>
      <c r="K49" s="49" t="s">
        <v>228</v>
      </c>
      <c r="L49" s="49" t="s">
        <v>216</v>
      </c>
      <c r="M49" s="49">
        <v>2</v>
      </c>
      <c r="N49" s="49">
        <v>2</v>
      </c>
      <c r="O49" s="49">
        <v>2</v>
      </c>
      <c r="P49" s="49">
        <v>20</v>
      </c>
      <c r="Q49">
        <f t="shared" si="3"/>
        <v>560</v>
      </c>
      <c r="R49" t="str">
        <f t="shared" si="10"/>
        <v>101221,2</v>
      </c>
      <c r="S49" t="str">
        <f t="shared" si="11"/>
        <v>101219,2</v>
      </c>
      <c r="T49" t="str">
        <f t="shared" si="12"/>
        <v>101217,2</v>
      </c>
      <c r="U49" t="str">
        <f t="shared" si="7"/>
        <v>104101,20</v>
      </c>
    </row>
    <row r="50" spans="1:21">
      <c r="A50" s="56">
        <f t="shared" si="1"/>
        <v>5.8823529411764705E-3</v>
      </c>
      <c r="B50" s="45">
        <v>904</v>
      </c>
      <c r="C50" s="22" t="s">
        <v>151</v>
      </c>
      <c r="D50" s="46" t="s">
        <v>1024</v>
      </c>
      <c r="E50" s="22">
        <v>500901</v>
      </c>
      <c r="F50" t="str">
        <f t="shared" si="9"/>
        <v>101228,2/101229,2/101225,2/104102,15</v>
      </c>
      <c r="G50" s="46">
        <v>150</v>
      </c>
      <c r="H50" s="22">
        <v>20000</v>
      </c>
      <c r="I50" s="49" t="s">
        <v>236</v>
      </c>
      <c r="J50" s="49" t="s">
        <v>237</v>
      </c>
      <c r="K50" s="49" t="s">
        <v>207</v>
      </c>
      <c r="L50" s="49" t="s">
        <v>217</v>
      </c>
      <c r="M50" s="49">
        <v>2</v>
      </c>
      <c r="N50" s="49">
        <v>2</v>
      </c>
      <c r="O50" s="49">
        <v>2</v>
      </c>
      <c r="P50" s="49">
        <v>15</v>
      </c>
      <c r="Q50">
        <f t="shared" si="3"/>
        <v>840</v>
      </c>
      <c r="R50" t="str">
        <f t="shared" si="10"/>
        <v>101228,2</v>
      </c>
      <c r="S50" t="str">
        <f t="shared" si="11"/>
        <v>101229,2</v>
      </c>
      <c r="T50" t="str">
        <f t="shared" si="12"/>
        <v>101225,2</v>
      </c>
      <c r="U50" t="str">
        <f t="shared" si="7"/>
        <v>104102,15</v>
      </c>
    </row>
    <row r="51" spans="1:21">
      <c r="A51" s="56">
        <f t="shared" si="1"/>
        <v>1.9607843137254902E-3</v>
      </c>
      <c r="B51" s="45">
        <v>905</v>
      </c>
      <c r="C51" s="22" t="s">
        <v>151</v>
      </c>
      <c r="D51" s="46" t="s">
        <v>1025</v>
      </c>
      <c r="E51" s="22">
        <v>500901</v>
      </c>
      <c r="F51" t="str">
        <f t="shared" si="9"/>
        <v>101230,2/101231,2/101235,2/104102,20</v>
      </c>
      <c r="G51" s="46">
        <v>50</v>
      </c>
      <c r="H51" s="22">
        <v>30000</v>
      </c>
      <c r="I51" s="49" t="s">
        <v>253</v>
      </c>
      <c r="J51" s="49" t="s">
        <v>211</v>
      </c>
      <c r="K51" s="49" t="s">
        <v>240</v>
      </c>
      <c r="L51" s="49" t="s">
        <v>217</v>
      </c>
      <c r="M51" s="49">
        <v>2</v>
      </c>
      <c r="N51" s="49">
        <v>2</v>
      </c>
      <c r="O51" s="49">
        <v>2</v>
      </c>
      <c r="P51" s="49">
        <v>20</v>
      </c>
      <c r="Q51">
        <f t="shared" si="3"/>
        <v>1120</v>
      </c>
      <c r="R51" t="str">
        <f t="shared" si="10"/>
        <v>101230,2</v>
      </c>
      <c r="S51" t="str">
        <f t="shared" si="11"/>
        <v>101231,2</v>
      </c>
      <c r="T51" t="str">
        <f t="shared" si="12"/>
        <v>101235,2</v>
      </c>
      <c r="U51" t="str">
        <f t="shared" si="7"/>
        <v>104102,20</v>
      </c>
    </row>
    <row r="52" spans="1:21">
      <c r="A52" s="56">
        <f t="shared" si="1"/>
        <v>1.9607843137254902E-2</v>
      </c>
      <c r="B52" s="45">
        <v>1001</v>
      </c>
      <c r="C52" s="22" t="s">
        <v>152</v>
      </c>
      <c r="D52" s="46" t="s">
        <v>976</v>
      </c>
      <c r="E52" s="46">
        <v>501001</v>
      </c>
      <c r="F52" t="str">
        <f t="shared" si="9"/>
        <v>101201,2/101207,2/101206,2/104101,10</v>
      </c>
      <c r="G52" s="22">
        <v>500</v>
      </c>
      <c r="H52" s="22">
        <v>5000</v>
      </c>
      <c r="I52" s="49" t="s">
        <v>185</v>
      </c>
      <c r="J52" s="49" t="s">
        <v>222</v>
      </c>
      <c r="K52" s="49" t="s">
        <v>212</v>
      </c>
      <c r="L52" s="49" t="s">
        <v>216</v>
      </c>
      <c r="M52" s="49">
        <v>2</v>
      </c>
      <c r="N52" s="49">
        <v>2</v>
      </c>
      <c r="O52" s="49">
        <v>2</v>
      </c>
      <c r="P52" s="49">
        <v>10</v>
      </c>
      <c r="Q52">
        <f t="shared" si="3"/>
        <v>280</v>
      </c>
      <c r="R52" t="str">
        <f t="shared" si="10"/>
        <v>101201,2</v>
      </c>
      <c r="S52" t="str">
        <f t="shared" si="11"/>
        <v>101207,2</v>
      </c>
      <c r="T52" t="str">
        <f t="shared" si="12"/>
        <v>101206,2</v>
      </c>
      <c r="U52" t="str">
        <f t="shared" si="7"/>
        <v>104101,10</v>
      </c>
    </row>
    <row r="53" spans="1:21">
      <c r="A53" s="56">
        <f t="shared" si="1"/>
        <v>1.7647058823529412E-2</v>
      </c>
      <c r="B53" s="45">
        <v>1002</v>
      </c>
      <c r="C53" s="22" t="s">
        <v>152</v>
      </c>
      <c r="D53" s="46" t="s">
        <v>977</v>
      </c>
      <c r="E53" s="46">
        <v>501002</v>
      </c>
      <c r="F53" t="str">
        <f t="shared" si="9"/>
        <v>101212,2/101202,2/101216,2/104101,15</v>
      </c>
      <c r="G53" s="22">
        <v>450</v>
      </c>
      <c r="H53" s="22">
        <v>10000</v>
      </c>
      <c r="I53" s="49" t="s">
        <v>213</v>
      </c>
      <c r="J53" s="49" t="s">
        <v>198</v>
      </c>
      <c r="K53" s="49" t="s">
        <v>206</v>
      </c>
      <c r="L53" s="49" t="s">
        <v>216</v>
      </c>
      <c r="M53" s="49">
        <v>2</v>
      </c>
      <c r="N53" s="49">
        <v>2</v>
      </c>
      <c r="O53" s="49">
        <v>2</v>
      </c>
      <c r="P53" s="49">
        <v>15</v>
      </c>
      <c r="Q53">
        <f t="shared" si="3"/>
        <v>300</v>
      </c>
      <c r="R53" t="str">
        <f t="shared" si="10"/>
        <v>101212,2</v>
      </c>
      <c r="S53" t="str">
        <f t="shared" si="11"/>
        <v>101202,2</v>
      </c>
      <c r="T53" t="str">
        <f t="shared" si="12"/>
        <v>101216,2</v>
      </c>
      <c r="U53" t="str">
        <f t="shared" si="7"/>
        <v>104101,15</v>
      </c>
    </row>
    <row r="54" spans="1:21">
      <c r="A54" s="56">
        <f t="shared" si="1"/>
        <v>1.3725490196078431E-2</v>
      </c>
      <c r="B54" s="45">
        <v>1003</v>
      </c>
      <c r="C54" s="22" t="s">
        <v>152</v>
      </c>
      <c r="D54" s="46" t="s">
        <v>978</v>
      </c>
      <c r="E54" s="46">
        <v>501003</v>
      </c>
      <c r="F54" t="str">
        <f t="shared" si="9"/>
        <v>101203,2/101219,2/101221,2/104101,20</v>
      </c>
      <c r="G54" s="22">
        <v>350</v>
      </c>
      <c r="H54" s="22">
        <v>15000</v>
      </c>
      <c r="I54" s="49" t="s">
        <v>248</v>
      </c>
      <c r="J54" s="49" t="s">
        <v>227</v>
      </c>
      <c r="K54" s="49" t="s">
        <v>247</v>
      </c>
      <c r="L54" s="49" t="s">
        <v>216</v>
      </c>
      <c r="M54" s="49">
        <v>2</v>
      </c>
      <c r="N54" s="49">
        <v>2</v>
      </c>
      <c r="O54" s="49">
        <v>2</v>
      </c>
      <c r="P54" s="49">
        <v>20</v>
      </c>
      <c r="Q54">
        <f t="shared" si="3"/>
        <v>560</v>
      </c>
      <c r="R54" t="str">
        <f t="shared" si="10"/>
        <v>101203,2</v>
      </c>
      <c r="S54" t="str">
        <f t="shared" si="11"/>
        <v>101219,2</v>
      </c>
      <c r="T54" t="str">
        <f t="shared" si="12"/>
        <v>101221,2</v>
      </c>
      <c r="U54" t="str">
        <f t="shared" si="7"/>
        <v>104101,20</v>
      </c>
    </row>
    <row r="55" spans="1:21">
      <c r="A55" s="56">
        <f t="shared" si="1"/>
        <v>5.8823529411764705E-3</v>
      </c>
      <c r="B55" s="45">
        <v>1004</v>
      </c>
      <c r="C55" s="22" t="s">
        <v>152</v>
      </c>
      <c r="D55" s="46" t="s">
        <v>979</v>
      </c>
      <c r="E55" s="46">
        <v>501004</v>
      </c>
      <c r="F55" t="str">
        <f t="shared" si="9"/>
        <v>101227,2/101224,2/101225,2/104102,15</v>
      </c>
      <c r="G55" s="46">
        <v>150</v>
      </c>
      <c r="H55" s="22">
        <v>20000</v>
      </c>
      <c r="I55" s="49" t="s">
        <v>250</v>
      </c>
      <c r="J55" s="49" t="s">
        <v>249</v>
      </c>
      <c r="K55" s="49" t="s">
        <v>207</v>
      </c>
      <c r="L55" s="49" t="s">
        <v>217</v>
      </c>
      <c r="M55" s="49">
        <v>2</v>
      </c>
      <c r="N55" s="49">
        <v>2</v>
      </c>
      <c r="O55" s="49">
        <v>2</v>
      </c>
      <c r="P55" s="49">
        <v>15</v>
      </c>
      <c r="Q55">
        <f t="shared" si="3"/>
        <v>840</v>
      </c>
      <c r="R55" t="str">
        <f t="shared" si="10"/>
        <v>101227,2</v>
      </c>
      <c r="S55" t="str">
        <f t="shared" si="11"/>
        <v>101224,2</v>
      </c>
      <c r="T55" t="str">
        <f t="shared" si="12"/>
        <v>101225,2</v>
      </c>
      <c r="U55" t="str">
        <f t="shared" si="7"/>
        <v>104102,15</v>
      </c>
    </row>
    <row r="56" spans="1:21">
      <c r="A56" s="56">
        <f t="shared" si="1"/>
        <v>1.9607843137254902E-3</v>
      </c>
      <c r="B56" s="45">
        <v>1005</v>
      </c>
      <c r="C56" s="22" t="s">
        <v>152</v>
      </c>
      <c r="D56" s="46" t="s">
        <v>980</v>
      </c>
      <c r="E56" s="46">
        <v>501005</v>
      </c>
      <c r="F56" t="str">
        <f t="shared" si="9"/>
        <v>101231,2/101234,2/101233,2/104102,20</v>
      </c>
      <c r="G56" s="46">
        <v>50</v>
      </c>
      <c r="H56" s="22">
        <v>30000</v>
      </c>
      <c r="I56" s="49" t="s">
        <v>211</v>
      </c>
      <c r="J56" s="49" t="s">
        <v>241</v>
      </c>
      <c r="K56" s="49" t="s">
        <v>242</v>
      </c>
      <c r="L56" s="49" t="s">
        <v>217</v>
      </c>
      <c r="M56" s="49">
        <v>2</v>
      </c>
      <c r="N56" s="49">
        <v>2</v>
      </c>
      <c r="O56" s="49">
        <v>2</v>
      </c>
      <c r="P56" s="49">
        <v>20</v>
      </c>
      <c r="Q56">
        <f t="shared" si="3"/>
        <v>1120</v>
      </c>
      <c r="R56" t="str">
        <f t="shared" si="10"/>
        <v>101231,2</v>
      </c>
      <c r="S56" t="str">
        <f t="shared" si="11"/>
        <v>101234,2</v>
      </c>
      <c r="T56" t="str">
        <f t="shared" si="12"/>
        <v>101233,2</v>
      </c>
      <c r="U56" t="str">
        <f t="shared" si="7"/>
        <v>104102,20</v>
      </c>
    </row>
    <row r="57" spans="1:21">
      <c r="A57" s="56">
        <f t="shared" si="1"/>
        <v>1.9607843137254902E-2</v>
      </c>
      <c r="B57" s="45">
        <v>1101</v>
      </c>
      <c r="C57" s="22" t="s">
        <v>153</v>
      </c>
      <c r="D57" s="22" t="s">
        <v>1026</v>
      </c>
      <c r="E57" s="46">
        <v>501101</v>
      </c>
      <c r="F57" t="str">
        <f t="shared" si="9"/>
        <v>101208,2/101223,2/101211,2/104101,10</v>
      </c>
      <c r="G57" s="22">
        <v>500</v>
      </c>
      <c r="H57" s="22">
        <v>5000</v>
      </c>
      <c r="I57" s="49" t="s">
        <v>205</v>
      </c>
      <c r="J57" s="49" t="s">
        <v>224</v>
      </c>
      <c r="K57" s="49" t="s">
        <v>226</v>
      </c>
      <c r="L57" s="49" t="s">
        <v>216</v>
      </c>
      <c r="M57" s="49">
        <v>2</v>
      </c>
      <c r="N57" s="49">
        <v>2</v>
      </c>
      <c r="O57" s="49">
        <v>2</v>
      </c>
      <c r="P57" s="49">
        <v>10</v>
      </c>
      <c r="Q57">
        <f t="shared" si="3"/>
        <v>280</v>
      </c>
      <c r="R57" t="str">
        <f t="shared" si="10"/>
        <v>101208,2</v>
      </c>
      <c r="S57" t="str">
        <f t="shared" si="11"/>
        <v>101223,2</v>
      </c>
      <c r="T57" t="str">
        <f t="shared" si="12"/>
        <v>101211,2</v>
      </c>
      <c r="U57" t="str">
        <f t="shared" si="7"/>
        <v>104101,10</v>
      </c>
    </row>
    <row r="58" spans="1:21">
      <c r="A58" s="56">
        <f t="shared" si="1"/>
        <v>1.7647058823529412E-2</v>
      </c>
      <c r="B58" s="45">
        <v>1102</v>
      </c>
      <c r="C58" s="22" t="s">
        <v>153</v>
      </c>
      <c r="D58" s="22" t="s">
        <v>1027</v>
      </c>
      <c r="E58" s="46">
        <v>501102</v>
      </c>
      <c r="F58" t="str">
        <f t="shared" si="9"/>
        <v>101214,2/101202,2/101213,2/104101,15</v>
      </c>
      <c r="G58" s="22">
        <v>450</v>
      </c>
      <c r="H58" s="22">
        <v>10000</v>
      </c>
      <c r="I58" s="49" t="s">
        <v>231</v>
      </c>
      <c r="J58" s="49" t="s">
        <v>198</v>
      </c>
      <c r="K58" s="49" t="s">
        <v>244</v>
      </c>
      <c r="L58" s="49" t="s">
        <v>216</v>
      </c>
      <c r="M58" s="49">
        <v>2</v>
      </c>
      <c r="N58" s="49">
        <v>2</v>
      </c>
      <c r="O58" s="49">
        <v>2</v>
      </c>
      <c r="P58" s="49">
        <v>15</v>
      </c>
      <c r="Q58">
        <f t="shared" si="3"/>
        <v>300</v>
      </c>
      <c r="R58" t="str">
        <f t="shared" si="10"/>
        <v>101214,2</v>
      </c>
      <c r="S58" t="str">
        <f t="shared" si="11"/>
        <v>101202,2</v>
      </c>
      <c r="T58" t="str">
        <f t="shared" si="12"/>
        <v>101213,2</v>
      </c>
      <c r="U58" t="str">
        <f t="shared" si="7"/>
        <v>104101,15</v>
      </c>
    </row>
    <row r="59" spans="1:21">
      <c r="A59" s="56">
        <f t="shared" si="1"/>
        <v>1.3725490196078431E-2</v>
      </c>
      <c r="B59" s="45">
        <v>1103</v>
      </c>
      <c r="C59" s="22" t="s">
        <v>153</v>
      </c>
      <c r="D59" s="22" t="s">
        <v>1028</v>
      </c>
      <c r="E59" s="46">
        <v>501103</v>
      </c>
      <c r="F59" t="str">
        <f t="shared" si="9"/>
        <v>101203,2/101221,2/101220,2/104101,20</v>
      </c>
      <c r="G59" s="22">
        <v>350</v>
      </c>
      <c r="H59" s="22">
        <v>15000</v>
      </c>
      <c r="I59" s="49" t="s">
        <v>248</v>
      </c>
      <c r="J59" s="49" t="s">
        <v>247</v>
      </c>
      <c r="K59" s="49" t="s">
        <v>230</v>
      </c>
      <c r="L59" s="49" t="s">
        <v>216</v>
      </c>
      <c r="M59" s="49">
        <v>2</v>
      </c>
      <c r="N59" s="49">
        <v>2</v>
      </c>
      <c r="O59" s="49">
        <v>2</v>
      </c>
      <c r="P59" s="49">
        <v>20</v>
      </c>
      <c r="Q59">
        <f t="shared" si="3"/>
        <v>560</v>
      </c>
      <c r="R59" t="str">
        <f t="shared" si="10"/>
        <v>101203,2</v>
      </c>
      <c r="S59" t="str">
        <f t="shared" si="11"/>
        <v>101221,2</v>
      </c>
      <c r="T59" t="str">
        <f t="shared" si="12"/>
        <v>101220,2</v>
      </c>
      <c r="U59" t="str">
        <f t="shared" si="7"/>
        <v>104101,20</v>
      </c>
    </row>
    <row r="60" spans="1:21">
      <c r="A60" s="56">
        <f t="shared" si="1"/>
        <v>5.8823529411764705E-3</v>
      </c>
      <c r="B60" s="45">
        <v>1104</v>
      </c>
      <c r="C60" s="22" t="s">
        <v>153</v>
      </c>
      <c r="D60" s="22" t="s">
        <v>1029</v>
      </c>
      <c r="E60" s="46">
        <v>501104</v>
      </c>
      <c r="F60" t="str">
        <f t="shared" si="9"/>
        <v>101228,2/101227,2/101226,2/104102,15</v>
      </c>
      <c r="G60" s="46">
        <v>150</v>
      </c>
      <c r="H60" s="22">
        <v>20000</v>
      </c>
      <c r="I60" s="49" t="s">
        <v>236</v>
      </c>
      <c r="J60" s="49" t="s">
        <v>250</v>
      </c>
      <c r="K60" s="49" t="s">
        <v>239</v>
      </c>
      <c r="L60" s="49" t="s">
        <v>217</v>
      </c>
      <c r="M60" s="49">
        <v>2</v>
      </c>
      <c r="N60" s="49">
        <v>2</v>
      </c>
      <c r="O60" s="49">
        <v>2</v>
      </c>
      <c r="P60" s="49">
        <v>15</v>
      </c>
      <c r="Q60">
        <f t="shared" si="3"/>
        <v>840</v>
      </c>
      <c r="R60" t="str">
        <f t="shared" si="10"/>
        <v>101228,2</v>
      </c>
      <c r="S60" t="str">
        <f t="shared" si="11"/>
        <v>101227,2</v>
      </c>
      <c r="T60" t="str">
        <f t="shared" si="12"/>
        <v>101226,2</v>
      </c>
      <c r="U60" t="str">
        <f t="shared" si="7"/>
        <v>104102,15</v>
      </c>
    </row>
    <row r="61" spans="1:21">
      <c r="A61" s="56">
        <f t="shared" si="1"/>
        <v>1.9607843137254902E-3</v>
      </c>
      <c r="B61" s="45">
        <v>1105</v>
      </c>
      <c r="C61" s="22" t="s">
        <v>153</v>
      </c>
      <c r="D61" s="22" t="s">
        <v>1030</v>
      </c>
      <c r="E61" s="46">
        <v>501105</v>
      </c>
      <c r="F61" t="str">
        <f t="shared" si="9"/>
        <v>101235,2/101231,2/101234,2/104102,20</v>
      </c>
      <c r="G61" s="46">
        <v>50</v>
      </c>
      <c r="H61" s="22">
        <v>30000</v>
      </c>
      <c r="I61" s="49" t="s">
        <v>240</v>
      </c>
      <c r="J61" s="49" t="s">
        <v>211</v>
      </c>
      <c r="K61" s="49" t="s">
        <v>241</v>
      </c>
      <c r="L61" s="49" t="s">
        <v>217</v>
      </c>
      <c r="M61" s="49">
        <v>2</v>
      </c>
      <c r="N61" s="49">
        <v>2</v>
      </c>
      <c r="O61" s="49">
        <v>2</v>
      </c>
      <c r="P61" s="49">
        <v>20</v>
      </c>
      <c r="Q61">
        <f t="shared" si="3"/>
        <v>1120</v>
      </c>
      <c r="R61" t="str">
        <f t="shared" si="10"/>
        <v>101235,2</v>
      </c>
      <c r="S61" t="str">
        <f t="shared" si="11"/>
        <v>101231,2</v>
      </c>
      <c r="T61" t="str">
        <f t="shared" si="12"/>
        <v>101234,2</v>
      </c>
      <c r="U61" t="str">
        <f t="shared" si="7"/>
        <v>104102,20</v>
      </c>
    </row>
    <row r="62" spans="1:21">
      <c r="A62" s="56">
        <f t="shared" si="1"/>
        <v>1.9607843137254902E-2</v>
      </c>
      <c r="B62" s="45">
        <v>1201</v>
      </c>
      <c r="C62" s="22" t="s">
        <v>154</v>
      </c>
      <c r="D62" s="22" t="s">
        <v>163</v>
      </c>
      <c r="E62" s="46">
        <v>501201</v>
      </c>
      <c r="F62" t="str">
        <f t="shared" si="9"/>
        <v>101204,2/101222,2/101210,2/104101,10</v>
      </c>
      <c r="G62" s="22">
        <v>500</v>
      </c>
      <c r="H62" s="22">
        <v>5000</v>
      </c>
      <c r="I62" s="49" t="s">
        <v>199</v>
      </c>
      <c r="J62" s="49" t="s">
        <v>204</v>
      </c>
      <c r="K62" s="49" t="s">
        <v>255</v>
      </c>
      <c r="L62" s="49" t="s">
        <v>216</v>
      </c>
      <c r="M62" s="49">
        <v>2</v>
      </c>
      <c r="N62" s="49">
        <v>2</v>
      </c>
      <c r="O62" s="49">
        <v>2</v>
      </c>
      <c r="P62" s="49">
        <v>10</v>
      </c>
      <c r="Q62">
        <f t="shared" si="3"/>
        <v>280</v>
      </c>
      <c r="R62" t="str">
        <f t="shared" si="10"/>
        <v>101204,2</v>
      </c>
      <c r="S62" t="str">
        <f t="shared" si="11"/>
        <v>101222,2</v>
      </c>
      <c r="T62" t="str">
        <f t="shared" si="12"/>
        <v>101210,2</v>
      </c>
      <c r="U62" t="str">
        <f t="shared" si="7"/>
        <v>104101,10</v>
      </c>
    </row>
    <row r="63" spans="1:21">
      <c r="A63" s="56">
        <f t="shared" si="1"/>
        <v>1.7647058823529412E-2</v>
      </c>
      <c r="B63" s="45">
        <v>1202</v>
      </c>
      <c r="C63" s="22" t="s">
        <v>154</v>
      </c>
      <c r="D63" s="22" t="s">
        <v>164</v>
      </c>
      <c r="E63" s="46">
        <v>501202</v>
      </c>
      <c r="F63" t="str">
        <f t="shared" si="9"/>
        <v>101216,2/101215,2/101212,2/104101,15</v>
      </c>
      <c r="G63" s="22">
        <v>450</v>
      </c>
      <c r="H63" s="22">
        <v>10000</v>
      </c>
      <c r="I63" s="49" t="s">
        <v>206</v>
      </c>
      <c r="J63" s="49" t="s">
        <v>233</v>
      </c>
      <c r="K63" s="49" t="s">
        <v>213</v>
      </c>
      <c r="L63" s="49" t="s">
        <v>216</v>
      </c>
      <c r="M63" s="49">
        <v>2</v>
      </c>
      <c r="N63" s="49">
        <v>2</v>
      </c>
      <c r="O63" s="49">
        <v>2</v>
      </c>
      <c r="P63" s="49">
        <v>15</v>
      </c>
      <c r="Q63">
        <f t="shared" si="3"/>
        <v>300</v>
      </c>
      <c r="R63" t="str">
        <f t="shared" si="10"/>
        <v>101216,2</v>
      </c>
      <c r="S63" t="str">
        <f t="shared" si="11"/>
        <v>101215,2</v>
      </c>
      <c r="T63" t="str">
        <f t="shared" si="12"/>
        <v>101212,2</v>
      </c>
      <c r="U63" t="str">
        <f t="shared" si="7"/>
        <v>104101,15</v>
      </c>
    </row>
    <row r="64" spans="1:21">
      <c r="A64" s="56">
        <f t="shared" si="1"/>
        <v>1.3725490196078431E-2</v>
      </c>
      <c r="B64" s="45">
        <v>1203</v>
      </c>
      <c r="C64" s="22" t="s">
        <v>154</v>
      </c>
      <c r="D64" s="22" t="s">
        <v>165</v>
      </c>
      <c r="E64" s="46">
        <v>501203</v>
      </c>
      <c r="F64" t="str">
        <f t="shared" si="9"/>
        <v>101221,2/101218,2/101217,2/104101,20</v>
      </c>
      <c r="G64" s="22">
        <v>350</v>
      </c>
      <c r="H64" s="22">
        <v>15000</v>
      </c>
      <c r="I64" s="49" t="s">
        <v>247</v>
      </c>
      <c r="J64" s="49" t="s">
        <v>246</v>
      </c>
      <c r="K64" s="49" t="s">
        <v>228</v>
      </c>
      <c r="L64" s="49" t="s">
        <v>216</v>
      </c>
      <c r="M64" s="49">
        <v>2</v>
      </c>
      <c r="N64" s="49">
        <v>2</v>
      </c>
      <c r="O64" s="49">
        <v>2</v>
      </c>
      <c r="P64" s="49">
        <v>20</v>
      </c>
      <c r="Q64">
        <f t="shared" si="3"/>
        <v>560</v>
      </c>
      <c r="R64" t="str">
        <f t="shared" si="10"/>
        <v>101221,2</v>
      </c>
      <c r="S64" t="str">
        <f t="shared" si="11"/>
        <v>101218,2</v>
      </c>
      <c r="T64" t="str">
        <f t="shared" si="12"/>
        <v>101217,2</v>
      </c>
      <c r="U64" t="str">
        <f t="shared" si="7"/>
        <v>104101,20</v>
      </c>
    </row>
    <row r="65" spans="1:21">
      <c r="A65" s="56">
        <f t="shared" si="1"/>
        <v>5.8823529411764705E-3</v>
      </c>
      <c r="B65" s="45">
        <v>1204</v>
      </c>
      <c r="C65" s="22" t="s">
        <v>154</v>
      </c>
      <c r="D65" s="22" t="s">
        <v>1110</v>
      </c>
      <c r="E65" s="46">
        <v>501204</v>
      </c>
      <c r="F65" t="str">
        <f t="shared" si="9"/>
        <v>101227,2/101225,2/101224,2/104102,15</v>
      </c>
      <c r="G65" s="46">
        <v>150</v>
      </c>
      <c r="H65" s="22">
        <v>20000</v>
      </c>
      <c r="I65" s="49" t="s">
        <v>250</v>
      </c>
      <c r="J65" s="49" t="s">
        <v>207</v>
      </c>
      <c r="K65" s="49" t="s">
        <v>249</v>
      </c>
      <c r="L65" s="49" t="s">
        <v>217</v>
      </c>
      <c r="M65" s="49">
        <v>2</v>
      </c>
      <c r="N65" s="49">
        <v>2</v>
      </c>
      <c r="O65" s="49">
        <v>2</v>
      </c>
      <c r="P65" s="49">
        <v>15</v>
      </c>
      <c r="Q65">
        <f t="shared" si="3"/>
        <v>840</v>
      </c>
      <c r="R65" t="str">
        <f t="shared" si="10"/>
        <v>101227,2</v>
      </c>
      <c r="S65" t="str">
        <f t="shared" si="11"/>
        <v>101225,2</v>
      </c>
      <c r="T65" t="str">
        <f t="shared" si="12"/>
        <v>101224,2</v>
      </c>
      <c r="U65" t="str">
        <f t="shared" si="7"/>
        <v>104102,15</v>
      </c>
    </row>
    <row r="66" spans="1:21">
      <c r="A66" s="56">
        <f t="shared" si="1"/>
        <v>1.9607843137254902E-3</v>
      </c>
      <c r="B66" s="45">
        <v>1205</v>
      </c>
      <c r="C66" s="22" t="s">
        <v>154</v>
      </c>
      <c r="D66" s="22" t="s">
        <v>1111</v>
      </c>
      <c r="E66" s="46">
        <v>501205</v>
      </c>
      <c r="F66" t="str">
        <f t="shared" si="9"/>
        <v>101230,2/101232,2/101233,2/104102,20</v>
      </c>
      <c r="G66" s="46">
        <v>50</v>
      </c>
      <c r="H66" s="22">
        <v>30000</v>
      </c>
      <c r="I66" s="49" t="s">
        <v>253</v>
      </c>
      <c r="J66" s="49" t="s">
        <v>252</v>
      </c>
      <c r="K66" s="49" t="s">
        <v>242</v>
      </c>
      <c r="L66" s="49" t="s">
        <v>217</v>
      </c>
      <c r="M66" s="49">
        <v>2</v>
      </c>
      <c r="N66" s="49">
        <v>2</v>
      </c>
      <c r="O66" s="49">
        <v>2</v>
      </c>
      <c r="P66" s="49">
        <v>20</v>
      </c>
      <c r="Q66">
        <f t="shared" si="3"/>
        <v>1120</v>
      </c>
      <c r="R66" t="str">
        <f t="shared" si="10"/>
        <v>101230,2</v>
      </c>
      <c r="S66" t="str">
        <f t="shared" si="11"/>
        <v>101232,2</v>
      </c>
      <c r="T66" t="str">
        <f t="shared" si="12"/>
        <v>101233,2</v>
      </c>
      <c r="U66" t="str">
        <f t="shared" si="7"/>
        <v>104102,20</v>
      </c>
    </row>
    <row r="67" spans="1:21" ht="33">
      <c r="A67" s="56">
        <f t="shared" si="1"/>
        <v>1.9607843137254902E-2</v>
      </c>
      <c r="B67" s="45">
        <v>1301</v>
      </c>
      <c r="C67" s="46" t="s">
        <v>155</v>
      </c>
      <c r="D67" s="48" t="s">
        <v>1112</v>
      </c>
      <c r="E67" s="46">
        <v>501301</v>
      </c>
      <c r="F67" t="str">
        <f t="shared" si="9"/>
        <v>101205,2/101223,2/101211,2/104101,10</v>
      </c>
      <c r="G67" s="22">
        <v>500</v>
      </c>
      <c r="H67" s="22">
        <v>5000</v>
      </c>
      <c r="I67" s="49" t="s">
        <v>210</v>
      </c>
      <c r="J67" s="49" t="s">
        <v>224</v>
      </c>
      <c r="K67" s="49" t="s">
        <v>226</v>
      </c>
      <c r="L67" s="49" t="s">
        <v>216</v>
      </c>
      <c r="M67" s="49">
        <v>2</v>
      </c>
      <c r="N67" s="49">
        <v>2</v>
      </c>
      <c r="O67" s="49">
        <v>2</v>
      </c>
      <c r="P67" s="49">
        <v>10</v>
      </c>
      <c r="Q67">
        <f t="shared" si="3"/>
        <v>280</v>
      </c>
      <c r="R67" t="str">
        <f t="shared" si="10"/>
        <v>101205,2</v>
      </c>
      <c r="S67" t="str">
        <f t="shared" si="11"/>
        <v>101223,2</v>
      </c>
      <c r="T67" t="str">
        <f t="shared" si="12"/>
        <v>101211,2</v>
      </c>
      <c r="U67" t="str">
        <f t="shared" si="7"/>
        <v>104101,10</v>
      </c>
    </row>
    <row r="68" spans="1:21" ht="33">
      <c r="A68" s="56">
        <f t="shared" si="1"/>
        <v>1.7647058823529412E-2</v>
      </c>
      <c r="B68" s="45">
        <v>1302</v>
      </c>
      <c r="C68" s="46" t="s">
        <v>155</v>
      </c>
      <c r="D68" s="48" t="s">
        <v>1113</v>
      </c>
      <c r="E68" s="46">
        <v>501302</v>
      </c>
      <c r="F68" t="str">
        <f t="shared" si="9"/>
        <v>101202,2/101214,2/101213,2/104101,15</v>
      </c>
      <c r="G68" s="22">
        <v>450</v>
      </c>
      <c r="H68" s="22">
        <v>10000</v>
      </c>
      <c r="I68" s="49" t="s">
        <v>198</v>
      </c>
      <c r="J68" s="49" t="s">
        <v>231</v>
      </c>
      <c r="K68" s="49" t="s">
        <v>244</v>
      </c>
      <c r="L68" s="49" t="s">
        <v>216</v>
      </c>
      <c r="M68" s="49">
        <v>2</v>
      </c>
      <c r="N68" s="49">
        <v>2</v>
      </c>
      <c r="O68" s="49">
        <v>2</v>
      </c>
      <c r="P68" s="49">
        <v>15</v>
      </c>
      <c r="Q68">
        <f t="shared" si="3"/>
        <v>300</v>
      </c>
      <c r="R68" t="str">
        <f t="shared" si="10"/>
        <v>101202,2</v>
      </c>
      <c r="S68" t="str">
        <f t="shared" si="11"/>
        <v>101214,2</v>
      </c>
      <c r="T68" t="str">
        <f t="shared" si="12"/>
        <v>101213,2</v>
      </c>
      <c r="U68" t="str">
        <f t="shared" si="7"/>
        <v>104101,15</v>
      </c>
    </row>
    <row r="69" spans="1:21" ht="33">
      <c r="A69" s="56">
        <f t="shared" si="1"/>
        <v>1.3725490196078431E-2</v>
      </c>
      <c r="B69" s="45">
        <v>1303</v>
      </c>
      <c r="C69" s="46" t="s">
        <v>155</v>
      </c>
      <c r="D69" s="48" t="s">
        <v>1114</v>
      </c>
      <c r="E69" s="46">
        <v>501303</v>
      </c>
      <c r="F69" t="str">
        <f t="shared" si="9"/>
        <v>101203,2/101220,2/101217,2/104101,20</v>
      </c>
      <c r="G69" s="22">
        <v>350</v>
      </c>
      <c r="H69" s="22">
        <v>15000</v>
      </c>
      <c r="I69" s="49" t="s">
        <v>248</v>
      </c>
      <c r="J69" s="49" t="s">
        <v>230</v>
      </c>
      <c r="K69" s="49" t="s">
        <v>228</v>
      </c>
      <c r="L69" s="49" t="s">
        <v>216</v>
      </c>
      <c r="M69" s="49">
        <v>2</v>
      </c>
      <c r="N69" s="49">
        <v>2</v>
      </c>
      <c r="O69" s="49">
        <v>2</v>
      </c>
      <c r="P69" s="49">
        <v>20</v>
      </c>
      <c r="Q69">
        <f t="shared" si="3"/>
        <v>560</v>
      </c>
      <c r="R69" t="str">
        <f t="shared" si="10"/>
        <v>101203,2</v>
      </c>
      <c r="S69" t="str">
        <f t="shared" si="11"/>
        <v>101220,2</v>
      </c>
      <c r="T69" t="str">
        <f t="shared" si="12"/>
        <v>101217,2</v>
      </c>
      <c r="U69" t="str">
        <f t="shared" si="7"/>
        <v>104101,20</v>
      </c>
    </row>
    <row r="70" spans="1:21" ht="33">
      <c r="A70" s="56">
        <f t="shared" si="1"/>
        <v>5.8823529411764705E-3</v>
      </c>
      <c r="B70" s="45">
        <v>1304</v>
      </c>
      <c r="C70" s="46" t="s">
        <v>155</v>
      </c>
      <c r="D70" s="59" t="s">
        <v>1115</v>
      </c>
      <c r="E70" s="46">
        <v>501304</v>
      </c>
      <c r="F70" t="str">
        <f t="shared" si="9"/>
        <v>101229,2/101225,2/101226,2/104102,15</v>
      </c>
      <c r="G70" s="46">
        <v>150</v>
      </c>
      <c r="H70" s="22">
        <v>20000</v>
      </c>
      <c r="I70" s="49" t="s">
        <v>237</v>
      </c>
      <c r="J70" s="49" t="s">
        <v>207</v>
      </c>
      <c r="K70" s="49" t="s">
        <v>239</v>
      </c>
      <c r="L70" s="49" t="s">
        <v>217</v>
      </c>
      <c r="M70" s="49">
        <v>2</v>
      </c>
      <c r="N70" s="49">
        <v>2</v>
      </c>
      <c r="O70" s="49">
        <v>2</v>
      </c>
      <c r="P70" s="49">
        <v>15</v>
      </c>
      <c r="Q70">
        <f t="shared" si="3"/>
        <v>840</v>
      </c>
      <c r="R70" t="str">
        <f t="shared" si="10"/>
        <v>101229,2</v>
      </c>
      <c r="S70" t="str">
        <f t="shared" si="11"/>
        <v>101225,2</v>
      </c>
      <c r="T70" t="str">
        <f t="shared" si="12"/>
        <v>101226,2</v>
      </c>
      <c r="U70" t="str">
        <f t="shared" si="7"/>
        <v>104102,15</v>
      </c>
    </row>
    <row r="71" spans="1:21" ht="33">
      <c r="A71" s="56">
        <f t="shared" si="1"/>
        <v>1.9607843137254902E-3</v>
      </c>
      <c r="B71" s="45">
        <v>1305</v>
      </c>
      <c r="C71" s="46" t="s">
        <v>155</v>
      </c>
      <c r="D71" s="59" t="s">
        <v>1116</v>
      </c>
      <c r="E71" s="46">
        <v>501305</v>
      </c>
      <c r="F71" t="str">
        <f t="shared" si="9"/>
        <v>101234,2/101232,2/101235,2/104102,20</v>
      </c>
      <c r="G71" s="46">
        <v>50</v>
      </c>
      <c r="H71" s="22">
        <v>30000</v>
      </c>
      <c r="I71" s="49" t="s">
        <v>183</v>
      </c>
      <c r="J71" s="49" t="s">
        <v>251</v>
      </c>
      <c r="K71" s="49" t="s">
        <v>184</v>
      </c>
      <c r="L71" s="49" t="s">
        <v>217</v>
      </c>
      <c r="M71" s="49">
        <v>2</v>
      </c>
      <c r="N71" s="49">
        <v>2</v>
      </c>
      <c r="O71" s="49">
        <v>2</v>
      </c>
      <c r="P71" s="49">
        <v>20</v>
      </c>
      <c r="Q71">
        <f t="shared" si="3"/>
        <v>1120</v>
      </c>
      <c r="R71" t="str">
        <f t="shared" si="10"/>
        <v>101234,2</v>
      </c>
      <c r="S71" t="str">
        <f t="shared" si="11"/>
        <v>101232,2</v>
      </c>
      <c r="T71" t="str">
        <f t="shared" si="12"/>
        <v>101235,2</v>
      </c>
      <c r="U71" t="str">
        <f t="shared" si="7"/>
        <v>104102,20</v>
      </c>
    </row>
    <row r="72" spans="1:21">
      <c r="A72" s="56">
        <f t="shared" si="1"/>
        <v>1.9607843137254902E-2</v>
      </c>
      <c r="B72" s="45">
        <v>1401</v>
      </c>
      <c r="C72" s="46" t="s">
        <v>218</v>
      </c>
      <c r="D72" s="59" t="s">
        <v>1092</v>
      </c>
      <c r="E72" s="46">
        <v>501401</v>
      </c>
      <c r="F72" t="str">
        <f t="shared" si="9"/>
        <v>101209,2/101208,2/101206,2/104101,10</v>
      </c>
      <c r="G72" s="22">
        <v>500</v>
      </c>
      <c r="H72" s="22">
        <v>5000</v>
      </c>
      <c r="I72" s="49" t="s">
        <v>208</v>
      </c>
      <c r="J72" s="49" t="s">
        <v>205</v>
      </c>
      <c r="K72" s="49" t="s">
        <v>212</v>
      </c>
      <c r="L72" s="49" t="s">
        <v>216</v>
      </c>
      <c r="M72" s="49">
        <v>2</v>
      </c>
      <c r="N72" s="49">
        <v>2</v>
      </c>
      <c r="O72" s="49">
        <v>2</v>
      </c>
      <c r="P72" s="49">
        <v>10</v>
      </c>
      <c r="Q72">
        <f t="shared" si="3"/>
        <v>280</v>
      </c>
      <c r="R72" t="str">
        <f t="shared" si="10"/>
        <v>101209,2</v>
      </c>
      <c r="S72" t="str">
        <f t="shared" si="11"/>
        <v>101208,2</v>
      </c>
      <c r="T72" t="str">
        <f t="shared" si="12"/>
        <v>101206,2</v>
      </c>
      <c r="U72" t="str">
        <f t="shared" si="7"/>
        <v>104101,10</v>
      </c>
    </row>
    <row r="73" spans="1:21">
      <c r="A73" s="56">
        <f t="shared" ref="A73:A91" si="14">G73/A$5</f>
        <v>1.7647058823529412E-2</v>
      </c>
      <c r="B73" s="45">
        <v>1402</v>
      </c>
      <c r="C73" s="46" t="s">
        <v>218</v>
      </c>
      <c r="D73" s="59" t="s">
        <v>1031</v>
      </c>
      <c r="E73" s="46">
        <v>501402</v>
      </c>
      <c r="F73" t="str">
        <f t="shared" si="9"/>
        <v>101216,2/101215,2/101214,2/104101,15</v>
      </c>
      <c r="G73" s="22">
        <v>450</v>
      </c>
      <c r="H73" s="22">
        <v>10000</v>
      </c>
      <c r="I73" s="49" t="s">
        <v>206</v>
      </c>
      <c r="J73" s="49" t="s">
        <v>233</v>
      </c>
      <c r="K73" s="49" t="s">
        <v>231</v>
      </c>
      <c r="L73" s="49" t="s">
        <v>216</v>
      </c>
      <c r="M73" s="49">
        <v>2</v>
      </c>
      <c r="N73" s="49">
        <v>2</v>
      </c>
      <c r="O73" s="49">
        <v>2</v>
      </c>
      <c r="P73" s="49">
        <v>15</v>
      </c>
      <c r="Q73">
        <f t="shared" ref="Q73:Q91" si="15">IF(I73="",0,VLOOKUP(I73,V:Y,4,FALSE))*M73+IF(J73="",0,VLOOKUP(J73,V:Y,4,FALSE))*N73+IF(K73="",0,VLOOKUP(K73,V:Y,4,FALSE))*O73+IF(L73="",0,VLOOKUP(L73,V:Y,4,FALSE))*P73</f>
        <v>300</v>
      </c>
      <c r="R73" t="str">
        <f t="shared" si="10"/>
        <v>101216,2</v>
      </c>
      <c r="S73" t="str">
        <f t="shared" si="11"/>
        <v>101215,2</v>
      </c>
      <c r="T73" t="str">
        <f t="shared" si="12"/>
        <v>101214,2</v>
      </c>
      <c r="U73" t="str">
        <f t="shared" si="12"/>
        <v>104101,15</v>
      </c>
    </row>
    <row r="74" spans="1:21">
      <c r="A74" s="56">
        <f t="shared" si="14"/>
        <v>1.3725490196078431E-2</v>
      </c>
      <c r="B74" s="45">
        <v>1403</v>
      </c>
      <c r="C74" s="46" t="s">
        <v>218</v>
      </c>
      <c r="D74" s="59" t="s">
        <v>1093</v>
      </c>
      <c r="E74" s="46">
        <v>501403</v>
      </c>
      <c r="F74" t="str">
        <f t="shared" si="9"/>
        <v>101219,2/101221,2/101218,2/104101,20</v>
      </c>
      <c r="G74" s="22">
        <v>350</v>
      </c>
      <c r="H74" s="22">
        <v>15000</v>
      </c>
      <c r="I74" s="49" t="s">
        <v>227</v>
      </c>
      <c r="J74" s="49" t="s">
        <v>247</v>
      </c>
      <c r="K74" s="49" t="s">
        <v>246</v>
      </c>
      <c r="L74" s="49" t="s">
        <v>216</v>
      </c>
      <c r="M74" s="49">
        <v>2</v>
      </c>
      <c r="N74" s="49">
        <v>2</v>
      </c>
      <c r="O74" s="49">
        <v>2</v>
      </c>
      <c r="P74" s="49">
        <v>20</v>
      </c>
      <c r="Q74">
        <f t="shared" si="15"/>
        <v>560</v>
      </c>
      <c r="R74" t="str">
        <f t="shared" si="10"/>
        <v>101219,2</v>
      </c>
      <c r="S74" t="str">
        <f t="shared" si="11"/>
        <v>101221,2</v>
      </c>
      <c r="T74" t="str">
        <f t="shared" si="12"/>
        <v>101218,2</v>
      </c>
      <c r="U74" t="str">
        <f t="shared" si="12"/>
        <v>104101,20</v>
      </c>
    </row>
    <row r="75" spans="1:21">
      <c r="A75" s="56">
        <f t="shared" si="14"/>
        <v>5.8823529411764705E-3</v>
      </c>
      <c r="B75" s="45">
        <v>1404</v>
      </c>
      <c r="C75" s="46" t="s">
        <v>218</v>
      </c>
      <c r="D75" s="59" t="s">
        <v>1094</v>
      </c>
      <c r="E75" s="46">
        <v>501404</v>
      </c>
      <c r="F75" t="str">
        <f t="shared" si="9"/>
        <v>101224,2/101228,2/101229,2/104102,15</v>
      </c>
      <c r="G75" s="46">
        <v>150</v>
      </c>
      <c r="H75" s="22">
        <v>20000</v>
      </c>
      <c r="I75" s="49" t="s">
        <v>249</v>
      </c>
      <c r="J75" s="49" t="s">
        <v>236</v>
      </c>
      <c r="K75" s="49" t="s">
        <v>237</v>
      </c>
      <c r="L75" s="49" t="s">
        <v>217</v>
      </c>
      <c r="M75" s="49">
        <v>2</v>
      </c>
      <c r="N75" s="49">
        <v>2</v>
      </c>
      <c r="O75" s="49">
        <v>2</v>
      </c>
      <c r="P75" s="49">
        <v>15</v>
      </c>
      <c r="Q75">
        <f t="shared" si="15"/>
        <v>840</v>
      </c>
      <c r="R75" t="str">
        <f t="shared" si="10"/>
        <v>101224,2</v>
      </c>
      <c r="S75" t="str">
        <f t="shared" si="11"/>
        <v>101228,2</v>
      </c>
      <c r="T75" t="str">
        <f t="shared" si="12"/>
        <v>101229,2</v>
      </c>
      <c r="U75" t="str">
        <f t="shared" si="12"/>
        <v>104102,15</v>
      </c>
    </row>
    <row r="76" spans="1:21">
      <c r="A76" s="56">
        <f t="shared" si="14"/>
        <v>1.9607843137254902E-3</v>
      </c>
      <c r="B76" s="45">
        <v>1405</v>
      </c>
      <c r="C76" s="46" t="s">
        <v>218</v>
      </c>
      <c r="D76" s="59" t="s">
        <v>1095</v>
      </c>
      <c r="E76" s="46">
        <v>501405</v>
      </c>
      <c r="F76" t="str">
        <f t="shared" si="9"/>
        <v>101232,2/101235,2/101231,2/104102,20</v>
      </c>
      <c r="G76" s="46">
        <v>50</v>
      </c>
      <c r="H76" s="22">
        <v>30000</v>
      </c>
      <c r="I76" s="49" t="s">
        <v>252</v>
      </c>
      <c r="J76" s="49" t="s">
        <v>240</v>
      </c>
      <c r="K76" s="49" t="s">
        <v>211</v>
      </c>
      <c r="L76" s="49" t="s">
        <v>217</v>
      </c>
      <c r="M76" s="49">
        <v>2</v>
      </c>
      <c r="N76" s="49">
        <v>2</v>
      </c>
      <c r="O76" s="49">
        <v>2</v>
      </c>
      <c r="P76" s="49">
        <v>20</v>
      </c>
      <c r="Q76">
        <f t="shared" si="15"/>
        <v>1120</v>
      </c>
      <c r="R76" t="str">
        <f t="shared" si="10"/>
        <v>101232,2</v>
      </c>
      <c r="S76" t="str">
        <f t="shared" si="11"/>
        <v>101235,2</v>
      </c>
      <c r="T76" t="str">
        <f t="shared" si="12"/>
        <v>101231,2</v>
      </c>
      <c r="U76" t="str">
        <f t="shared" si="12"/>
        <v>104102,20</v>
      </c>
    </row>
    <row r="77" spans="1:21">
      <c r="A77" s="56">
        <f t="shared" si="14"/>
        <v>1.9607843137254902E-2</v>
      </c>
      <c r="B77" s="45">
        <v>1501</v>
      </c>
      <c r="C77" s="46" t="s">
        <v>219</v>
      </c>
      <c r="D77" s="59" t="s">
        <v>1096</v>
      </c>
      <c r="E77" s="46">
        <v>501501</v>
      </c>
      <c r="F77" t="str">
        <f t="shared" si="9"/>
        <v>101210,2/101204,2/101209,2/104101,10</v>
      </c>
      <c r="G77" s="22">
        <v>500</v>
      </c>
      <c r="H77" s="22">
        <v>5000</v>
      </c>
      <c r="I77" s="49" t="s">
        <v>209</v>
      </c>
      <c r="J77" s="49" t="s">
        <v>199</v>
      </c>
      <c r="K77" s="49" t="s">
        <v>208</v>
      </c>
      <c r="L77" s="49" t="s">
        <v>216</v>
      </c>
      <c r="M77" s="49">
        <v>2</v>
      </c>
      <c r="N77" s="49">
        <v>2</v>
      </c>
      <c r="O77" s="49">
        <v>2</v>
      </c>
      <c r="P77" s="49">
        <v>10</v>
      </c>
      <c r="Q77">
        <f t="shared" si="15"/>
        <v>280</v>
      </c>
      <c r="R77" t="str">
        <f t="shared" si="10"/>
        <v>101210,2</v>
      </c>
      <c r="S77" t="str">
        <f t="shared" si="11"/>
        <v>101204,2</v>
      </c>
      <c r="T77" t="str">
        <f t="shared" si="12"/>
        <v>101209,2</v>
      </c>
      <c r="U77" t="str">
        <f t="shared" si="12"/>
        <v>104101,10</v>
      </c>
    </row>
    <row r="78" spans="1:21">
      <c r="A78" s="56">
        <f t="shared" si="14"/>
        <v>1.7647058823529412E-2</v>
      </c>
      <c r="B78" s="45">
        <v>1502</v>
      </c>
      <c r="C78" s="46" t="s">
        <v>219</v>
      </c>
      <c r="D78" s="59" t="s">
        <v>1032</v>
      </c>
      <c r="E78" s="46">
        <v>501502</v>
      </c>
      <c r="F78" t="str">
        <f t="shared" si="9"/>
        <v>101213,2/101216,2/101212,2/104101,15</v>
      </c>
      <c r="G78" s="22">
        <v>450</v>
      </c>
      <c r="H78" s="22">
        <v>10000</v>
      </c>
      <c r="I78" s="49" t="s">
        <v>244</v>
      </c>
      <c r="J78" s="49" t="s">
        <v>206</v>
      </c>
      <c r="K78" s="49" t="s">
        <v>213</v>
      </c>
      <c r="L78" s="49" t="s">
        <v>216</v>
      </c>
      <c r="M78" s="49">
        <v>2</v>
      </c>
      <c r="N78" s="49">
        <v>2</v>
      </c>
      <c r="O78" s="49">
        <v>2</v>
      </c>
      <c r="P78" s="49">
        <v>15</v>
      </c>
      <c r="Q78">
        <f t="shared" si="15"/>
        <v>300</v>
      </c>
      <c r="R78" t="str">
        <f t="shared" si="10"/>
        <v>101213,2</v>
      </c>
      <c r="S78" t="str">
        <f t="shared" si="11"/>
        <v>101216,2</v>
      </c>
      <c r="T78" t="str">
        <f t="shared" si="12"/>
        <v>101212,2</v>
      </c>
      <c r="U78" t="str">
        <f t="shared" si="12"/>
        <v>104101,15</v>
      </c>
    </row>
    <row r="79" spans="1:21">
      <c r="A79" s="56">
        <f t="shared" si="14"/>
        <v>1.3725490196078431E-2</v>
      </c>
      <c r="B79" s="45">
        <v>1503</v>
      </c>
      <c r="C79" s="46" t="s">
        <v>219</v>
      </c>
      <c r="D79" s="59" t="s">
        <v>1097</v>
      </c>
      <c r="E79" s="46">
        <v>501503</v>
      </c>
      <c r="F79" t="str">
        <f t="shared" ref="F79:F91" si="16">CombineByChar(R79:U79,B$2)</f>
        <v>101203,2/101221,2/101219,2/104101,20</v>
      </c>
      <c r="G79" s="22">
        <v>350</v>
      </c>
      <c r="H79" s="22">
        <v>15000</v>
      </c>
      <c r="I79" s="49" t="s">
        <v>248</v>
      </c>
      <c r="J79" s="49" t="s">
        <v>247</v>
      </c>
      <c r="K79" s="49" t="s">
        <v>227</v>
      </c>
      <c r="L79" s="49" t="s">
        <v>216</v>
      </c>
      <c r="M79" s="49">
        <v>2</v>
      </c>
      <c r="N79" s="49">
        <v>2</v>
      </c>
      <c r="O79" s="49">
        <v>2</v>
      </c>
      <c r="P79" s="49">
        <v>20</v>
      </c>
      <c r="Q79">
        <f t="shared" si="15"/>
        <v>560</v>
      </c>
      <c r="R79" t="str">
        <f t="shared" si="10"/>
        <v>101203,2</v>
      </c>
      <c r="S79" t="str">
        <f t="shared" si="11"/>
        <v>101221,2</v>
      </c>
      <c r="T79" t="str">
        <f t="shared" si="12"/>
        <v>101219,2</v>
      </c>
      <c r="U79" t="str">
        <f t="shared" si="12"/>
        <v>104101,20</v>
      </c>
    </row>
    <row r="80" spans="1:21">
      <c r="A80" s="56">
        <f t="shared" si="14"/>
        <v>5.8823529411764705E-3</v>
      </c>
      <c r="B80" s="45">
        <v>1504</v>
      </c>
      <c r="C80" s="46" t="s">
        <v>219</v>
      </c>
      <c r="D80" s="59" t="s">
        <v>1098</v>
      </c>
      <c r="E80" s="46">
        <v>501504</v>
      </c>
      <c r="F80" t="str">
        <f t="shared" si="16"/>
        <v>101225,2/101224,2/101228,2/104102,15</v>
      </c>
      <c r="G80" s="46">
        <v>150</v>
      </c>
      <c r="H80" s="22">
        <v>20000</v>
      </c>
      <c r="I80" s="49" t="s">
        <v>207</v>
      </c>
      <c r="J80" s="49" t="s">
        <v>249</v>
      </c>
      <c r="K80" s="49" t="s">
        <v>236</v>
      </c>
      <c r="L80" s="49" t="s">
        <v>217</v>
      </c>
      <c r="M80" s="49">
        <v>2</v>
      </c>
      <c r="N80" s="49">
        <v>2</v>
      </c>
      <c r="O80" s="49">
        <v>2</v>
      </c>
      <c r="P80" s="49">
        <v>15</v>
      </c>
      <c r="Q80">
        <f t="shared" si="15"/>
        <v>840</v>
      </c>
      <c r="R80" t="str">
        <f t="shared" si="10"/>
        <v>101225,2</v>
      </c>
      <c r="S80" t="str">
        <f t="shared" si="11"/>
        <v>101224,2</v>
      </c>
      <c r="T80" t="str">
        <f t="shared" si="12"/>
        <v>101228,2</v>
      </c>
      <c r="U80" t="str">
        <f t="shared" si="12"/>
        <v>104102,15</v>
      </c>
    </row>
    <row r="81" spans="1:21">
      <c r="A81" s="56">
        <f t="shared" si="14"/>
        <v>1.9607843137254902E-3</v>
      </c>
      <c r="B81" s="45">
        <v>1505</v>
      </c>
      <c r="C81" s="46" t="s">
        <v>219</v>
      </c>
      <c r="D81" s="59" t="s">
        <v>1099</v>
      </c>
      <c r="E81" s="46">
        <v>501505</v>
      </c>
      <c r="F81" t="str">
        <f t="shared" si="16"/>
        <v>101234,2/101231,2/101235,2/104102,20</v>
      </c>
      <c r="G81" s="46">
        <v>50</v>
      </c>
      <c r="H81" s="22">
        <v>30000</v>
      </c>
      <c r="I81" s="49" t="s">
        <v>241</v>
      </c>
      <c r="J81" s="49" t="s">
        <v>211</v>
      </c>
      <c r="K81" s="49" t="s">
        <v>240</v>
      </c>
      <c r="L81" s="49" t="s">
        <v>217</v>
      </c>
      <c r="M81" s="49">
        <v>2</v>
      </c>
      <c r="N81" s="49">
        <v>2</v>
      </c>
      <c r="O81" s="49">
        <v>2</v>
      </c>
      <c r="P81" s="49">
        <v>20</v>
      </c>
      <c r="Q81">
        <f t="shared" si="15"/>
        <v>1120</v>
      </c>
      <c r="R81" t="str">
        <f t="shared" si="10"/>
        <v>101234,2</v>
      </c>
      <c r="S81" t="str">
        <f t="shared" si="11"/>
        <v>101231,2</v>
      </c>
      <c r="T81" t="str">
        <f t="shared" si="12"/>
        <v>101235,2</v>
      </c>
      <c r="U81" t="str">
        <f t="shared" si="12"/>
        <v>104102,20</v>
      </c>
    </row>
    <row r="82" spans="1:21">
      <c r="A82" s="56">
        <f t="shared" si="14"/>
        <v>1.9607843137254902E-2</v>
      </c>
      <c r="B82" s="45">
        <v>1601</v>
      </c>
      <c r="C82" s="46" t="s">
        <v>220</v>
      </c>
      <c r="D82" s="59" t="s">
        <v>1100</v>
      </c>
      <c r="E82" s="46">
        <v>501601</v>
      </c>
      <c r="F82" t="str">
        <f t="shared" si="16"/>
        <v>101201,2/101207,2/101222,2/104101,10</v>
      </c>
      <c r="G82" s="22">
        <v>500</v>
      </c>
      <c r="H82" s="22">
        <v>5000</v>
      </c>
      <c r="I82" s="49" t="s">
        <v>185</v>
      </c>
      <c r="J82" s="49" t="s">
        <v>222</v>
      </c>
      <c r="K82" s="49" t="s">
        <v>204</v>
      </c>
      <c r="L82" s="49" t="s">
        <v>216</v>
      </c>
      <c r="M82" s="49">
        <v>2</v>
      </c>
      <c r="N82" s="49">
        <v>2</v>
      </c>
      <c r="O82" s="49">
        <v>2</v>
      </c>
      <c r="P82" s="49">
        <v>10</v>
      </c>
      <c r="Q82">
        <f t="shared" si="15"/>
        <v>280</v>
      </c>
      <c r="R82" t="str">
        <f t="shared" si="10"/>
        <v>101201,2</v>
      </c>
      <c r="S82" t="str">
        <f t="shared" si="11"/>
        <v>101207,2</v>
      </c>
      <c r="T82" t="str">
        <f t="shared" si="12"/>
        <v>101222,2</v>
      </c>
      <c r="U82" t="str">
        <f t="shared" si="12"/>
        <v>104101,10</v>
      </c>
    </row>
    <row r="83" spans="1:21">
      <c r="A83" s="56">
        <f t="shared" si="14"/>
        <v>1.7647058823529412E-2</v>
      </c>
      <c r="B83" s="45">
        <v>1602</v>
      </c>
      <c r="C83" s="46" t="s">
        <v>220</v>
      </c>
      <c r="D83" s="59" t="s">
        <v>1101</v>
      </c>
      <c r="E83" s="46">
        <v>501602</v>
      </c>
      <c r="F83" t="str">
        <f t="shared" si="16"/>
        <v>101215,2/101215,2/101216,2/104101,15</v>
      </c>
      <c r="G83" s="22">
        <v>450</v>
      </c>
      <c r="H83" s="22">
        <v>10000</v>
      </c>
      <c r="I83" s="51" t="s">
        <v>233</v>
      </c>
      <c r="J83" s="51" t="s">
        <v>233</v>
      </c>
      <c r="K83" s="51" t="s">
        <v>206</v>
      </c>
      <c r="L83" s="49" t="s">
        <v>216</v>
      </c>
      <c r="M83" s="49">
        <v>2</v>
      </c>
      <c r="N83" s="49">
        <v>2</v>
      </c>
      <c r="O83" s="49">
        <v>2</v>
      </c>
      <c r="P83" s="49">
        <v>15</v>
      </c>
      <c r="Q83">
        <f t="shared" si="15"/>
        <v>300</v>
      </c>
      <c r="R83" t="str">
        <f t="shared" si="10"/>
        <v>101215,2</v>
      </c>
      <c r="S83" t="str">
        <f t="shared" si="11"/>
        <v>101215,2</v>
      </c>
      <c r="T83" t="str">
        <f t="shared" si="12"/>
        <v>101216,2</v>
      </c>
      <c r="U83" t="str">
        <f t="shared" si="12"/>
        <v>104101,15</v>
      </c>
    </row>
    <row r="84" spans="1:21">
      <c r="A84" s="56">
        <f t="shared" si="14"/>
        <v>1.3725490196078431E-2</v>
      </c>
      <c r="B84" s="45">
        <v>1603</v>
      </c>
      <c r="C84" s="46" t="s">
        <v>220</v>
      </c>
      <c r="D84" s="59" t="s">
        <v>1102</v>
      </c>
      <c r="E84" s="46">
        <v>501603</v>
      </c>
      <c r="F84" t="str">
        <f t="shared" si="16"/>
        <v>101217,2/101218,2/101220,2/104101,20</v>
      </c>
      <c r="G84" s="22">
        <v>350</v>
      </c>
      <c r="H84" s="22">
        <v>15000</v>
      </c>
      <c r="I84" s="54" t="s">
        <v>228</v>
      </c>
      <c r="J84" s="54" t="s">
        <v>246</v>
      </c>
      <c r="K84" s="54" t="s">
        <v>230</v>
      </c>
      <c r="L84" s="49" t="s">
        <v>216</v>
      </c>
      <c r="M84" s="49">
        <v>2</v>
      </c>
      <c r="N84" s="49">
        <v>2</v>
      </c>
      <c r="O84" s="49">
        <v>2</v>
      </c>
      <c r="P84" s="49">
        <v>20</v>
      </c>
      <c r="Q84">
        <f t="shared" si="15"/>
        <v>560</v>
      </c>
      <c r="R84" t="str">
        <f t="shared" si="10"/>
        <v>101217,2</v>
      </c>
      <c r="S84" t="str">
        <f t="shared" si="11"/>
        <v>101218,2</v>
      </c>
      <c r="T84" t="str">
        <f t="shared" si="12"/>
        <v>101220,2</v>
      </c>
      <c r="U84" t="str">
        <f t="shared" si="12"/>
        <v>104101,20</v>
      </c>
    </row>
    <row r="85" spans="1:21">
      <c r="A85" s="56">
        <f t="shared" si="14"/>
        <v>5.8823529411764705E-3</v>
      </c>
      <c r="B85" s="45">
        <v>1604</v>
      </c>
      <c r="C85" s="46" t="s">
        <v>220</v>
      </c>
      <c r="D85" s="59" t="s">
        <v>1103</v>
      </c>
      <c r="E85" s="46">
        <v>501604</v>
      </c>
      <c r="F85" t="str">
        <f t="shared" si="16"/>
        <v>101226,2/101229,2/101227,2/104102,15</v>
      </c>
      <c r="G85" s="46">
        <v>150</v>
      </c>
      <c r="H85" s="22">
        <v>20000</v>
      </c>
      <c r="I85" s="53" t="s">
        <v>239</v>
      </c>
      <c r="J85" s="53" t="s">
        <v>237</v>
      </c>
      <c r="K85" s="53" t="s">
        <v>250</v>
      </c>
      <c r="L85" s="49" t="s">
        <v>217</v>
      </c>
      <c r="M85" s="49">
        <v>2</v>
      </c>
      <c r="N85" s="49">
        <v>2</v>
      </c>
      <c r="O85" s="49">
        <v>2</v>
      </c>
      <c r="P85" s="49">
        <v>15</v>
      </c>
      <c r="Q85">
        <f t="shared" si="15"/>
        <v>840</v>
      </c>
      <c r="R85" t="str">
        <f t="shared" si="10"/>
        <v>101226,2</v>
      </c>
      <c r="S85" t="str">
        <f t="shared" si="11"/>
        <v>101229,2</v>
      </c>
      <c r="T85" t="str">
        <f t="shared" si="12"/>
        <v>101227,2</v>
      </c>
      <c r="U85" t="str">
        <f t="shared" si="12"/>
        <v>104102,15</v>
      </c>
    </row>
    <row r="86" spans="1:21">
      <c r="A86" s="56">
        <f t="shared" si="14"/>
        <v>1.9607843137254902E-3</v>
      </c>
      <c r="B86" s="45">
        <v>1605</v>
      </c>
      <c r="C86" s="46" t="s">
        <v>220</v>
      </c>
      <c r="D86" s="59" t="s">
        <v>1104</v>
      </c>
      <c r="E86" s="46">
        <v>501605</v>
      </c>
      <c r="F86" t="str">
        <f t="shared" si="16"/>
        <v>101232,2/101234,2/101233,2/104102,20</v>
      </c>
      <c r="G86" s="46">
        <v>50</v>
      </c>
      <c r="H86" s="22">
        <v>30000</v>
      </c>
      <c r="I86" s="52" t="s">
        <v>252</v>
      </c>
      <c r="J86" s="52" t="s">
        <v>241</v>
      </c>
      <c r="K86" s="52" t="s">
        <v>242</v>
      </c>
      <c r="L86" s="49" t="s">
        <v>217</v>
      </c>
      <c r="M86" s="49">
        <v>2</v>
      </c>
      <c r="N86" s="49">
        <v>2</v>
      </c>
      <c r="O86" s="49">
        <v>2</v>
      </c>
      <c r="P86" s="49">
        <v>20</v>
      </c>
      <c r="Q86">
        <f t="shared" si="15"/>
        <v>1120</v>
      </c>
      <c r="R86" t="str">
        <f t="shared" si="10"/>
        <v>101232,2</v>
      </c>
      <c r="S86" t="str">
        <f t="shared" si="11"/>
        <v>101234,2</v>
      </c>
      <c r="T86" t="str">
        <f t="shared" si="12"/>
        <v>101233,2</v>
      </c>
      <c r="U86" t="str">
        <f t="shared" si="12"/>
        <v>104102,20</v>
      </c>
    </row>
    <row r="87" spans="1:21">
      <c r="A87" s="56">
        <f t="shared" si="14"/>
        <v>1.9607843137254902E-2</v>
      </c>
      <c r="B87" s="45">
        <v>1701</v>
      </c>
      <c r="C87" s="46" t="s">
        <v>221</v>
      </c>
      <c r="D87" s="59" t="s">
        <v>1105</v>
      </c>
      <c r="E87" s="46">
        <v>501701</v>
      </c>
      <c r="F87" t="str">
        <f t="shared" si="16"/>
        <v>101223,2/101207,2/101206,2/104101,10</v>
      </c>
      <c r="G87" s="22">
        <v>500</v>
      </c>
      <c r="H87" s="22">
        <v>5000</v>
      </c>
      <c r="I87" s="55" t="s">
        <v>224</v>
      </c>
      <c r="J87" s="55" t="s">
        <v>222</v>
      </c>
      <c r="K87" s="55" t="s">
        <v>212</v>
      </c>
      <c r="L87" s="49" t="s">
        <v>216</v>
      </c>
      <c r="M87" s="49">
        <v>2</v>
      </c>
      <c r="N87" s="49">
        <v>2</v>
      </c>
      <c r="O87" s="49">
        <v>2</v>
      </c>
      <c r="P87" s="49">
        <v>10</v>
      </c>
      <c r="Q87">
        <f t="shared" si="15"/>
        <v>280</v>
      </c>
      <c r="R87" t="str">
        <f t="shared" si="10"/>
        <v>101223,2</v>
      </c>
      <c r="S87" t="str">
        <f t="shared" si="11"/>
        <v>101207,2</v>
      </c>
      <c r="T87" t="str">
        <f t="shared" si="12"/>
        <v>101206,2</v>
      </c>
      <c r="U87" t="str">
        <f t="shared" si="12"/>
        <v>104101,10</v>
      </c>
    </row>
    <row r="88" spans="1:21">
      <c r="A88" s="56">
        <f t="shared" si="14"/>
        <v>1.7647058823529412E-2</v>
      </c>
      <c r="B88" s="45">
        <v>1702</v>
      </c>
      <c r="C88" s="46" t="s">
        <v>221</v>
      </c>
      <c r="D88" s="59" t="s">
        <v>1106</v>
      </c>
      <c r="E88" s="46">
        <v>501702</v>
      </c>
      <c r="F88" t="str">
        <f t="shared" si="16"/>
        <v>101214,2/101202,2/101213,2/104101,15</v>
      </c>
      <c r="G88" s="22">
        <v>450</v>
      </c>
      <c r="H88" s="22">
        <v>10000</v>
      </c>
      <c r="I88" s="51" t="s">
        <v>231</v>
      </c>
      <c r="J88" s="51" t="s">
        <v>198</v>
      </c>
      <c r="K88" s="51" t="s">
        <v>244</v>
      </c>
      <c r="L88" s="49" t="s">
        <v>216</v>
      </c>
      <c r="M88" s="49">
        <v>2</v>
      </c>
      <c r="N88" s="49">
        <v>2</v>
      </c>
      <c r="O88" s="49">
        <v>2</v>
      </c>
      <c r="P88" s="49">
        <v>15</v>
      </c>
      <c r="Q88">
        <f t="shared" si="15"/>
        <v>300</v>
      </c>
      <c r="R88" t="str">
        <f t="shared" si="10"/>
        <v>101214,2</v>
      </c>
      <c r="S88" t="str">
        <f t="shared" si="11"/>
        <v>101202,2</v>
      </c>
      <c r="T88" t="str">
        <f t="shared" si="12"/>
        <v>101213,2</v>
      </c>
      <c r="U88" t="str">
        <f t="shared" si="12"/>
        <v>104101,15</v>
      </c>
    </row>
    <row r="89" spans="1:21">
      <c r="A89" s="56">
        <f t="shared" si="14"/>
        <v>1.3725490196078431E-2</v>
      </c>
      <c r="B89" s="45">
        <v>1703</v>
      </c>
      <c r="C89" s="46" t="s">
        <v>221</v>
      </c>
      <c r="D89" s="59" t="s">
        <v>1107</v>
      </c>
      <c r="E89" s="46">
        <v>501703</v>
      </c>
      <c r="F89" t="str">
        <f t="shared" si="16"/>
        <v>101219,2/101220,2/101221,2/104101,20</v>
      </c>
      <c r="G89" s="22">
        <v>350</v>
      </c>
      <c r="H89" s="22">
        <v>15000</v>
      </c>
      <c r="I89" s="54" t="s">
        <v>227</v>
      </c>
      <c r="J89" s="54" t="s">
        <v>230</v>
      </c>
      <c r="K89" s="54" t="s">
        <v>247</v>
      </c>
      <c r="L89" s="49" t="s">
        <v>216</v>
      </c>
      <c r="M89" s="49">
        <v>2</v>
      </c>
      <c r="N89" s="49">
        <v>2</v>
      </c>
      <c r="O89" s="49">
        <v>2</v>
      </c>
      <c r="P89" s="49">
        <v>20</v>
      </c>
      <c r="Q89">
        <f t="shared" si="15"/>
        <v>560</v>
      </c>
      <c r="R89" t="str">
        <f t="shared" si="10"/>
        <v>101219,2</v>
      </c>
      <c r="S89" t="str">
        <f t="shared" si="11"/>
        <v>101220,2</v>
      </c>
      <c r="T89" t="str">
        <f t="shared" si="12"/>
        <v>101221,2</v>
      </c>
      <c r="U89" t="str">
        <f t="shared" si="12"/>
        <v>104101,20</v>
      </c>
    </row>
    <row r="90" spans="1:21">
      <c r="A90" s="56">
        <f t="shared" si="14"/>
        <v>5.8823529411764705E-3</v>
      </c>
      <c r="B90" s="45">
        <v>1704</v>
      </c>
      <c r="C90" s="46" t="s">
        <v>221</v>
      </c>
      <c r="D90" s="59" t="s">
        <v>1108</v>
      </c>
      <c r="E90" s="46">
        <v>501704</v>
      </c>
      <c r="F90" t="str">
        <f t="shared" si="16"/>
        <v>101228,2/101225,2/101225,2/104102,15</v>
      </c>
      <c r="G90" s="46">
        <v>150</v>
      </c>
      <c r="H90" s="22">
        <v>20000</v>
      </c>
      <c r="I90" s="53" t="s">
        <v>236</v>
      </c>
      <c r="J90" s="53" t="s">
        <v>207</v>
      </c>
      <c r="K90" s="53" t="s">
        <v>207</v>
      </c>
      <c r="L90" s="49" t="s">
        <v>217</v>
      </c>
      <c r="M90" s="49">
        <v>2</v>
      </c>
      <c r="N90" s="49">
        <v>2</v>
      </c>
      <c r="O90" s="49">
        <v>2</v>
      </c>
      <c r="P90" s="49">
        <v>15</v>
      </c>
      <c r="Q90">
        <f t="shared" si="15"/>
        <v>840</v>
      </c>
      <c r="R90" t="str">
        <f t="shared" si="10"/>
        <v>101228,2</v>
      </c>
      <c r="S90" t="str">
        <f t="shared" si="11"/>
        <v>101225,2</v>
      </c>
      <c r="T90" t="str">
        <f t="shared" si="12"/>
        <v>101225,2</v>
      </c>
      <c r="U90" t="str">
        <f t="shared" si="12"/>
        <v>104102,15</v>
      </c>
    </row>
    <row r="91" spans="1:21">
      <c r="A91" s="56">
        <f t="shared" si="14"/>
        <v>1.9607843137254902E-3</v>
      </c>
      <c r="B91" s="45">
        <v>1705</v>
      </c>
      <c r="C91" s="46" t="s">
        <v>221</v>
      </c>
      <c r="D91" s="59" t="s">
        <v>1109</v>
      </c>
      <c r="E91" s="46">
        <v>501705</v>
      </c>
      <c r="F91" t="str">
        <f t="shared" si="16"/>
        <v>101235,2/101234,2/101230,2/104102,20</v>
      </c>
      <c r="G91" s="46">
        <v>50</v>
      </c>
      <c r="H91" s="22">
        <v>30000</v>
      </c>
      <c r="I91" s="52" t="s">
        <v>240</v>
      </c>
      <c r="J91" s="52" t="s">
        <v>241</v>
      </c>
      <c r="K91" s="52" t="s">
        <v>253</v>
      </c>
      <c r="L91" s="49" t="s">
        <v>217</v>
      </c>
      <c r="M91" s="49">
        <v>2</v>
      </c>
      <c r="N91" s="49">
        <v>2</v>
      </c>
      <c r="O91" s="49">
        <v>2</v>
      </c>
      <c r="P91" s="49">
        <v>20</v>
      </c>
      <c r="Q91">
        <f t="shared" si="15"/>
        <v>1120</v>
      </c>
      <c r="R91" t="str">
        <f t="shared" ref="R91" si="17">IF(AND(I91&lt;&gt;"",M91&lt;&gt;"",M91&lt;&gt;0),VLOOKUP(I91,$V:$W,2,FALSE)&amp;","&amp;M91,"")</f>
        <v>101235,2</v>
      </c>
      <c r="S91" t="str">
        <f t="shared" ref="S91" si="18">IF(AND(J91&lt;&gt;"",N91&lt;&gt;"",N91&lt;&gt;0),VLOOKUP(J91,$V:$W,2,FALSE)&amp;","&amp;N91,"")</f>
        <v>101234,2</v>
      </c>
      <c r="T91" t="str">
        <f t="shared" ref="T91:U91" si="19">IF(AND(K91&lt;&gt;"",O91&lt;&gt;"",O91&lt;&gt;0),VLOOKUP(K91,$V:$W,2,FALSE)&amp;","&amp;O91,"")</f>
        <v>101230,2</v>
      </c>
      <c r="U91" t="str">
        <f t="shared" si="19"/>
        <v>104102,20</v>
      </c>
    </row>
    <row r="92" spans="1:21">
      <c r="D92" s="37"/>
      <c r="R92" t="str">
        <f t="shared" ref="R92:R155" si="20">IF(AND(I92&lt;&gt;"",M92&lt;&gt;"",M92&lt;&gt;0),VLOOKUP(I92,$V:$W,2,FALSE)&amp;","&amp;M92,"")</f>
        <v/>
      </c>
      <c r="S92" t="str">
        <f t="shared" ref="S92:S155" si="21">IF(AND(J92&lt;&gt;"",N92&lt;&gt;"",N92&lt;&gt;0),VLOOKUP(J92,$V:$W,2,FALSE)&amp;","&amp;N92,"")</f>
        <v/>
      </c>
      <c r="T92" t="str">
        <f t="shared" ref="T92:T155" si="22">IF(AND(K92&lt;&gt;"",O92&lt;&gt;"",O92&lt;&gt;0),VLOOKUP(K92,$V:$W,2,FALSE)&amp;","&amp;O92,"")</f>
        <v/>
      </c>
      <c r="U92" t="str">
        <f t="shared" ref="U92:U155" si="23">IF(AND(L92&lt;&gt;"",P92&lt;&gt;"",P92&lt;&gt;0),VLOOKUP(L92,$V:$W,2,FALSE)&amp;","&amp;P92,"")</f>
        <v/>
      </c>
    </row>
    <row r="93" spans="1:21">
      <c r="D93" s="37"/>
      <c r="R93" t="str">
        <f t="shared" si="20"/>
        <v/>
      </c>
      <c r="S93" t="str">
        <f t="shared" si="21"/>
        <v/>
      </c>
      <c r="T93" t="str">
        <f t="shared" si="22"/>
        <v/>
      </c>
      <c r="U93" t="str">
        <f t="shared" si="23"/>
        <v/>
      </c>
    </row>
    <row r="94" spans="1:21">
      <c r="D94" s="37"/>
      <c r="R94" t="str">
        <f t="shared" si="20"/>
        <v/>
      </c>
      <c r="S94" t="str">
        <f t="shared" si="21"/>
        <v/>
      </c>
      <c r="T94" t="str">
        <f t="shared" si="22"/>
        <v/>
      </c>
      <c r="U94" t="str">
        <f t="shared" si="23"/>
        <v/>
      </c>
    </row>
    <row r="95" spans="1:21">
      <c r="D95" s="37"/>
      <c r="R95" t="str">
        <f t="shared" si="20"/>
        <v/>
      </c>
      <c r="S95" t="str">
        <f t="shared" si="21"/>
        <v/>
      </c>
      <c r="T95" t="str">
        <f t="shared" si="22"/>
        <v/>
      </c>
      <c r="U95" t="str">
        <f t="shared" si="23"/>
        <v/>
      </c>
    </row>
    <row r="96" spans="1:21">
      <c r="D96" s="37"/>
      <c r="R96" t="str">
        <f t="shared" si="20"/>
        <v/>
      </c>
      <c r="S96" t="str">
        <f t="shared" si="21"/>
        <v/>
      </c>
      <c r="T96" t="str">
        <f t="shared" si="22"/>
        <v/>
      </c>
      <c r="U96" t="str">
        <f t="shared" si="23"/>
        <v/>
      </c>
    </row>
    <row r="97" spans="4:21">
      <c r="D97" s="37"/>
      <c r="R97" t="str">
        <f t="shared" si="20"/>
        <v/>
      </c>
      <c r="S97" t="str">
        <f t="shared" si="21"/>
        <v/>
      </c>
      <c r="T97" t="str">
        <f t="shared" si="22"/>
        <v/>
      </c>
      <c r="U97" t="str">
        <f t="shared" si="23"/>
        <v/>
      </c>
    </row>
    <row r="98" spans="4:21">
      <c r="D98" s="37"/>
      <c r="R98" t="str">
        <f t="shared" si="20"/>
        <v/>
      </c>
      <c r="S98" t="str">
        <f t="shared" si="21"/>
        <v/>
      </c>
      <c r="T98" t="str">
        <f t="shared" si="22"/>
        <v/>
      </c>
      <c r="U98" t="str">
        <f t="shared" si="23"/>
        <v/>
      </c>
    </row>
    <row r="99" spans="4:21">
      <c r="D99" s="37"/>
      <c r="R99" t="str">
        <f t="shared" si="20"/>
        <v/>
      </c>
      <c r="S99" t="str">
        <f t="shared" si="21"/>
        <v/>
      </c>
      <c r="T99" t="str">
        <f t="shared" si="22"/>
        <v/>
      </c>
      <c r="U99" t="str">
        <f t="shared" si="23"/>
        <v/>
      </c>
    </row>
    <row r="100" spans="4:21">
      <c r="D100" s="37"/>
      <c r="R100" t="str">
        <f t="shared" si="20"/>
        <v/>
      </c>
      <c r="S100" t="str">
        <f t="shared" si="21"/>
        <v/>
      </c>
      <c r="T100" t="str">
        <f t="shared" si="22"/>
        <v/>
      </c>
      <c r="U100" t="str">
        <f t="shared" si="23"/>
        <v/>
      </c>
    </row>
    <row r="101" spans="4:21">
      <c r="D101" s="37"/>
      <c r="R101" t="str">
        <f t="shared" si="20"/>
        <v/>
      </c>
      <c r="S101" t="str">
        <f t="shared" si="21"/>
        <v/>
      </c>
      <c r="T101" t="str">
        <f t="shared" si="22"/>
        <v/>
      </c>
      <c r="U101" t="str">
        <f t="shared" si="23"/>
        <v/>
      </c>
    </row>
    <row r="102" spans="4:21">
      <c r="D102" s="37"/>
      <c r="R102" t="str">
        <f t="shared" si="20"/>
        <v/>
      </c>
      <c r="S102" t="str">
        <f t="shared" si="21"/>
        <v/>
      </c>
      <c r="T102" t="str">
        <f t="shared" si="22"/>
        <v/>
      </c>
      <c r="U102" t="str">
        <f t="shared" si="23"/>
        <v/>
      </c>
    </row>
    <row r="103" spans="4:21">
      <c r="D103" s="37"/>
      <c r="R103" t="str">
        <f t="shared" si="20"/>
        <v/>
      </c>
      <c r="S103" t="str">
        <f t="shared" si="21"/>
        <v/>
      </c>
      <c r="T103" t="str">
        <f t="shared" si="22"/>
        <v/>
      </c>
      <c r="U103" t="str">
        <f t="shared" si="23"/>
        <v/>
      </c>
    </row>
    <row r="104" spans="4:21">
      <c r="D104" s="37"/>
      <c r="R104" t="str">
        <f t="shared" si="20"/>
        <v/>
      </c>
      <c r="S104" t="str">
        <f t="shared" si="21"/>
        <v/>
      </c>
      <c r="T104" t="str">
        <f t="shared" si="22"/>
        <v/>
      </c>
      <c r="U104" t="str">
        <f t="shared" si="23"/>
        <v/>
      </c>
    </row>
    <row r="105" spans="4:21">
      <c r="D105" s="37"/>
      <c r="R105" t="str">
        <f t="shared" si="20"/>
        <v/>
      </c>
      <c r="S105" t="str">
        <f t="shared" si="21"/>
        <v/>
      </c>
      <c r="T105" t="str">
        <f t="shared" si="22"/>
        <v/>
      </c>
      <c r="U105" t="str">
        <f t="shared" si="23"/>
        <v/>
      </c>
    </row>
    <row r="106" spans="4:21">
      <c r="D106" s="37"/>
      <c r="R106" t="str">
        <f t="shared" si="20"/>
        <v/>
      </c>
      <c r="S106" t="str">
        <f t="shared" si="21"/>
        <v/>
      </c>
      <c r="T106" t="str">
        <f t="shared" si="22"/>
        <v/>
      </c>
      <c r="U106" t="str">
        <f t="shared" si="23"/>
        <v/>
      </c>
    </row>
    <row r="107" spans="4:21">
      <c r="D107" s="37"/>
      <c r="R107" t="str">
        <f t="shared" si="20"/>
        <v/>
      </c>
      <c r="S107" t="str">
        <f t="shared" si="21"/>
        <v/>
      </c>
      <c r="T107" t="str">
        <f t="shared" si="22"/>
        <v/>
      </c>
      <c r="U107" t="str">
        <f t="shared" si="23"/>
        <v/>
      </c>
    </row>
    <row r="108" spans="4:21">
      <c r="D108" s="37"/>
      <c r="R108" t="str">
        <f t="shared" si="20"/>
        <v/>
      </c>
      <c r="S108" t="str">
        <f t="shared" si="21"/>
        <v/>
      </c>
      <c r="T108" t="str">
        <f t="shared" si="22"/>
        <v/>
      </c>
      <c r="U108" t="str">
        <f t="shared" si="23"/>
        <v/>
      </c>
    </row>
    <row r="109" spans="4:21">
      <c r="D109" s="37"/>
      <c r="R109" t="str">
        <f t="shared" si="20"/>
        <v/>
      </c>
      <c r="S109" t="str">
        <f t="shared" si="21"/>
        <v/>
      </c>
      <c r="T109" t="str">
        <f t="shared" si="22"/>
        <v/>
      </c>
      <c r="U109" t="str">
        <f t="shared" si="23"/>
        <v/>
      </c>
    </row>
    <row r="110" spans="4:21">
      <c r="D110" s="37"/>
      <c r="R110" t="str">
        <f t="shared" si="20"/>
        <v/>
      </c>
      <c r="S110" t="str">
        <f t="shared" si="21"/>
        <v/>
      </c>
      <c r="T110" t="str">
        <f t="shared" si="22"/>
        <v/>
      </c>
      <c r="U110" t="str">
        <f t="shared" si="23"/>
        <v/>
      </c>
    </row>
    <row r="111" spans="4:21">
      <c r="D111" s="37"/>
      <c r="R111" t="str">
        <f t="shared" si="20"/>
        <v/>
      </c>
      <c r="S111" t="str">
        <f t="shared" si="21"/>
        <v/>
      </c>
      <c r="T111" t="str">
        <f t="shared" si="22"/>
        <v/>
      </c>
      <c r="U111" t="str">
        <f t="shared" si="23"/>
        <v/>
      </c>
    </row>
    <row r="112" spans="4:21">
      <c r="D112" s="37"/>
      <c r="R112" t="str">
        <f t="shared" si="20"/>
        <v/>
      </c>
      <c r="S112" t="str">
        <f t="shared" si="21"/>
        <v/>
      </c>
      <c r="T112" t="str">
        <f t="shared" si="22"/>
        <v/>
      </c>
      <c r="U112" t="str">
        <f t="shared" si="23"/>
        <v/>
      </c>
    </row>
    <row r="113" spans="4:21">
      <c r="D113" s="37"/>
      <c r="R113" t="str">
        <f t="shared" si="20"/>
        <v/>
      </c>
      <c r="S113" t="str">
        <f t="shared" si="21"/>
        <v/>
      </c>
      <c r="T113" t="str">
        <f t="shared" si="22"/>
        <v/>
      </c>
      <c r="U113" t="str">
        <f t="shared" si="23"/>
        <v/>
      </c>
    </row>
    <row r="114" spans="4:21">
      <c r="D114" s="37"/>
      <c r="R114" t="str">
        <f t="shared" si="20"/>
        <v/>
      </c>
      <c r="S114" t="str">
        <f t="shared" si="21"/>
        <v/>
      </c>
      <c r="T114" t="str">
        <f t="shared" si="22"/>
        <v/>
      </c>
      <c r="U114" t="str">
        <f t="shared" si="23"/>
        <v/>
      </c>
    </row>
    <row r="115" spans="4:21">
      <c r="D115" s="37"/>
      <c r="R115" t="str">
        <f t="shared" si="20"/>
        <v/>
      </c>
      <c r="S115" t="str">
        <f t="shared" si="21"/>
        <v/>
      </c>
      <c r="T115" t="str">
        <f t="shared" si="22"/>
        <v/>
      </c>
      <c r="U115" t="str">
        <f t="shared" si="23"/>
        <v/>
      </c>
    </row>
    <row r="116" spans="4:21">
      <c r="D116" s="37"/>
      <c r="R116" t="str">
        <f t="shared" si="20"/>
        <v/>
      </c>
      <c r="S116" t="str">
        <f t="shared" si="21"/>
        <v/>
      </c>
      <c r="T116" t="str">
        <f t="shared" si="22"/>
        <v/>
      </c>
      <c r="U116" t="str">
        <f t="shared" si="23"/>
        <v/>
      </c>
    </row>
    <row r="117" spans="4:21">
      <c r="R117" t="str">
        <f t="shared" si="20"/>
        <v/>
      </c>
      <c r="S117" t="str">
        <f t="shared" si="21"/>
        <v/>
      </c>
      <c r="T117" t="str">
        <f t="shared" si="22"/>
        <v/>
      </c>
      <c r="U117" t="str">
        <f t="shared" si="23"/>
        <v/>
      </c>
    </row>
    <row r="118" spans="4:21">
      <c r="R118" t="str">
        <f t="shared" si="20"/>
        <v/>
      </c>
      <c r="S118" t="str">
        <f t="shared" si="21"/>
        <v/>
      </c>
      <c r="T118" t="str">
        <f t="shared" si="22"/>
        <v/>
      </c>
      <c r="U118" t="str">
        <f t="shared" si="23"/>
        <v/>
      </c>
    </row>
    <row r="119" spans="4:21">
      <c r="R119" t="str">
        <f t="shared" si="20"/>
        <v/>
      </c>
      <c r="S119" t="str">
        <f t="shared" si="21"/>
        <v/>
      </c>
      <c r="T119" t="str">
        <f t="shared" si="22"/>
        <v/>
      </c>
      <c r="U119" t="str">
        <f t="shared" si="23"/>
        <v/>
      </c>
    </row>
    <row r="120" spans="4:21">
      <c r="R120" t="str">
        <f t="shared" si="20"/>
        <v/>
      </c>
      <c r="S120" t="str">
        <f t="shared" si="21"/>
        <v/>
      </c>
      <c r="T120" t="str">
        <f t="shared" si="22"/>
        <v/>
      </c>
      <c r="U120" t="str">
        <f t="shared" si="23"/>
        <v/>
      </c>
    </row>
    <row r="121" spans="4:21">
      <c r="R121" t="str">
        <f t="shared" si="20"/>
        <v/>
      </c>
      <c r="S121" t="str">
        <f t="shared" si="21"/>
        <v/>
      </c>
      <c r="T121" t="str">
        <f t="shared" si="22"/>
        <v/>
      </c>
      <c r="U121" t="str">
        <f t="shared" si="23"/>
        <v/>
      </c>
    </row>
    <row r="122" spans="4:21">
      <c r="R122" t="str">
        <f t="shared" si="20"/>
        <v/>
      </c>
      <c r="S122" t="str">
        <f t="shared" si="21"/>
        <v/>
      </c>
      <c r="T122" t="str">
        <f t="shared" si="22"/>
        <v/>
      </c>
      <c r="U122" t="str">
        <f t="shared" si="23"/>
        <v/>
      </c>
    </row>
    <row r="123" spans="4:21">
      <c r="R123" t="str">
        <f t="shared" si="20"/>
        <v/>
      </c>
      <c r="S123" t="str">
        <f t="shared" si="21"/>
        <v/>
      </c>
      <c r="T123" t="str">
        <f t="shared" si="22"/>
        <v/>
      </c>
      <c r="U123" t="str">
        <f t="shared" si="23"/>
        <v/>
      </c>
    </row>
    <row r="124" spans="4:21">
      <c r="R124" t="str">
        <f t="shared" si="20"/>
        <v/>
      </c>
      <c r="S124" t="str">
        <f t="shared" si="21"/>
        <v/>
      </c>
      <c r="T124" t="str">
        <f t="shared" si="22"/>
        <v/>
      </c>
      <c r="U124" t="str">
        <f t="shared" si="23"/>
        <v/>
      </c>
    </row>
    <row r="125" spans="4:21">
      <c r="R125" t="str">
        <f t="shared" si="20"/>
        <v/>
      </c>
      <c r="S125" t="str">
        <f t="shared" si="21"/>
        <v/>
      </c>
      <c r="T125" t="str">
        <f t="shared" si="22"/>
        <v/>
      </c>
      <c r="U125" t="str">
        <f t="shared" si="23"/>
        <v/>
      </c>
    </row>
    <row r="126" spans="4:21">
      <c r="R126" t="str">
        <f t="shared" si="20"/>
        <v/>
      </c>
      <c r="S126" t="str">
        <f t="shared" si="21"/>
        <v/>
      </c>
      <c r="T126" t="str">
        <f t="shared" si="22"/>
        <v/>
      </c>
      <c r="U126" t="str">
        <f t="shared" si="23"/>
        <v/>
      </c>
    </row>
    <row r="127" spans="4:21">
      <c r="R127" t="str">
        <f t="shared" si="20"/>
        <v/>
      </c>
      <c r="S127" t="str">
        <f t="shared" si="21"/>
        <v/>
      </c>
      <c r="T127" t="str">
        <f t="shared" si="22"/>
        <v/>
      </c>
      <c r="U127" t="str">
        <f t="shared" si="23"/>
        <v/>
      </c>
    </row>
    <row r="128" spans="4:21">
      <c r="R128" t="str">
        <f t="shared" si="20"/>
        <v/>
      </c>
      <c r="S128" t="str">
        <f t="shared" si="21"/>
        <v/>
      </c>
      <c r="T128" t="str">
        <f t="shared" si="22"/>
        <v/>
      </c>
      <c r="U128" t="str">
        <f t="shared" si="23"/>
        <v/>
      </c>
    </row>
    <row r="129" spans="18:21">
      <c r="R129" t="str">
        <f t="shared" si="20"/>
        <v/>
      </c>
      <c r="S129" t="str">
        <f t="shared" si="21"/>
        <v/>
      </c>
      <c r="T129" t="str">
        <f t="shared" si="22"/>
        <v/>
      </c>
      <c r="U129" t="str">
        <f t="shared" si="23"/>
        <v/>
      </c>
    </row>
    <row r="130" spans="18:21">
      <c r="R130" t="str">
        <f t="shared" si="20"/>
        <v/>
      </c>
      <c r="S130" t="str">
        <f t="shared" si="21"/>
        <v/>
      </c>
      <c r="T130" t="str">
        <f t="shared" si="22"/>
        <v/>
      </c>
      <c r="U130" t="str">
        <f t="shared" si="23"/>
        <v/>
      </c>
    </row>
    <row r="131" spans="18:21">
      <c r="R131" t="str">
        <f t="shared" si="20"/>
        <v/>
      </c>
      <c r="S131" t="str">
        <f t="shared" si="21"/>
        <v/>
      </c>
      <c r="T131" t="str">
        <f t="shared" si="22"/>
        <v/>
      </c>
      <c r="U131" t="str">
        <f t="shared" si="23"/>
        <v/>
      </c>
    </row>
    <row r="132" spans="18:21">
      <c r="R132" t="str">
        <f t="shared" si="20"/>
        <v/>
      </c>
      <c r="S132" t="str">
        <f t="shared" si="21"/>
        <v/>
      </c>
      <c r="T132" t="str">
        <f t="shared" si="22"/>
        <v/>
      </c>
      <c r="U132" t="str">
        <f t="shared" si="23"/>
        <v/>
      </c>
    </row>
    <row r="133" spans="18:21">
      <c r="R133" t="str">
        <f t="shared" si="20"/>
        <v/>
      </c>
      <c r="S133" t="str">
        <f t="shared" si="21"/>
        <v/>
      </c>
      <c r="T133" t="str">
        <f t="shared" si="22"/>
        <v/>
      </c>
      <c r="U133" t="str">
        <f t="shared" si="23"/>
        <v/>
      </c>
    </row>
    <row r="134" spans="18:21">
      <c r="R134" t="str">
        <f t="shared" si="20"/>
        <v/>
      </c>
      <c r="S134" t="str">
        <f t="shared" si="21"/>
        <v/>
      </c>
      <c r="T134" t="str">
        <f t="shared" si="22"/>
        <v/>
      </c>
      <c r="U134" t="str">
        <f t="shared" si="23"/>
        <v/>
      </c>
    </row>
    <row r="135" spans="18:21">
      <c r="R135" t="str">
        <f t="shared" si="20"/>
        <v/>
      </c>
      <c r="S135" t="str">
        <f t="shared" si="21"/>
        <v/>
      </c>
      <c r="T135" t="str">
        <f t="shared" si="22"/>
        <v/>
      </c>
      <c r="U135" t="str">
        <f t="shared" si="23"/>
        <v/>
      </c>
    </row>
    <row r="136" spans="18:21">
      <c r="R136" t="str">
        <f t="shared" si="20"/>
        <v/>
      </c>
      <c r="S136" t="str">
        <f t="shared" si="21"/>
        <v/>
      </c>
      <c r="T136" t="str">
        <f t="shared" si="22"/>
        <v/>
      </c>
      <c r="U136" t="str">
        <f t="shared" si="23"/>
        <v/>
      </c>
    </row>
    <row r="137" spans="18:21">
      <c r="R137" t="str">
        <f t="shared" si="20"/>
        <v/>
      </c>
      <c r="S137" t="str">
        <f t="shared" si="21"/>
        <v/>
      </c>
      <c r="T137" t="str">
        <f t="shared" si="22"/>
        <v/>
      </c>
      <c r="U137" t="str">
        <f t="shared" si="23"/>
        <v/>
      </c>
    </row>
    <row r="138" spans="18:21">
      <c r="R138" t="str">
        <f t="shared" si="20"/>
        <v/>
      </c>
      <c r="S138" t="str">
        <f t="shared" si="21"/>
        <v/>
      </c>
      <c r="T138" t="str">
        <f t="shared" si="22"/>
        <v/>
      </c>
      <c r="U138" t="str">
        <f t="shared" si="23"/>
        <v/>
      </c>
    </row>
    <row r="139" spans="18:21">
      <c r="R139" t="str">
        <f t="shared" si="20"/>
        <v/>
      </c>
      <c r="S139" t="str">
        <f t="shared" si="21"/>
        <v/>
      </c>
      <c r="T139" t="str">
        <f t="shared" si="22"/>
        <v/>
      </c>
      <c r="U139" t="str">
        <f t="shared" si="23"/>
        <v/>
      </c>
    </row>
    <row r="140" spans="18:21">
      <c r="R140" t="str">
        <f t="shared" si="20"/>
        <v/>
      </c>
      <c r="S140" t="str">
        <f t="shared" si="21"/>
        <v/>
      </c>
      <c r="T140" t="str">
        <f t="shared" si="22"/>
        <v/>
      </c>
      <c r="U140" t="str">
        <f t="shared" si="23"/>
        <v/>
      </c>
    </row>
    <row r="141" spans="18:21">
      <c r="R141" t="str">
        <f t="shared" si="20"/>
        <v/>
      </c>
      <c r="S141" t="str">
        <f t="shared" si="21"/>
        <v/>
      </c>
      <c r="T141" t="str">
        <f t="shared" si="22"/>
        <v/>
      </c>
      <c r="U141" t="str">
        <f t="shared" si="23"/>
        <v/>
      </c>
    </row>
    <row r="142" spans="18:21">
      <c r="R142" t="str">
        <f t="shared" si="20"/>
        <v/>
      </c>
      <c r="S142" t="str">
        <f t="shared" si="21"/>
        <v/>
      </c>
      <c r="T142" t="str">
        <f t="shared" si="22"/>
        <v/>
      </c>
      <c r="U142" t="str">
        <f t="shared" si="23"/>
        <v/>
      </c>
    </row>
    <row r="143" spans="18:21">
      <c r="R143" t="str">
        <f t="shared" si="20"/>
        <v/>
      </c>
      <c r="S143" t="str">
        <f t="shared" si="21"/>
        <v/>
      </c>
      <c r="T143" t="str">
        <f t="shared" si="22"/>
        <v/>
      </c>
      <c r="U143" t="str">
        <f t="shared" si="23"/>
        <v/>
      </c>
    </row>
    <row r="144" spans="18:21">
      <c r="R144" t="str">
        <f t="shared" si="20"/>
        <v/>
      </c>
      <c r="S144" t="str">
        <f t="shared" si="21"/>
        <v/>
      </c>
      <c r="T144" t="str">
        <f t="shared" si="22"/>
        <v/>
      </c>
      <c r="U144" t="str">
        <f t="shared" si="23"/>
        <v/>
      </c>
    </row>
    <row r="145" spans="18:21">
      <c r="R145" t="str">
        <f t="shared" si="20"/>
        <v/>
      </c>
      <c r="S145" t="str">
        <f t="shared" si="21"/>
        <v/>
      </c>
      <c r="T145" t="str">
        <f t="shared" si="22"/>
        <v/>
      </c>
      <c r="U145" t="str">
        <f t="shared" si="23"/>
        <v/>
      </c>
    </row>
    <row r="146" spans="18:21">
      <c r="R146" t="str">
        <f t="shared" si="20"/>
        <v/>
      </c>
      <c r="S146" t="str">
        <f t="shared" si="21"/>
        <v/>
      </c>
      <c r="T146" t="str">
        <f t="shared" si="22"/>
        <v/>
      </c>
      <c r="U146" t="str">
        <f t="shared" si="23"/>
        <v/>
      </c>
    </row>
    <row r="147" spans="18:21">
      <c r="R147" t="str">
        <f t="shared" si="20"/>
        <v/>
      </c>
      <c r="S147" t="str">
        <f t="shared" si="21"/>
        <v/>
      </c>
      <c r="T147" t="str">
        <f t="shared" si="22"/>
        <v/>
      </c>
      <c r="U147" t="str">
        <f t="shared" si="23"/>
        <v/>
      </c>
    </row>
    <row r="148" spans="18:21">
      <c r="R148" t="str">
        <f t="shared" si="20"/>
        <v/>
      </c>
      <c r="S148" t="str">
        <f t="shared" si="21"/>
        <v/>
      </c>
      <c r="T148" t="str">
        <f t="shared" si="22"/>
        <v/>
      </c>
      <c r="U148" t="str">
        <f t="shared" si="23"/>
        <v/>
      </c>
    </row>
    <row r="149" spans="18:21">
      <c r="R149" t="str">
        <f t="shared" si="20"/>
        <v/>
      </c>
      <c r="S149" t="str">
        <f t="shared" si="21"/>
        <v/>
      </c>
      <c r="T149" t="str">
        <f t="shared" si="22"/>
        <v/>
      </c>
      <c r="U149" t="str">
        <f t="shared" si="23"/>
        <v/>
      </c>
    </row>
    <row r="150" spans="18:21">
      <c r="R150" t="str">
        <f t="shared" si="20"/>
        <v/>
      </c>
      <c r="S150" t="str">
        <f t="shared" si="21"/>
        <v/>
      </c>
      <c r="T150" t="str">
        <f t="shared" si="22"/>
        <v/>
      </c>
      <c r="U150" t="str">
        <f t="shared" si="23"/>
        <v/>
      </c>
    </row>
    <row r="151" spans="18:21">
      <c r="R151" t="str">
        <f t="shared" si="20"/>
        <v/>
      </c>
      <c r="S151" t="str">
        <f t="shared" si="21"/>
        <v/>
      </c>
      <c r="T151" t="str">
        <f t="shared" si="22"/>
        <v/>
      </c>
      <c r="U151" t="str">
        <f t="shared" si="23"/>
        <v/>
      </c>
    </row>
    <row r="152" spans="18:21">
      <c r="R152" t="str">
        <f t="shared" si="20"/>
        <v/>
      </c>
      <c r="S152" t="str">
        <f t="shared" si="21"/>
        <v/>
      </c>
      <c r="T152" t="str">
        <f t="shared" si="22"/>
        <v/>
      </c>
      <c r="U152" t="str">
        <f t="shared" si="23"/>
        <v/>
      </c>
    </row>
    <row r="153" spans="18:21">
      <c r="R153" t="str">
        <f t="shared" si="20"/>
        <v/>
      </c>
      <c r="S153" t="str">
        <f t="shared" si="21"/>
        <v/>
      </c>
      <c r="T153" t="str">
        <f t="shared" si="22"/>
        <v/>
      </c>
      <c r="U153" t="str">
        <f t="shared" si="23"/>
        <v/>
      </c>
    </row>
    <row r="154" spans="18:21">
      <c r="R154" t="str">
        <f t="shared" si="20"/>
        <v/>
      </c>
      <c r="S154" t="str">
        <f t="shared" si="21"/>
        <v/>
      </c>
      <c r="T154" t="str">
        <f t="shared" si="22"/>
        <v/>
      </c>
      <c r="U154" t="str">
        <f t="shared" si="23"/>
        <v/>
      </c>
    </row>
    <row r="155" spans="18:21">
      <c r="R155" t="str">
        <f t="shared" si="20"/>
        <v/>
      </c>
      <c r="S155" t="str">
        <f t="shared" si="21"/>
        <v/>
      </c>
      <c r="T155" t="str">
        <f t="shared" si="22"/>
        <v/>
      </c>
      <c r="U155" t="str">
        <f t="shared" si="23"/>
        <v/>
      </c>
    </row>
    <row r="156" spans="18:21">
      <c r="R156" t="str">
        <f t="shared" ref="R156:R219" si="24">IF(AND(I156&lt;&gt;"",M156&lt;&gt;"",M156&lt;&gt;0),VLOOKUP(I156,$V:$W,2,FALSE)&amp;","&amp;M156,"")</f>
        <v/>
      </c>
      <c r="S156" t="str">
        <f t="shared" ref="S156:S219" si="25">IF(AND(J156&lt;&gt;"",N156&lt;&gt;"",N156&lt;&gt;0),VLOOKUP(J156,$V:$W,2,FALSE)&amp;","&amp;N156,"")</f>
        <v/>
      </c>
      <c r="T156" t="str">
        <f t="shared" ref="T156:T219" si="26">IF(AND(K156&lt;&gt;"",O156&lt;&gt;"",O156&lt;&gt;0),VLOOKUP(K156,$V:$W,2,FALSE)&amp;","&amp;O156,"")</f>
        <v/>
      </c>
      <c r="U156" t="str">
        <f t="shared" ref="U156:U219" si="27">IF(AND(L156&lt;&gt;"",P156&lt;&gt;"",P156&lt;&gt;0),VLOOKUP(L156,$V:$W,2,FALSE)&amp;","&amp;P156,"")</f>
        <v/>
      </c>
    </row>
    <row r="157" spans="18:21">
      <c r="R157" t="str">
        <f t="shared" si="24"/>
        <v/>
      </c>
      <c r="S157" t="str">
        <f t="shared" si="25"/>
        <v/>
      </c>
      <c r="T157" t="str">
        <f t="shared" si="26"/>
        <v/>
      </c>
      <c r="U157" t="str">
        <f t="shared" si="27"/>
        <v/>
      </c>
    </row>
    <row r="158" spans="18:21">
      <c r="R158" t="str">
        <f t="shared" si="24"/>
        <v/>
      </c>
      <c r="S158" t="str">
        <f t="shared" si="25"/>
        <v/>
      </c>
      <c r="T158" t="str">
        <f t="shared" si="26"/>
        <v/>
      </c>
      <c r="U158" t="str">
        <f t="shared" si="27"/>
        <v/>
      </c>
    </row>
    <row r="159" spans="18:21">
      <c r="R159" t="str">
        <f t="shared" si="24"/>
        <v/>
      </c>
      <c r="S159" t="str">
        <f t="shared" si="25"/>
        <v/>
      </c>
      <c r="T159" t="str">
        <f t="shared" si="26"/>
        <v/>
      </c>
      <c r="U159" t="str">
        <f t="shared" si="27"/>
        <v/>
      </c>
    </row>
    <row r="160" spans="18:21">
      <c r="R160" t="str">
        <f t="shared" si="24"/>
        <v/>
      </c>
      <c r="S160" t="str">
        <f t="shared" si="25"/>
        <v/>
      </c>
      <c r="T160" t="str">
        <f t="shared" si="26"/>
        <v/>
      </c>
      <c r="U160" t="str">
        <f t="shared" si="27"/>
        <v/>
      </c>
    </row>
    <row r="161" spans="18:21">
      <c r="R161" t="str">
        <f t="shared" si="24"/>
        <v/>
      </c>
      <c r="S161" t="str">
        <f t="shared" si="25"/>
        <v/>
      </c>
      <c r="T161" t="str">
        <f t="shared" si="26"/>
        <v/>
      </c>
      <c r="U161" t="str">
        <f t="shared" si="27"/>
        <v/>
      </c>
    </row>
    <row r="162" spans="18:21">
      <c r="R162" t="str">
        <f t="shared" si="24"/>
        <v/>
      </c>
      <c r="S162" t="str">
        <f t="shared" si="25"/>
        <v/>
      </c>
      <c r="T162" t="str">
        <f t="shared" si="26"/>
        <v/>
      </c>
      <c r="U162" t="str">
        <f t="shared" si="27"/>
        <v/>
      </c>
    </row>
    <row r="163" spans="18:21">
      <c r="R163" t="str">
        <f t="shared" si="24"/>
        <v/>
      </c>
      <c r="S163" t="str">
        <f t="shared" si="25"/>
        <v/>
      </c>
      <c r="T163" t="str">
        <f t="shared" si="26"/>
        <v/>
      </c>
      <c r="U163" t="str">
        <f t="shared" si="27"/>
        <v/>
      </c>
    </row>
    <row r="164" spans="18:21">
      <c r="R164" t="str">
        <f t="shared" si="24"/>
        <v/>
      </c>
      <c r="S164" t="str">
        <f t="shared" si="25"/>
        <v/>
      </c>
      <c r="T164" t="str">
        <f t="shared" si="26"/>
        <v/>
      </c>
      <c r="U164" t="str">
        <f t="shared" si="27"/>
        <v/>
      </c>
    </row>
    <row r="165" spans="18:21">
      <c r="R165" t="str">
        <f t="shared" si="24"/>
        <v/>
      </c>
      <c r="S165" t="str">
        <f t="shared" si="25"/>
        <v/>
      </c>
      <c r="T165" t="str">
        <f t="shared" si="26"/>
        <v/>
      </c>
      <c r="U165" t="str">
        <f t="shared" si="27"/>
        <v/>
      </c>
    </row>
    <row r="166" spans="18:21">
      <c r="R166" t="str">
        <f t="shared" si="24"/>
        <v/>
      </c>
      <c r="S166" t="str">
        <f t="shared" si="25"/>
        <v/>
      </c>
      <c r="T166" t="str">
        <f t="shared" si="26"/>
        <v/>
      </c>
      <c r="U166" t="str">
        <f t="shared" si="27"/>
        <v/>
      </c>
    </row>
    <row r="167" spans="18:21">
      <c r="R167" t="str">
        <f t="shared" si="24"/>
        <v/>
      </c>
      <c r="S167" t="str">
        <f t="shared" si="25"/>
        <v/>
      </c>
      <c r="T167" t="str">
        <f t="shared" si="26"/>
        <v/>
      </c>
      <c r="U167" t="str">
        <f t="shared" si="27"/>
        <v/>
      </c>
    </row>
    <row r="168" spans="18:21">
      <c r="R168" t="str">
        <f t="shared" si="24"/>
        <v/>
      </c>
      <c r="S168" t="str">
        <f t="shared" si="25"/>
        <v/>
      </c>
      <c r="T168" t="str">
        <f t="shared" si="26"/>
        <v/>
      </c>
      <c r="U168" t="str">
        <f t="shared" si="27"/>
        <v/>
      </c>
    </row>
    <row r="169" spans="18:21">
      <c r="R169" t="str">
        <f t="shared" si="24"/>
        <v/>
      </c>
      <c r="S169" t="str">
        <f t="shared" si="25"/>
        <v/>
      </c>
      <c r="T169" t="str">
        <f t="shared" si="26"/>
        <v/>
      </c>
      <c r="U169" t="str">
        <f t="shared" si="27"/>
        <v/>
      </c>
    </row>
    <row r="170" spans="18:21">
      <c r="R170" t="str">
        <f t="shared" si="24"/>
        <v/>
      </c>
      <c r="S170" t="str">
        <f t="shared" si="25"/>
        <v/>
      </c>
      <c r="T170" t="str">
        <f t="shared" si="26"/>
        <v/>
      </c>
      <c r="U170" t="str">
        <f t="shared" si="27"/>
        <v/>
      </c>
    </row>
    <row r="171" spans="18:21">
      <c r="R171" t="str">
        <f t="shared" si="24"/>
        <v/>
      </c>
      <c r="S171" t="str">
        <f t="shared" si="25"/>
        <v/>
      </c>
      <c r="T171" t="str">
        <f t="shared" si="26"/>
        <v/>
      </c>
      <c r="U171" t="str">
        <f t="shared" si="27"/>
        <v/>
      </c>
    </row>
    <row r="172" spans="18:21">
      <c r="R172" t="str">
        <f t="shared" si="24"/>
        <v/>
      </c>
      <c r="S172" t="str">
        <f t="shared" si="25"/>
        <v/>
      </c>
      <c r="T172" t="str">
        <f t="shared" si="26"/>
        <v/>
      </c>
      <c r="U172" t="str">
        <f t="shared" si="27"/>
        <v/>
      </c>
    </row>
    <row r="173" spans="18:21">
      <c r="R173" t="str">
        <f t="shared" si="24"/>
        <v/>
      </c>
      <c r="S173" t="str">
        <f t="shared" si="25"/>
        <v/>
      </c>
      <c r="T173" t="str">
        <f t="shared" si="26"/>
        <v/>
      </c>
      <c r="U173" t="str">
        <f t="shared" si="27"/>
        <v/>
      </c>
    </row>
    <row r="174" spans="18:21">
      <c r="R174" t="str">
        <f t="shared" si="24"/>
        <v/>
      </c>
      <c r="S174" t="str">
        <f t="shared" si="25"/>
        <v/>
      </c>
      <c r="T174" t="str">
        <f t="shared" si="26"/>
        <v/>
      </c>
      <c r="U174" t="str">
        <f t="shared" si="27"/>
        <v/>
      </c>
    </row>
    <row r="175" spans="18:21">
      <c r="R175" t="str">
        <f t="shared" si="24"/>
        <v/>
      </c>
      <c r="S175" t="str">
        <f t="shared" si="25"/>
        <v/>
      </c>
      <c r="T175" t="str">
        <f t="shared" si="26"/>
        <v/>
      </c>
      <c r="U175" t="str">
        <f t="shared" si="27"/>
        <v/>
      </c>
    </row>
    <row r="176" spans="18:21">
      <c r="R176" t="str">
        <f t="shared" si="24"/>
        <v/>
      </c>
      <c r="S176" t="str">
        <f t="shared" si="25"/>
        <v/>
      </c>
      <c r="T176" t="str">
        <f t="shared" si="26"/>
        <v/>
      </c>
      <c r="U176" t="str">
        <f t="shared" si="27"/>
        <v/>
      </c>
    </row>
    <row r="177" spans="18:21">
      <c r="R177" t="str">
        <f t="shared" si="24"/>
        <v/>
      </c>
      <c r="S177" t="str">
        <f t="shared" si="25"/>
        <v/>
      </c>
      <c r="T177" t="str">
        <f t="shared" si="26"/>
        <v/>
      </c>
      <c r="U177" t="str">
        <f t="shared" si="27"/>
        <v/>
      </c>
    </row>
    <row r="178" spans="18:21">
      <c r="R178" t="str">
        <f t="shared" si="24"/>
        <v/>
      </c>
      <c r="S178" t="str">
        <f t="shared" si="25"/>
        <v/>
      </c>
      <c r="T178" t="str">
        <f t="shared" si="26"/>
        <v/>
      </c>
      <c r="U178" t="str">
        <f t="shared" si="27"/>
        <v/>
      </c>
    </row>
    <row r="179" spans="18:21">
      <c r="R179" t="str">
        <f t="shared" si="24"/>
        <v/>
      </c>
      <c r="S179" t="str">
        <f t="shared" si="25"/>
        <v/>
      </c>
      <c r="T179" t="str">
        <f t="shared" si="26"/>
        <v/>
      </c>
      <c r="U179" t="str">
        <f t="shared" si="27"/>
        <v/>
      </c>
    </row>
    <row r="180" spans="18:21">
      <c r="R180" t="str">
        <f t="shared" si="24"/>
        <v/>
      </c>
      <c r="S180" t="str">
        <f t="shared" si="25"/>
        <v/>
      </c>
      <c r="T180" t="str">
        <f t="shared" si="26"/>
        <v/>
      </c>
      <c r="U180" t="str">
        <f t="shared" si="27"/>
        <v/>
      </c>
    </row>
    <row r="181" spans="18:21">
      <c r="R181" t="str">
        <f t="shared" si="24"/>
        <v/>
      </c>
      <c r="S181" t="str">
        <f t="shared" si="25"/>
        <v/>
      </c>
      <c r="T181" t="str">
        <f t="shared" si="26"/>
        <v/>
      </c>
      <c r="U181" t="str">
        <f t="shared" si="27"/>
        <v/>
      </c>
    </row>
    <row r="182" spans="18:21">
      <c r="R182" t="str">
        <f t="shared" si="24"/>
        <v/>
      </c>
      <c r="S182" t="str">
        <f t="shared" si="25"/>
        <v/>
      </c>
      <c r="T182" t="str">
        <f t="shared" si="26"/>
        <v/>
      </c>
      <c r="U182" t="str">
        <f t="shared" si="27"/>
        <v/>
      </c>
    </row>
    <row r="183" spans="18:21">
      <c r="R183" t="str">
        <f t="shared" si="24"/>
        <v/>
      </c>
      <c r="S183" t="str">
        <f t="shared" si="25"/>
        <v/>
      </c>
      <c r="T183" t="str">
        <f t="shared" si="26"/>
        <v/>
      </c>
      <c r="U183" t="str">
        <f t="shared" si="27"/>
        <v/>
      </c>
    </row>
    <row r="184" spans="18:21">
      <c r="R184" t="str">
        <f t="shared" si="24"/>
        <v/>
      </c>
      <c r="S184" t="str">
        <f t="shared" si="25"/>
        <v/>
      </c>
      <c r="T184" t="str">
        <f t="shared" si="26"/>
        <v/>
      </c>
      <c r="U184" t="str">
        <f t="shared" si="27"/>
        <v/>
      </c>
    </row>
    <row r="185" spans="18:21">
      <c r="R185" t="str">
        <f t="shared" si="24"/>
        <v/>
      </c>
      <c r="S185" t="str">
        <f t="shared" si="25"/>
        <v/>
      </c>
      <c r="T185" t="str">
        <f t="shared" si="26"/>
        <v/>
      </c>
      <c r="U185" t="str">
        <f t="shared" si="27"/>
        <v/>
      </c>
    </row>
    <row r="186" spans="18:21">
      <c r="R186" t="str">
        <f t="shared" si="24"/>
        <v/>
      </c>
      <c r="S186" t="str">
        <f t="shared" si="25"/>
        <v/>
      </c>
      <c r="T186" t="str">
        <f t="shared" si="26"/>
        <v/>
      </c>
      <c r="U186" t="str">
        <f t="shared" si="27"/>
        <v/>
      </c>
    </row>
    <row r="187" spans="18:21">
      <c r="R187" t="str">
        <f t="shared" si="24"/>
        <v/>
      </c>
      <c r="S187" t="str">
        <f t="shared" si="25"/>
        <v/>
      </c>
      <c r="T187" t="str">
        <f t="shared" si="26"/>
        <v/>
      </c>
      <c r="U187" t="str">
        <f t="shared" si="27"/>
        <v/>
      </c>
    </row>
    <row r="188" spans="18:21">
      <c r="R188" t="str">
        <f t="shared" si="24"/>
        <v/>
      </c>
      <c r="S188" t="str">
        <f t="shared" si="25"/>
        <v/>
      </c>
      <c r="T188" t="str">
        <f t="shared" si="26"/>
        <v/>
      </c>
      <c r="U188" t="str">
        <f t="shared" si="27"/>
        <v/>
      </c>
    </row>
    <row r="189" spans="18:21">
      <c r="R189" t="str">
        <f t="shared" si="24"/>
        <v/>
      </c>
      <c r="S189" t="str">
        <f t="shared" si="25"/>
        <v/>
      </c>
      <c r="T189" t="str">
        <f t="shared" si="26"/>
        <v/>
      </c>
      <c r="U189" t="str">
        <f t="shared" si="27"/>
        <v/>
      </c>
    </row>
    <row r="190" spans="18:21">
      <c r="R190" t="str">
        <f t="shared" si="24"/>
        <v/>
      </c>
      <c r="S190" t="str">
        <f t="shared" si="25"/>
        <v/>
      </c>
      <c r="T190" t="str">
        <f t="shared" si="26"/>
        <v/>
      </c>
      <c r="U190" t="str">
        <f t="shared" si="27"/>
        <v/>
      </c>
    </row>
    <row r="191" spans="18:21">
      <c r="R191" t="str">
        <f t="shared" si="24"/>
        <v/>
      </c>
      <c r="S191" t="str">
        <f t="shared" si="25"/>
        <v/>
      </c>
      <c r="T191" t="str">
        <f t="shared" si="26"/>
        <v/>
      </c>
      <c r="U191" t="str">
        <f t="shared" si="27"/>
        <v/>
      </c>
    </row>
    <row r="192" spans="18:21">
      <c r="R192" t="str">
        <f t="shared" si="24"/>
        <v/>
      </c>
      <c r="S192" t="str">
        <f t="shared" si="25"/>
        <v/>
      </c>
      <c r="T192" t="str">
        <f t="shared" si="26"/>
        <v/>
      </c>
      <c r="U192" t="str">
        <f t="shared" si="27"/>
        <v/>
      </c>
    </row>
    <row r="193" spans="18:21">
      <c r="R193" t="str">
        <f t="shared" si="24"/>
        <v/>
      </c>
      <c r="S193" t="str">
        <f t="shared" si="25"/>
        <v/>
      </c>
      <c r="T193" t="str">
        <f t="shared" si="26"/>
        <v/>
      </c>
      <c r="U193" t="str">
        <f t="shared" si="27"/>
        <v/>
      </c>
    </row>
    <row r="194" spans="18:21">
      <c r="R194" t="str">
        <f t="shared" si="24"/>
        <v/>
      </c>
      <c r="S194" t="str">
        <f t="shared" si="25"/>
        <v/>
      </c>
      <c r="T194" t="str">
        <f t="shared" si="26"/>
        <v/>
      </c>
      <c r="U194" t="str">
        <f t="shared" si="27"/>
        <v/>
      </c>
    </row>
    <row r="195" spans="18:21">
      <c r="R195" t="str">
        <f t="shared" si="24"/>
        <v/>
      </c>
      <c r="S195" t="str">
        <f t="shared" si="25"/>
        <v/>
      </c>
      <c r="T195" t="str">
        <f t="shared" si="26"/>
        <v/>
      </c>
      <c r="U195" t="str">
        <f t="shared" si="27"/>
        <v/>
      </c>
    </row>
    <row r="196" spans="18:21">
      <c r="R196" t="str">
        <f t="shared" si="24"/>
        <v/>
      </c>
      <c r="S196" t="str">
        <f t="shared" si="25"/>
        <v/>
      </c>
      <c r="T196" t="str">
        <f t="shared" si="26"/>
        <v/>
      </c>
      <c r="U196" t="str">
        <f t="shared" si="27"/>
        <v/>
      </c>
    </row>
    <row r="197" spans="18:21">
      <c r="R197" t="str">
        <f t="shared" si="24"/>
        <v/>
      </c>
      <c r="S197" t="str">
        <f t="shared" si="25"/>
        <v/>
      </c>
      <c r="T197" t="str">
        <f t="shared" si="26"/>
        <v/>
      </c>
      <c r="U197" t="str">
        <f t="shared" si="27"/>
        <v/>
      </c>
    </row>
    <row r="198" spans="18:21">
      <c r="R198" t="str">
        <f t="shared" si="24"/>
        <v/>
      </c>
      <c r="S198" t="str">
        <f t="shared" si="25"/>
        <v/>
      </c>
      <c r="T198" t="str">
        <f t="shared" si="26"/>
        <v/>
      </c>
      <c r="U198" t="str">
        <f t="shared" si="27"/>
        <v/>
      </c>
    </row>
    <row r="199" spans="18:21">
      <c r="R199" t="str">
        <f t="shared" si="24"/>
        <v/>
      </c>
      <c r="S199" t="str">
        <f t="shared" si="25"/>
        <v/>
      </c>
      <c r="T199" t="str">
        <f t="shared" si="26"/>
        <v/>
      </c>
      <c r="U199" t="str">
        <f t="shared" si="27"/>
        <v/>
      </c>
    </row>
    <row r="200" spans="18:21">
      <c r="R200" t="str">
        <f t="shared" si="24"/>
        <v/>
      </c>
      <c r="S200" t="str">
        <f t="shared" si="25"/>
        <v/>
      </c>
      <c r="T200" t="str">
        <f t="shared" si="26"/>
        <v/>
      </c>
      <c r="U200" t="str">
        <f t="shared" si="27"/>
        <v/>
      </c>
    </row>
    <row r="201" spans="18:21">
      <c r="R201" t="str">
        <f t="shared" si="24"/>
        <v/>
      </c>
      <c r="S201" t="str">
        <f t="shared" si="25"/>
        <v/>
      </c>
      <c r="T201" t="str">
        <f t="shared" si="26"/>
        <v/>
      </c>
      <c r="U201" t="str">
        <f t="shared" si="27"/>
        <v/>
      </c>
    </row>
    <row r="202" spans="18:21">
      <c r="R202" t="str">
        <f t="shared" si="24"/>
        <v/>
      </c>
      <c r="S202" t="str">
        <f t="shared" si="25"/>
        <v/>
      </c>
      <c r="T202" t="str">
        <f t="shared" si="26"/>
        <v/>
      </c>
      <c r="U202" t="str">
        <f t="shared" si="27"/>
        <v/>
      </c>
    </row>
    <row r="203" spans="18:21">
      <c r="R203" t="str">
        <f t="shared" si="24"/>
        <v/>
      </c>
      <c r="S203" t="str">
        <f t="shared" si="25"/>
        <v/>
      </c>
      <c r="T203" t="str">
        <f t="shared" si="26"/>
        <v/>
      </c>
      <c r="U203" t="str">
        <f t="shared" si="27"/>
        <v/>
      </c>
    </row>
    <row r="204" spans="18:21">
      <c r="R204" t="str">
        <f t="shared" si="24"/>
        <v/>
      </c>
      <c r="S204" t="str">
        <f t="shared" si="25"/>
        <v/>
      </c>
      <c r="T204" t="str">
        <f t="shared" si="26"/>
        <v/>
      </c>
      <c r="U204" t="str">
        <f t="shared" si="27"/>
        <v/>
      </c>
    </row>
    <row r="205" spans="18:21">
      <c r="R205" t="str">
        <f t="shared" si="24"/>
        <v/>
      </c>
      <c r="S205" t="str">
        <f t="shared" si="25"/>
        <v/>
      </c>
      <c r="T205" t="str">
        <f t="shared" si="26"/>
        <v/>
      </c>
      <c r="U205" t="str">
        <f t="shared" si="27"/>
        <v/>
      </c>
    </row>
    <row r="206" spans="18:21">
      <c r="R206" t="str">
        <f t="shared" si="24"/>
        <v/>
      </c>
      <c r="S206" t="str">
        <f t="shared" si="25"/>
        <v/>
      </c>
      <c r="T206" t="str">
        <f t="shared" si="26"/>
        <v/>
      </c>
      <c r="U206" t="str">
        <f t="shared" si="27"/>
        <v/>
      </c>
    </row>
    <row r="207" spans="18:21">
      <c r="R207" t="str">
        <f t="shared" si="24"/>
        <v/>
      </c>
      <c r="S207" t="str">
        <f t="shared" si="25"/>
        <v/>
      </c>
      <c r="T207" t="str">
        <f t="shared" si="26"/>
        <v/>
      </c>
      <c r="U207" t="str">
        <f t="shared" si="27"/>
        <v/>
      </c>
    </row>
    <row r="208" spans="18:21">
      <c r="R208" t="str">
        <f t="shared" si="24"/>
        <v/>
      </c>
      <c r="S208" t="str">
        <f t="shared" si="25"/>
        <v/>
      </c>
      <c r="T208" t="str">
        <f t="shared" si="26"/>
        <v/>
      </c>
      <c r="U208" t="str">
        <f t="shared" si="27"/>
        <v/>
      </c>
    </row>
    <row r="209" spans="18:21">
      <c r="R209" t="str">
        <f t="shared" si="24"/>
        <v/>
      </c>
      <c r="S209" t="str">
        <f t="shared" si="25"/>
        <v/>
      </c>
      <c r="T209" t="str">
        <f t="shared" si="26"/>
        <v/>
      </c>
      <c r="U209" t="str">
        <f t="shared" si="27"/>
        <v/>
      </c>
    </row>
    <row r="210" spans="18:21">
      <c r="R210" t="str">
        <f t="shared" si="24"/>
        <v/>
      </c>
      <c r="S210" t="str">
        <f t="shared" si="25"/>
        <v/>
      </c>
      <c r="T210" t="str">
        <f t="shared" si="26"/>
        <v/>
      </c>
      <c r="U210" t="str">
        <f t="shared" si="27"/>
        <v/>
      </c>
    </row>
    <row r="211" spans="18:21">
      <c r="R211" t="str">
        <f t="shared" si="24"/>
        <v/>
      </c>
      <c r="S211" t="str">
        <f t="shared" si="25"/>
        <v/>
      </c>
      <c r="T211" t="str">
        <f t="shared" si="26"/>
        <v/>
      </c>
      <c r="U211" t="str">
        <f t="shared" si="27"/>
        <v/>
      </c>
    </row>
    <row r="212" spans="18:21">
      <c r="R212" t="str">
        <f t="shared" si="24"/>
        <v/>
      </c>
      <c r="S212" t="str">
        <f t="shared" si="25"/>
        <v/>
      </c>
      <c r="T212" t="str">
        <f t="shared" si="26"/>
        <v/>
      </c>
      <c r="U212" t="str">
        <f t="shared" si="27"/>
        <v/>
      </c>
    </row>
    <row r="213" spans="18:21">
      <c r="R213" t="str">
        <f t="shared" si="24"/>
        <v/>
      </c>
      <c r="S213" t="str">
        <f t="shared" si="25"/>
        <v/>
      </c>
      <c r="T213" t="str">
        <f t="shared" si="26"/>
        <v/>
      </c>
      <c r="U213" t="str">
        <f t="shared" si="27"/>
        <v/>
      </c>
    </row>
    <row r="214" spans="18:21">
      <c r="R214" t="str">
        <f t="shared" si="24"/>
        <v/>
      </c>
      <c r="S214" t="str">
        <f t="shared" si="25"/>
        <v/>
      </c>
      <c r="T214" t="str">
        <f t="shared" si="26"/>
        <v/>
      </c>
      <c r="U214" t="str">
        <f t="shared" si="27"/>
        <v/>
      </c>
    </row>
    <row r="215" spans="18:21">
      <c r="R215" t="str">
        <f t="shared" si="24"/>
        <v/>
      </c>
      <c r="S215" t="str">
        <f t="shared" si="25"/>
        <v/>
      </c>
      <c r="T215" t="str">
        <f t="shared" si="26"/>
        <v/>
      </c>
      <c r="U215" t="str">
        <f t="shared" si="27"/>
        <v/>
      </c>
    </row>
    <row r="216" spans="18:21">
      <c r="R216" t="str">
        <f t="shared" si="24"/>
        <v/>
      </c>
      <c r="S216" t="str">
        <f t="shared" si="25"/>
        <v/>
      </c>
      <c r="T216" t="str">
        <f t="shared" si="26"/>
        <v/>
      </c>
      <c r="U216" t="str">
        <f t="shared" si="27"/>
        <v/>
      </c>
    </row>
    <row r="217" spans="18:21">
      <c r="R217" t="str">
        <f t="shared" si="24"/>
        <v/>
      </c>
      <c r="S217" t="str">
        <f t="shared" si="25"/>
        <v/>
      </c>
      <c r="T217" t="str">
        <f t="shared" si="26"/>
        <v/>
      </c>
      <c r="U217" t="str">
        <f t="shared" si="27"/>
        <v/>
      </c>
    </row>
    <row r="218" spans="18:21">
      <c r="R218" t="str">
        <f t="shared" si="24"/>
        <v/>
      </c>
      <c r="S218" t="str">
        <f t="shared" si="25"/>
        <v/>
      </c>
      <c r="T218" t="str">
        <f t="shared" si="26"/>
        <v/>
      </c>
      <c r="U218" t="str">
        <f t="shared" si="27"/>
        <v/>
      </c>
    </row>
    <row r="219" spans="18:21">
      <c r="R219" t="str">
        <f t="shared" si="24"/>
        <v/>
      </c>
      <c r="S219" t="str">
        <f t="shared" si="25"/>
        <v/>
      </c>
      <c r="T219" t="str">
        <f t="shared" si="26"/>
        <v/>
      </c>
      <c r="U219" t="str">
        <f t="shared" si="27"/>
        <v/>
      </c>
    </row>
    <row r="220" spans="18:21">
      <c r="R220" t="str">
        <f t="shared" ref="R220:R283" si="28">IF(AND(I220&lt;&gt;"",M220&lt;&gt;"",M220&lt;&gt;0),VLOOKUP(I220,$V:$W,2,FALSE)&amp;","&amp;M220,"")</f>
        <v/>
      </c>
      <c r="S220" t="str">
        <f t="shared" ref="S220:S283" si="29">IF(AND(J220&lt;&gt;"",N220&lt;&gt;"",N220&lt;&gt;0),VLOOKUP(J220,$V:$W,2,FALSE)&amp;","&amp;N220,"")</f>
        <v/>
      </c>
      <c r="T220" t="str">
        <f t="shared" ref="T220:T283" si="30">IF(AND(K220&lt;&gt;"",O220&lt;&gt;"",O220&lt;&gt;0),VLOOKUP(K220,$V:$W,2,FALSE)&amp;","&amp;O220,"")</f>
        <v/>
      </c>
      <c r="U220" t="str">
        <f t="shared" ref="U220:U283" si="31">IF(AND(L220&lt;&gt;"",P220&lt;&gt;"",P220&lt;&gt;0),VLOOKUP(L220,$V:$W,2,FALSE)&amp;","&amp;P220,"")</f>
        <v/>
      </c>
    </row>
    <row r="221" spans="18:21">
      <c r="R221" t="str">
        <f t="shared" si="28"/>
        <v/>
      </c>
      <c r="S221" t="str">
        <f t="shared" si="29"/>
        <v/>
      </c>
      <c r="T221" t="str">
        <f t="shared" si="30"/>
        <v/>
      </c>
      <c r="U221" t="str">
        <f t="shared" si="31"/>
        <v/>
      </c>
    </row>
    <row r="222" spans="18:21">
      <c r="R222" t="str">
        <f t="shared" si="28"/>
        <v/>
      </c>
      <c r="S222" t="str">
        <f t="shared" si="29"/>
        <v/>
      </c>
      <c r="T222" t="str">
        <f t="shared" si="30"/>
        <v/>
      </c>
      <c r="U222" t="str">
        <f t="shared" si="31"/>
        <v/>
      </c>
    </row>
    <row r="223" spans="18:21">
      <c r="R223" t="str">
        <f t="shared" si="28"/>
        <v/>
      </c>
      <c r="S223" t="str">
        <f t="shared" si="29"/>
        <v/>
      </c>
      <c r="T223" t="str">
        <f t="shared" si="30"/>
        <v/>
      </c>
      <c r="U223" t="str">
        <f t="shared" si="31"/>
        <v/>
      </c>
    </row>
    <row r="224" spans="18:21">
      <c r="R224" t="str">
        <f t="shared" si="28"/>
        <v/>
      </c>
      <c r="S224" t="str">
        <f t="shared" si="29"/>
        <v/>
      </c>
      <c r="T224" t="str">
        <f t="shared" si="30"/>
        <v/>
      </c>
      <c r="U224" t="str">
        <f t="shared" si="31"/>
        <v/>
      </c>
    </row>
    <row r="225" spans="18:21">
      <c r="R225" t="str">
        <f t="shared" si="28"/>
        <v/>
      </c>
      <c r="S225" t="str">
        <f t="shared" si="29"/>
        <v/>
      </c>
      <c r="T225" t="str">
        <f t="shared" si="30"/>
        <v/>
      </c>
      <c r="U225" t="str">
        <f t="shared" si="31"/>
        <v/>
      </c>
    </row>
    <row r="226" spans="18:21">
      <c r="R226" t="str">
        <f t="shared" si="28"/>
        <v/>
      </c>
      <c r="S226" t="str">
        <f t="shared" si="29"/>
        <v/>
      </c>
      <c r="T226" t="str">
        <f t="shared" si="30"/>
        <v/>
      </c>
      <c r="U226" t="str">
        <f t="shared" si="31"/>
        <v/>
      </c>
    </row>
    <row r="227" spans="18:21">
      <c r="R227" t="str">
        <f t="shared" si="28"/>
        <v/>
      </c>
      <c r="S227" t="str">
        <f t="shared" si="29"/>
        <v/>
      </c>
      <c r="T227" t="str">
        <f t="shared" si="30"/>
        <v/>
      </c>
      <c r="U227" t="str">
        <f t="shared" si="31"/>
        <v/>
      </c>
    </row>
    <row r="228" spans="18:21">
      <c r="R228" t="str">
        <f t="shared" si="28"/>
        <v/>
      </c>
      <c r="S228" t="str">
        <f t="shared" si="29"/>
        <v/>
      </c>
      <c r="T228" t="str">
        <f t="shared" si="30"/>
        <v/>
      </c>
      <c r="U228" t="str">
        <f t="shared" si="31"/>
        <v/>
      </c>
    </row>
    <row r="229" spans="18:21">
      <c r="R229" t="str">
        <f t="shared" si="28"/>
        <v/>
      </c>
      <c r="S229" t="str">
        <f t="shared" si="29"/>
        <v/>
      </c>
      <c r="T229" t="str">
        <f t="shared" si="30"/>
        <v/>
      </c>
      <c r="U229" t="str">
        <f t="shared" si="31"/>
        <v/>
      </c>
    </row>
    <row r="230" spans="18:21">
      <c r="R230" t="str">
        <f t="shared" si="28"/>
        <v/>
      </c>
      <c r="S230" t="str">
        <f t="shared" si="29"/>
        <v/>
      </c>
      <c r="T230" t="str">
        <f t="shared" si="30"/>
        <v/>
      </c>
      <c r="U230" t="str">
        <f t="shared" si="31"/>
        <v/>
      </c>
    </row>
    <row r="231" spans="18:21">
      <c r="R231" t="str">
        <f t="shared" si="28"/>
        <v/>
      </c>
      <c r="S231" t="str">
        <f t="shared" si="29"/>
        <v/>
      </c>
      <c r="T231" t="str">
        <f t="shared" si="30"/>
        <v/>
      </c>
      <c r="U231" t="str">
        <f t="shared" si="31"/>
        <v/>
      </c>
    </row>
    <row r="232" spans="18:21">
      <c r="R232" t="str">
        <f t="shared" si="28"/>
        <v/>
      </c>
      <c r="S232" t="str">
        <f t="shared" si="29"/>
        <v/>
      </c>
      <c r="T232" t="str">
        <f t="shared" si="30"/>
        <v/>
      </c>
      <c r="U232" t="str">
        <f t="shared" si="31"/>
        <v/>
      </c>
    </row>
    <row r="233" spans="18:21">
      <c r="R233" t="str">
        <f t="shared" si="28"/>
        <v/>
      </c>
      <c r="S233" t="str">
        <f t="shared" si="29"/>
        <v/>
      </c>
      <c r="T233" t="str">
        <f t="shared" si="30"/>
        <v/>
      </c>
      <c r="U233" t="str">
        <f t="shared" si="31"/>
        <v/>
      </c>
    </row>
    <row r="234" spans="18:21">
      <c r="R234" t="str">
        <f t="shared" si="28"/>
        <v/>
      </c>
      <c r="S234" t="str">
        <f t="shared" si="29"/>
        <v/>
      </c>
      <c r="T234" t="str">
        <f t="shared" si="30"/>
        <v/>
      </c>
      <c r="U234" t="str">
        <f t="shared" si="31"/>
        <v/>
      </c>
    </row>
    <row r="235" spans="18:21">
      <c r="R235" t="str">
        <f t="shared" si="28"/>
        <v/>
      </c>
      <c r="S235" t="str">
        <f t="shared" si="29"/>
        <v/>
      </c>
      <c r="T235" t="str">
        <f t="shared" si="30"/>
        <v/>
      </c>
      <c r="U235" t="str">
        <f t="shared" si="31"/>
        <v/>
      </c>
    </row>
    <row r="236" spans="18:21">
      <c r="R236" t="str">
        <f t="shared" si="28"/>
        <v/>
      </c>
      <c r="S236" t="str">
        <f t="shared" si="29"/>
        <v/>
      </c>
      <c r="T236" t="str">
        <f t="shared" si="30"/>
        <v/>
      </c>
      <c r="U236" t="str">
        <f t="shared" si="31"/>
        <v/>
      </c>
    </row>
    <row r="237" spans="18:21">
      <c r="R237" t="str">
        <f t="shared" si="28"/>
        <v/>
      </c>
      <c r="S237" t="str">
        <f t="shared" si="29"/>
        <v/>
      </c>
      <c r="T237" t="str">
        <f t="shared" si="30"/>
        <v/>
      </c>
      <c r="U237" t="str">
        <f t="shared" si="31"/>
        <v/>
      </c>
    </row>
    <row r="238" spans="18:21">
      <c r="R238" t="str">
        <f t="shared" si="28"/>
        <v/>
      </c>
      <c r="S238" t="str">
        <f t="shared" si="29"/>
        <v/>
      </c>
      <c r="T238" t="str">
        <f t="shared" si="30"/>
        <v/>
      </c>
      <c r="U238" t="str">
        <f t="shared" si="31"/>
        <v/>
      </c>
    </row>
    <row r="239" spans="18:21">
      <c r="R239" t="str">
        <f t="shared" si="28"/>
        <v/>
      </c>
      <c r="S239" t="str">
        <f t="shared" si="29"/>
        <v/>
      </c>
      <c r="T239" t="str">
        <f t="shared" si="30"/>
        <v/>
      </c>
      <c r="U239" t="str">
        <f t="shared" si="31"/>
        <v/>
      </c>
    </row>
    <row r="240" spans="18:21">
      <c r="R240" t="str">
        <f t="shared" si="28"/>
        <v/>
      </c>
      <c r="S240" t="str">
        <f t="shared" si="29"/>
        <v/>
      </c>
      <c r="T240" t="str">
        <f t="shared" si="30"/>
        <v/>
      </c>
      <c r="U240" t="str">
        <f t="shared" si="31"/>
        <v/>
      </c>
    </row>
    <row r="241" spans="18:21">
      <c r="R241" t="str">
        <f t="shared" si="28"/>
        <v/>
      </c>
      <c r="S241" t="str">
        <f t="shared" si="29"/>
        <v/>
      </c>
      <c r="T241" t="str">
        <f t="shared" si="30"/>
        <v/>
      </c>
      <c r="U241" t="str">
        <f t="shared" si="31"/>
        <v/>
      </c>
    </row>
    <row r="242" spans="18:21">
      <c r="R242" t="str">
        <f t="shared" si="28"/>
        <v/>
      </c>
      <c r="S242" t="str">
        <f t="shared" si="29"/>
        <v/>
      </c>
      <c r="T242" t="str">
        <f t="shared" si="30"/>
        <v/>
      </c>
      <c r="U242" t="str">
        <f t="shared" si="31"/>
        <v/>
      </c>
    </row>
    <row r="243" spans="18:21">
      <c r="R243" t="str">
        <f t="shared" si="28"/>
        <v/>
      </c>
      <c r="S243" t="str">
        <f t="shared" si="29"/>
        <v/>
      </c>
      <c r="T243" t="str">
        <f t="shared" si="30"/>
        <v/>
      </c>
      <c r="U243" t="str">
        <f t="shared" si="31"/>
        <v/>
      </c>
    </row>
    <row r="244" spans="18:21">
      <c r="R244" t="str">
        <f t="shared" si="28"/>
        <v/>
      </c>
      <c r="S244" t="str">
        <f t="shared" si="29"/>
        <v/>
      </c>
      <c r="T244" t="str">
        <f t="shared" si="30"/>
        <v/>
      </c>
      <c r="U244" t="str">
        <f t="shared" si="31"/>
        <v/>
      </c>
    </row>
    <row r="245" spans="18:21">
      <c r="R245" t="str">
        <f t="shared" si="28"/>
        <v/>
      </c>
      <c r="S245" t="str">
        <f t="shared" si="29"/>
        <v/>
      </c>
      <c r="T245" t="str">
        <f t="shared" si="30"/>
        <v/>
      </c>
      <c r="U245" t="str">
        <f t="shared" si="31"/>
        <v/>
      </c>
    </row>
    <row r="246" spans="18:21">
      <c r="R246" t="str">
        <f t="shared" si="28"/>
        <v/>
      </c>
      <c r="S246" t="str">
        <f t="shared" si="29"/>
        <v/>
      </c>
      <c r="T246" t="str">
        <f t="shared" si="30"/>
        <v/>
      </c>
      <c r="U246" t="str">
        <f t="shared" si="31"/>
        <v/>
      </c>
    </row>
    <row r="247" spans="18:21">
      <c r="R247" t="str">
        <f t="shared" si="28"/>
        <v/>
      </c>
      <c r="S247" t="str">
        <f t="shared" si="29"/>
        <v/>
      </c>
      <c r="T247" t="str">
        <f t="shared" si="30"/>
        <v/>
      </c>
      <c r="U247" t="str">
        <f t="shared" si="31"/>
        <v/>
      </c>
    </row>
    <row r="248" spans="18:21">
      <c r="R248" t="str">
        <f t="shared" si="28"/>
        <v/>
      </c>
      <c r="S248" t="str">
        <f t="shared" si="29"/>
        <v/>
      </c>
      <c r="T248" t="str">
        <f t="shared" si="30"/>
        <v/>
      </c>
      <c r="U248" t="str">
        <f t="shared" si="31"/>
        <v/>
      </c>
    </row>
    <row r="249" spans="18:21">
      <c r="R249" t="str">
        <f t="shared" si="28"/>
        <v/>
      </c>
      <c r="S249" t="str">
        <f t="shared" si="29"/>
        <v/>
      </c>
      <c r="T249" t="str">
        <f t="shared" si="30"/>
        <v/>
      </c>
      <c r="U249" t="str">
        <f t="shared" si="31"/>
        <v/>
      </c>
    </row>
    <row r="250" spans="18:21">
      <c r="R250" t="str">
        <f t="shared" si="28"/>
        <v/>
      </c>
      <c r="S250" t="str">
        <f t="shared" si="29"/>
        <v/>
      </c>
      <c r="T250" t="str">
        <f t="shared" si="30"/>
        <v/>
      </c>
      <c r="U250" t="str">
        <f t="shared" si="31"/>
        <v/>
      </c>
    </row>
    <row r="251" spans="18:21">
      <c r="R251" t="str">
        <f t="shared" si="28"/>
        <v/>
      </c>
      <c r="S251" t="str">
        <f t="shared" si="29"/>
        <v/>
      </c>
      <c r="T251" t="str">
        <f t="shared" si="30"/>
        <v/>
      </c>
      <c r="U251" t="str">
        <f t="shared" si="31"/>
        <v/>
      </c>
    </row>
    <row r="252" spans="18:21">
      <c r="R252" t="str">
        <f t="shared" si="28"/>
        <v/>
      </c>
      <c r="S252" t="str">
        <f t="shared" si="29"/>
        <v/>
      </c>
      <c r="T252" t="str">
        <f t="shared" si="30"/>
        <v/>
      </c>
      <c r="U252" t="str">
        <f t="shared" si="31"/>
        <v/>
      </c>
    </row>
    <row r="253" spans="18:21">
      <c r="R253" t="str">
        <f t="shared" si="28"/>
        <v/>
      </c>
      <c r="S253" t="str">
        <f t="shared" si="29"/>
        <v/>
      </c>
      <c r="T253" t="str">
        <f t="shared" si="30"/>
        <v/>
      </c>
      <c r="U253" t="str">
        <f t="shared" si="31"/>
        <v/>
      </c>
    </row>
    <row r="254" spans="18:21">
      <c r="R254" t="str">
        <f t="shared" si="28"/>
        <v/>
      </c>
      <c r="S254" t="str">
        <f t="shared" si="29"/>
        <v/>
      </c>
      <c r="T254" t="str">
        <f t="shared" si="30"/>
        <v/>
      </c>
      <c r="U254" t="str">
        <f t="shared" si="31"/>
        <v/>
      </c>
    </row>
    <row r="255" spans="18:21">
      <c r="R255" t="str">
        <f t="shared" si="28"/>
        <v/>
      </c>
      <c r="S255" t="str">
        <f t="shared" si="29"/>
        <v/>
      </c>
      <c r="T255" t="str">
        <f t="shared" si="30"/>
        <v/>
      </c>
      <c r="U255" t="str">
        <f t="shared" si="31"/>
        <v/>
      </c>
    </row>
    <row r="256" spans="18:21">
      <c r="R256" t="str">
        <f t="shared" si="28"/>
        <v/>
      </c>
      <c r="S256" t="str">
        <f t="shared" si="29"/>
        <v/>
      </c>
      <c r="T256" t="str">
        <f t="shared" si="30"/>
        <v/>
      </c>
      <c r="U256" t="str">
        <f t="shared" si="31"/>
        <v/>
      </c>
    </row>
    <row r="257" spans="18:21">
      <c r="R257" t="str">
        <f t="shared" si="28"/>
        <v/>
      </c>
      <c r="S257" t="str">
        <f t="shared" si="29"/>
        <v/>
      </c>
      <c r="T257" t="str">
        <f t="shared" si="30"/>
        <v/>
      </c>
      <c r="U257" t="str">
        <f t="shared" si="31"/>
        <v/>
      </c>
    </row>
    <row r="258" spans="18:21">
      <c r="R258" t="str">
        <f t="shared" si="28"/>
        <v/>
      </c>
      <c r="S258" t="str">
        <f t="shared" si="29"/>
        <v/>
      </c>
      <c r="T258" t="str">
        <f t="shared" si="30"/>
        <v/>
      </c>
      <c r="U258" t="str">
        <f t="shared" si="31"/>
        <v/>
      </c>
    </row>
    <row r="259" spans="18:21">
      <c r="R259" t="str">
        <f t="shared" si="28"/>
        <v/>
      </c>
      <c r="S259" t="str">
        <f t="shared" si="29"/>
        <v/>
      </c>
      <c r="T259" t="str">
        <f t="shared" si="30"/>
        <v/>
      </c>
      <c r="U259" t="str">
        <f t="shared" si="31"/>
        <v/>
      </c>
    </row>
    <row r="260" spans="18:21">
      <c r="R260" t="str">
        <f t="shared" si="28"/>
        <v/>
      </c>
      <c r="S260" t="str">
        <f t="shared" si="29"/>
        <v/>
      </c>
      <c r="T260" t="str">
        <f t="shared" si="30"/>
        <v/>
      </c>
      <c r="U260" t="str">
        <f t="shared" si="31"/>
        <v/>
      </c>
    </row>
    <row r="261" spans="18:21">
      <c r="R261" t="str">
        <f t="shared" si="28"/>
        <v/>
      </c>
      <c r="S261" t="str">
        <f t="shared" si="29"/>
        <v/>
      </c>
      <c r="T261" t="str">
        <f t="shared" si="30"/>
        <v/>
      </c>
      <c r="U261" t="str">
        <f t="shared" si="31"/>
        <v/>
      </c>
    </row>
    <row r="262" spans="18:21">
      <c r="R262" t="str">
        <f t="shared" si="28"/>
        <v/>
      </c>
      <c r="S262" t="str">
        <f t="shared" si="29"/>
        <v/>
      </c>
      <c r="T262" t="str">
        <f t="shared" si="30"/>
        <v/>
      </c>
      <c r="U262" t="str">
        <f t="shared" si="31"/>
        <v/>
      </c>
    </row>
    <row r="263" spans="18:21">
      <c r="R263" t="str">
        <f t="shared" si="28"/>
        <v/>
      </c>
      <c r="S263" t="str">
        <f t="shared" si="29"/>
        <v/>
      </c>
      <c r="T263" t="str">
        <f t="shared" si="30"/>
        <v/>
      </c>
      <c r="U263" t="str">
        <f t="shared" si="31"/>
        <v/>
      </c>
    </row>
    <row r="264" spans="18:21">
      <c r="R264" t="str">
        <f t="shared" si="28"/>
        <v/>
      </c>
      <c r="S264" t="str">
        <f t="shared" si="29"/>
        <v/>
      </c>
      <c r="T264" t="str">
        <f t="shared" si="30"/>
        <v/>
      </c>
      <c r="U264" t="str">
        <f t="shared" si="31"/>
        <v/>
      </c>
    </row>
    <row r="265" spans="18:21">
      <c r="R265" t="str">
        <f t="shared" si="28"/>
        <v/>
      </c>
      <c r="S265" t="str">
        <f t="shared" si="29"/>
        <v/>
      </c>
      <c r="T265" t="str">
        <f t="shared" si="30"/>
        <v/>
      </c>
      <c r="U265" t="str">
        <f t="shared" si="31"/>
        <v/>
      </c>
    </row>
    <row r="266" spans="18:21">
      <c r="R266" t="str">
        <f t="shared" si="28"/>
        <v/>
      </c>
      <c r="S266" t="str">
        <f t="shared" si="29"/>
        <v/>
      </c>
      <c r="T266" t="str">
        <f t="shared" si="30"/>
        <v/>
      </c>
      <c r="U266" t="str">
        <f t="shared" si="31"/>
        <v/>
      </c>
    </row>
    <row r="267" spans="18:21">
      <c r="R267" t="str">
        <f t="shared" si="28"/>
        <v/>
      </c>
      <c r="S267" t="str">
        <f t="shared" si="29"/>
        <v/>
      </c>
      <c r="T267" t="str">
        <f t="shared" si="30"/>
        <v/>
      </c>
      <c r="U267" t="str">
        <f t="shared" si="31"/>
        <v/>
      </c>
    </row>
    <row r="268" spans="18:21">
      <c r="R268" t="str">
        <f t="shared" si="28"/>
        <v/>
      </c>
      <c r="S268" t="str">
        <f t="shared" si="29"/>
        <v/>
      </c>
      <c r="T268" t="str">
        <f t="shared" si="30"/>
        <v/>
      </c>
      <c r="U268" t="str">
        <f t="shared" si="31"/>
        <v/>
      </c>
    </row>
    <row r="269" spans="18:21">
      <c r="R269" t="str">
        <f t="shared" si="28"/>
        <v/>
      </c>
      <c r="S269" t="str">
        <f t="shared" si="29"/>
        <v/>
      </c>
      <c r="T269" t="str">
        <f t="shared" si="30"/>
        <v/>
      </c>
      <c r="U269" t="str">
        <f t="shared" si="31"/>
        <v/>
      </c>
    </row>
    <row r="270" spans="18:21">
      <c r="R270" t="str">
        <f t="shared" si="28"/>
        <v/>
      </c>
      <c r="S270" t="str">
        <f t="shared" si="29"/>
        <v/>
      </c>
      <c r="T270" t="str">
        <f t="shared" si="30"/>
        <v/>
      </c>
      <c r="U270" t="str">
        <f t="shared" si="31"/>
        <v/>
      </c>
    </row>
    <row r="271" spans="18:21">
      <c r="R271" t="str">
        <f t="shared" si="28"/>
        <v/>
      </c>
      <c r="S271" t="str">
        <f t="shared" si="29"/>
        <v/>
      </c>
      <c r="T271" t="str">
        <f t="shared" si="30"/>
        <v/>
      </c>
      <c r="U271" t="str">
        <f t="shared" si="31"/>
        <v/>
      </c>
    </row>
    <row r="272" spans="18:21">
      <c r="R272" t="str">
        <f t="shared" si="28"/>
        <v/>
      </c>
      <c r="S272" t="str">
        <f t="shared" si="29"/>
        <v/>
      </c>
      <c r="T272" t="str">
        <f t="shared" si="30"/>
        <v/>
      </c>
      <c r="U272" t="str">
        <f t="shared" si="31"/>
        <v/>
      </c>
    </row>
    <row r="273" spans="18:21">
      <c r="R273" t="str">
        <f t="shared" si="28"/>
        <v/>
      </c>
      <c r="S273" t="str">
        <f t="shared" si="29"/>
        <v/>
      </c>
      <c r="T273" t="str">
        <f t="shared" si="30"/>
        <v/>
      </c>
      <c r="U273" t="str">
        <f t="shared" si="31"/>
        <v/>
      </c>
    </row>
    <row r="274" spans="18:21">
      <c r="R274" t="str">
        <f t="shared" si="28"/>
        <v/>
      </c>
      <c r="S274" t="str">
        <f t="shared" si="29"/>
        <v/>
      </c>
      <c r="T274" t="str">
        <f t="shared" si="30"/>
        <v/>
      </c>
      <c r="U274" t="str">
        <f t="shared" si="31"/>
        <v/>
      </c>
    </row>
    <row r="275" spans="18:21">
      <c r="R275" t="str">
        <f t="shared" si="28"/>
        <v/>
      </c>
      <c r="S275" t="str">
        <f t="shared" si="29"/>
        <v/>
      </c>
      <c r="T275" t="str">
        <f t="shared" si="30"/>
        <v/>
      </c>
      <c r="U275" t="str">
        <f t="shared" si="31"/>
        <v/>
      </c>
    </row>
    <row r="276" spans="18:21">
      <c r="R276" t="str">
        <f t="shared" si="28"/>
        <v/>
      </c>
      <c r="S276" t="str">
        <f t="shared" si="29"/>
        <v/>
      </c>
      <c r="T276" t="str">
        <f t="shared" si="30"/>
        <v/>
      </c>
      <c r="U276" t="str">
        <f t="shared" si="31"/>
        <v/>
      </c>
    </row>
    <row r="277" spans="18:21">
      <c r="R277" t="str">
        <f t="shared" si="28"/>
        <v/>
      </c>
      <c r="S277" t="str">
        <f t="shared" si="29"/>
        <v/>
      </c>
      <c r="T277" t="str">
        <f t="shared" si="30"/>
        <v/>
      </c>
      <c r="U277" t="str">
        <f t="shared" si="31"/>
        <v/>
      </c>
    </row>
    <row r="278" spans="18:21">
      <c r="R278" t="str">
        <f t="shared" si="28"/>
        <v/>
      </c>
      <c r="S278" t="str">
        <f t="shared" si="29"/>
        <v/>
      </c>
      <c r="T278" t="str">
        <f t="shared" si="30"/>
        <v/>
      </c>
      <c r="U278" t="str">
        <f t="shared" si="31"/>
        <v/>
      </c>
    </row>
    <row r="279" spans="18:21">
      <c r="R279" t="str">
        <f t="shared" si="28"/>
        <v/>
      </c>
      <c r="S279" t="str">
        <f t="shared" si="29"/>
        <v/>
      </c>
      <c r="T279" t="str">
        <f t="shared" si="30"/>
        <v/>
      </c>
      <c r="U279" t="str">
        <f t="shared" si="31"/>
        <v/>
      </c>
    </row>
    <row r="280" spans="18:21">
      <c r="R280" t="str">
        <f t="shared" si="28"/>
        <v/>
      </c>
      <c r="S280" t="str">
        <f t="shared" si="29"/>
        <v/>
      </c>
      <c r="T280" t="str">
        <f t="shared" si="30"/>
        <v/>
      </c>
      <c r="U280" t="str">
        <f t="shared" si="31"/>
        <v/>
      </c>
    </row>
    <row r="281" spans="18:21">
      <c r="R281" t="str">
        <f t="shared" si="28"/>
        <v/>
      </c>
      <c r="S281" t="str">
        <f t="shared" si="29"/>
        <v/>
      </c>
      <c r="T281" t="str">
        <f t="shared" si="30"/>
        <v/>
      </c>
      <c r="U281" t="str">
        <f t="shared" si="31"/>
        <v/>
      </c>
    </row>
    <row r="282" spans="18:21">
      <c r="R282" t="str">
        <f t="shared" si="28"/>
        <v/>
      </c>
      <c r="S282" t="str">
        <f t="shared" si="29"/>
        <v/>
      </c>
      <c r="T282" t="str">
        <f t="shared" si="30"/>
        <v/>
      </c>
      <c r="U282" t="str">
        <f t="shared" si="31"/>
        <v/>
      </c>
    </row>
    <row r="283" spans="18:21">
      <c r="R283" t="str">
        <f t="shared" si="28"/>
        <v/>
      </c>
      <c r="S283" t="str">
        <f t="shared" si="29"/>
        <v/>
      </c>
      <c r="T283" t="str">
        <f t="shared" si="30"/>
        <v/>
      </c>
      <c r="U283" t="str">
        <f t="shared" si="31"/>
        <v/>
      </c>
    </row>
    <row r="284" spans="18:21">
      <c r="R284" t="str">
        <f t="shared" ref="R284:R347" si="32">IF(AND(I284&lt;&gt;"",M284&lt;&gt;"",M284&lt;&gt;0),VLOOKUP(I284,$V:$W,2,FALSE)&amp;","&amp;M284,"")</f>
        <v/>
      </c>
      <c r="S284" t="str">
        <f t="shared" ref="S284:S347" si="33">IF(AND(J284&lt;&gt;"",N284&lt;&gt;"",N284&lt;&gt;0),VLOOKUP(J284,$V:$W,2,FALSE)&amp;","&amp;N284,"")</f>
        <v/>
      </c>
      <c r="T284" t="str">
        <f t="shared" ref="T284:T347" si="34">IF(AND(K284&lt;&gt;"",O284&lt;&gt;"",O284&lt;&gt;0),VLOOKUP(K284,$V:$W,2,FALSE)&amp;","&amp;O284,"")</f>
        <v/>
      </c>
      <c r="U284" t="str">
        <f t="shared" ref="U284:U347" si="35">IF(AND(L284&lt;&gt;"",P284&lt;&gt;"",P284&lt;&gt;0),VLOOKUP(L284,$V:$W,2,FALSE)&amp;","&amp;P284,"")</f>
        <v/>
      </c>
    </row>
    <row r="285" spans="18:21">
      <c r="R285" t="str">
        <f t="shared" si="32"/>
        <v/>
      </c>
      <c r="S285" t="str">
        <f t="shared" si="33"/>
        <v/>
      </c>
      <c r="T285" t="str">
        <f t="shared" si="34"/>
        <v/>
      </c>
      <c r="U285" t="str">
        <f t="shared" si="35"/>
        <v/>
      </c>
    </row>
    <row r="286" spans="18:21">
      <c r="R286" t="str">
        <f t="shared" si="32"/>
        <v/>
      </c>
      <c r="S286" t="str">
        <f t="shared" si="33"/>
        <v/>
      </c>
      <c r="T286" t="str">
        <f t="shared" si="34"/>
        <v/>
      </c>
      <c r="U286" t="str">
        <f t="shared" si="35"/>
        <v/>
      </c>
    </row>
    <row r="287" spans="18:21">
      <c r="R287" t="str">
        <f t="shared" si="32"/>
        <v/>
      </c>
      <c r="S287" t="str">
        <f t="shared" si="33"/>
        <v/>
      </c>
      <c r="T287" t="str">
        <f t="shared" si="34"/>
        <v/>
      </c>
      <c r="U287" t="str">
        <f t="shared" si="35"/>
        <v/>
      </c>
    </row>
    <row r="288" spans="18:21">
      <c r="R288" t="str">
        <f t="shared" si="32"/>
        <v/>
      </c>
      <c r="S288" t="str">
        <f t="shared" si="33"/>
        <v/>
      </c>
      <c r="T288" t="str">
        <f t="shared" si="34"/>
        <v/>
      </c>
      <c r="U288" t="str">
        <f t="shared" si="35"/>
        <v/>
      </c>
    </row>
    <row r="289" spans="18:21">
      <c r="R289" t="str">
        <f t="shared" si="32"/>
        <v/>
      </c>
      <c r="S289" t="str">
        <f t="shared" si="33"/>
        <v/>
      </c>
      <c r="T289" t="str">
        <f t="shared" si="34"/>
        <v/>
      </c>
      <c r="U289" t="str">
        <f t="shared" si="35"/>
        <v/>
      </c>
    </row>
    <row r="290" spans="18:21">
      <c r="R290" t="str">
        <f t="shared" si="32"/>
        <v/>
      </c>
      <c r="S290" t="str">
        <f t="shared" si="33"/>
        <v/>
      </c>
      <c r="T290" t="str">
        <f t="shared" si="34"/>
        <v/>
      </c>
      <c r="U290" t="str">
        <f t="shared" si="35"/>
        <v/>
      </c>
    </row>
    <row r="291" spans="18:21">
      <c r="R291" t="str">
        <f t="shared" si="32"/>
        <v/>
      </c>
      <c r="S291" t="str">
        <f t="shared" si="33"/>
        <v/>
      </c>
      <c r="T291" t="str">
        <f t="shared" si="34"/>
        <v/>
      </c>
      <c r="U291" t="str">
        <f t="shared" si="35"/>
        <v/>
      </c>
    </row>
    <row r="292" spans="18:21">
      <c r="R292" t="str">
        <f t="shared" si="32"/>
        <v/>
      </c>
      <c r="S292" t="str">
        <f t="shared" si="33"/>
        <v/>
      </c>
      <c r="T292" t="str">
        <f t="shared" si="34"/>
        <v/>
      </c>
      <c r="U292" t="str">
        <f t="shared" si="35"/>
        <v/>
      </c>
    </row>
    <row r="293" spans="18:21">
      <c r="R293" t="str">
        <f t="shared" si="32"/>
        <v/>
      </c>
      <c r="S293" t="str">
        <f t="shared" si="33"/>
        <v/>
      </c>
      <c r="T293" t="str">
        <f t="shared" si="34"/>
        <v/>
      </c>
      <c r="U293" t="str">
        <f t="shared" si="35"/>
        <v/>
      </c>
    </row>
    <row r="294" spans="18:21">
      <c r="R294" t="str">
        <f t="shared" si="32"/>
        <v/>
      </c>
      <c r="S294" t="str">
        <f t="shared" si="33"/>
        <v/>
      </c>
      <c r="T294" t="str">
        <f t="shared" si="34"/>
        <v/>
      </c>
      <c r="U294" t="str">
        <f t="shared" si="35"/>
        <v/>
      </c>
    </row>
    <row r="295" spans="18:21">
      <c r="R295" t="str">
        <f t="shared" si="32"/>
        <v/>
      </c>
      <c r="S295" t="str">
        <f t="shared" si="33"/>
        <v/>
      </c>
      <c r="T295" t="str">
        <f t="shared" si="34"/>
        <v/>
      </c>
      <c r="U295" t="str">
        <f t="shared" si="35"/>
        <v/>
      </c>
    </row>
    <row r="296" spans="18:21">
      <c r="R296" t="str">
        <f t="shared" si="32"/>
        <v/>
      </c>
      <c r="S296" t="str">
        <f t="shared" si="33"/>
        <v/>
      </c>
      <c r="T296" t="str">
        <f t="shared" si="34"/>
        <v/>
      </c>
      <c r="U296" t="str">
        <f t="shared" si="35"/>
        <v/>
      </c>
    </row>
    <row r="297" spans="18:21">
      <c r="R297" t="str">
        <f t="shared" si="32"/>
        <v/>
      </c>
      <c r="S297" t="str">
        <f t="shared" si="33"/>
        <v/>
      </c>
      <c r="T297" t="str">
        <f t="shared" si="34"/>
        <v/>
      </c>
      <c r="U297" t="str">
        <f t="shared" si="35"/>
        <v/>
      </c>
    </row>
    <row r="298" spans="18:21">
      <c r="R298" t="str">
        <f t="shared" si="32"/>
        <v/>
      </c>
      <c r="S298" t="str">
        <f t="shared" si="33"/>
        <v/>
      </c>
      <c r="T298" t="str">
        <f t="shared" si="34"/>
        <v/>
      </c>
      <c r="U298" t="str">
        <f t="shared" si="35"/>
        <v/>
      </c>
    </row>
    <row r="299" spans="18:21">
      <c r="R299" t="str">
        <f t="shared" si="32"/>
        <v/>
      </c>
      <c r="S299" t="str">
        <f t="shared" si="33"/>
        <v/>
      </c>
      <c r="T299" t="str">
        <f t="shared" si="34"/>
        <v/>
      </c>
      <c r="U299" t="str">
        <f t="shared" si="35"/>
        <v/>
      </c>
    </row>
    <row r="300" spans="18:21">
      <c r="R300" t="str">
        <f t="shared" si="32"/>
        <v/>
      </c>
      <c r="S300" t="str">
        <f t="shared" si="33"/>
        <v/>
      </c>
      <c r="T300" t="str">
        <f t="shared" si="34"/>
        <v/>
      </c>
      <c r="U300" t="str">
        <f t="shared" si="35"/>
        <v/>
      </c>
    </row>
    <row r="301" spans="18:21">
      <c r="R301" t="str">
        <f t="shared" si="32"/>
        <v/>
      </c>
      <c r="S301" t="str">
        <f t="shared" si="33"/>
        <v/>
      </c>
      <c r="T301" t="str">
        <f t="shared" si="34"/>
        <v/>
      </c>
      <c r="U301" t="str">
        <f t="shared" si="35"/>
        <v/>
      </c>
    </row>
    <row r="302" spans="18:21">
      <c r="R302" t="str">
        <f t="shared" si="32"/>
        <v/>
      </c>
      <c r="S302" t="str">
        <f t="shared" si="33"/>
        <v/>
      </c>
      <c r="T302" t="str">
        <f t="shared" si="34"/>
        <v/>
      </c>
      <c r="U302" t="str">
        <f t="shared" si="35"/>
        <v/>
      </c>
    </row>
    <row r="303" spans="18:21">
      <c r="R303" t="str">
        <f t="shared" si="32"/>
        <v/>
      </c>
      <c r="S303" t="str">
        <f t="shared" si="33"/>
        <v/>
      </c>
      <c r="T303" t="str">
        <f t="shared" si="34"/>
        <v/>
      </c>
      <c r="U303" t="str">
        <f t="shared" si="35"/>
        <v/>
      </c>
    </row>
    <row r="304" spans="18:21">
      <c r="R304" t="str">
        <f t="shared" si="32"/>
        <v/>
      </c>
      <c r="S304" t="str">
        <f t="shared" si="33"/>
        <v/>
      </c>
      <c r="T304" t="str">
        <f t="shared" si="34"/>
        <v/>
      </c>
      <c r="U304" t="str">
        <f t="shared" si="35"/>
        <v/>
      </c>
    </row>
    <row r="305" spans="18:21">
      <c r="R305" t="str">
        <f t="shared" si="32"/>
        <v/>
      </c>
      <c r="S305" t="str">
        <f t="shared" si="33"/>
        <v/>
      </c>
      <c r="T305" t="str">
        <f t="shared" si="34"/>
        <v/>
      </c>
      <c r="U305" t="str">
        <f t="shared" si="35"/>
        <v/>
      </c>
    </row>
    <row r="306" spans="18:21">
      <c r="R306" t="str">
        <f t="shared" si="32"/>
        <v/>
      </c>
      <c r="S306" t="str">
        <f t="shared" si="33"/>
        <v/>
      </c>
      <c r="T306" t="str">
        <f t="shared" si="34"/>
        <v/>
      </c>
      <c r="U306" t="str">
        <f t="shared" si="35"/>
        <v/>
      </c>
    </row>
    <row r="307" spans="18:21">
      <c r="R307" t="str">
        <f t="shared" si="32"/>
        <v/>
      </c>
      <c r="S307" t="str">
        <f t="shared" si="33"/>
        <v/>
      </c>
      <c r="T307" t="str">
        <f t="shared" si="34"/>
        <v/>
      </c>
      <c r="U307" t="str">
        <f t="shared" si="35"/>
        <v/>
      </c>
    </row>
    <row r="308" spans="18:21">
      <c r="R308" t="str">
        <f t="shared" si="32"/>
        <v/>
      </c>
      <c r="S308" t="str">
        <f t="shared" si="33"/>
        <v/>
      </c>
      <c r="T308" t="str">
        <f t="shared" si="34"/>
        <v/>
      </c>
      <c r="U308" t="str">
        <f t="shared" si="35"/>
        <v/>
      </c>
    </row>
    <row r="309" spans="18:21">
      <c r="R309" t="str">
        <f t="shared" si="32"/>
        <v/>
      </c>
      <c r="S309" t="str">
        <f t="shared" si="33"/>
        <v/>
      </c>
      <c r="T309" t="str">
        <f t="shared" si="34"/>
        <v/>
      </c>
      <c r="U309" t="str">
        <f t="shared" si="35"/>
        <v/>
      </c>
    </row>
    <row r="310" spans="18:21">
      <c r="R310" t="str">
        <f t="shared" si="32"/>
        <v/>
      </c>
      <c r="S310" t="str">
        <f t="shared" si="33"/>
        <v/>
      </c>
      <c r="T310" t="str">
        <f t="shared" si="34"/>
        <v/>
      </c>
      <c r="U310" t="str">
        <f t="shared" si="35"/>
        <v/>
      </c>
    </row>
    <row r="311" spans="18:21">
      <c r="R311" t="str">
        <f t="shared" si="32"/>
        <v/>
      </c>
      <c r="S311" t="str">
        <f t="shared" si="33"/>
        <v/>
      </c>
      <c r="T311" t="str">
        <f t="shared" si="34"/>
        <v/>
      </c>
      <c r="U311" t="str">
        <f t="shared" si="35"/>
        <v/>
      </c>
    </row>
    <row r="312" spans="18:21">
      <c r="R312" t="str">
        <f t="shared" si="32"/>
        <v/>
      </c>
      <c r="S312" t="str">
        <f t="shared" si="33"/>
        <v/>
      </c>
      <c r="T312" t="str">
        <f t="shared" si="34"/>
        <v/>
      </c>
      <c r="U312" t="str">
        <f t="shared" si="35"/>
        <v/>
      </c>
    </row>
    <row r="313" spans="18:21">
      <c r="R313" t="str">
        <f t="shared" si="32"/>
        <v/>
      </c>
      <c r="S313" t="str">
        <f t="shared" si="33"/>
        <v/>
      </c>
      <c r="T313" t="str">
        <f t="shared" si="34"/>
        <v/>
      </c>
      <c r="U313" t="str">
        <f t="shared" si="35"/>
        <v/>
      </c>
    </row>
    <row r="314" spans="18:21">
      <c r="R314" t="str">
        <f t="shared" si="32"/>
        <v/>
      </c>
      <c r="S314" t="str">
        <f t="shared" si="33"/>
        <v/>
      </c>
      <c r="T314" t="str">
        <f t="shared" si="34"/>
        <v/>
      </c>
      <c r="U314" t="str">
        <f t="shared" si="35"/>
        <v/>
      </c>
    </row>
    <row r="315" spans="18:21">
      <c r="R315" t="str">
        <f t="shared" si="32"/>
        <v/>
      </c>
      <c r="S315" t="str">
        <f t="shared" si="33"/>
        <v/>
      </c>
      <c r="T315" t="str">
        <f t="shared" si="34"/>
        <v/>
      </c>
      <c r="U315" t="str">
        <f t="shared" si="35"/>
        <v/>
      </c>
    </row>
    <row r="316" spans="18:21">
      <c r="R316" t="str">
        <f t="shared" si="32"/>
        <v/>
      </c>
      <c r="S316" t="str">
        <f t="shared" si="33"/>
        <v/>
      </c>
      <c r="T316" t="str">
        <f t="shared" si="34"/>
        <v/>
      </c>
      <c r="U316" t="str">
        <f t="shared" si="35"/>
        <v/>
      </c>
    </row>
    <row r="317" spans="18:21">
      <c r="R317" t="str">
        <f t="shared" si="32"/>
        <v/>
      </c>
      <c r="S317" t="str">
        <f t="shared" si="33"/>
        <v/>
      </c>
      <c r="T317" t="str">
        <f t="shared" si="34"/>
        <v/>
      </c>
      <c r="U317" t="str">
        <f t="shared" si="35"/>
        <v/>
      </c>
    </row>
    <row r="318" spans="18:21">
      <c r="R318" t="str">
        <f t="shared" si="32"/>
        <v/>
      </c>
      <c r="S318" t="str">
        <f t="shared" si="33"/>
        <v/>
      </c>
      <c r="T318" t="str">
        <f t="shared" si="34"/>
        <v/>
      </c>
      <c r="U318" t="str">
        <f t="shared" si="35"/>
        <v/>
      </c>
    </row>
    <row r="319" spans="18:21">
      <c r="R319" t="str">
        <f t="shared" si="32"/>
        <v/>
      </c>
      <c r="S319" t="str">
        <f t="shared" si="33"/>
        <v/>
      </c>
      <c r="T319" t="str">
        <f t="shared" si="34"/>
        <v/>
      </c>
      <c r="U319" t="str">
        <f t="shared" si="35"/>
        <v/>
      </c>
    </row>
    <row r="320" spans="18:21">
      <c r="R320" t="str">
        <f t="shared" si="32"/>
        <v/>
      </c>
      <c r="S320" t="str">
        <f t="shared" si="33"/>
        <v/>
      </c>
      <c r="T320" t="str">
        <f t="shared" si="34"/>
        <v/>
      </c>
      <c r="U320" t="str">
        <f t="shared" si="35"/>
        <v/>
      </c>
    </row>
    <row r="321" spans="18:21">
      <c r="R321" t="str">
        <f t="shared" si="32"/>
        <v/>
      </c>
      <c r="S321" t="str">
        <f t="shared" si="33"/>
        <v/>
      </c>
      <c r="T321" t="str">
        <f t="shared" si="34"/>
        <v/>
      </c>
      <c r="U321" t="str">
        <f t="shared" si="35"/>
        <v/>
      </c>
    </row>
    <row r="322" spans="18:21">
      <c r="R322" t="str">
        <f t="shared" si="32"/>
        <v/>
      </c>
      <c r="S322" t="str">
        <f t="shared" si="33"/>
        <v/>
      </c>
      <c r="T322" t="str">
        <f t="shared" si="34"/>
        <v/>
      </c>
      <c r="U322" t="str">
        <f t="shared" si="35"/>
        <v/>
      </c>
    </row>
    <row r="323" spans="18:21">
      <c r="R323" t="str">
        <f t="shared" si="32"/>
        <v/>
      </c>
      <c r="S323" t="str">
        <f t="shared" si="33"/>
        <v/>
      </c>
      <c r="T323" t="str">
        <f t="shared" si="34"/>
        <v/>
      </c>
      <c r="U323" t="str">
        <f t="shared" si="35"/>
        <v/>
      </c>
    </row>
    <row r="324" spans="18:21">
      <c r="R324" t="str">
        <f t="shared" si="32"/>
        <v/>
      </c>
      <c r="S324" t="str">
        <f t="shared" si="33"/>
        <v/>
      </c>
      <c r="T324" t="str">
        <f t="shared" si="34"/>
        <v/>
      </c>
      <c r="U324" t="str">
        <f t="shared" si="35"/>
        <v/>
      </c>
    </row>
    <row r="325" spans="18:21">
      <c r="R325" t="str">
        <f t="shared" si="32"/>
        <v/>
      </c>
      <c r="S325" t="str">
        <f t="shared" si="33"/>
        <v/>
      </c>
      <c r="T325" t="str">
        <f t="shared" si="34"/>
        <v/>
      </c>
      <c r="U325" t="str">
        <f t="shared" si="35"/>
        <v/>
      </c>
    </row>
    <row r="326" spans="18:21">
      <c r="R326" t="str">
        <f t="shared" si="32"/>
        <v/>
      </c>
      <c r="S326" t="str">
        <f t="shared" si="33"/>
        <v/>
      </c>
      <c r="T326" t="str">
        <f t="shared" si="34"/>
        <v/>
      </c>
      <c r="U326" t="str">
        <f t="shared" si="35"/>
        <v/>
      </c>
    </row>
    <row r="327" spans="18:21">
      <c r="R327" t="str">
        <f t="shared" si="32"/>
        <v/>
      </c>
      <c r="S327" t="str">
        <f t="shared" si="33"/>
        <v/>
      </c>
      <c r="T327" t="str">
        <f t="shared" si="34"/>
        <v/>
      </c>
      <c r="U327" t="str">
        <f t="shared" si="35"/>
        <v/>
      </c>
    </row>
    <row r="328" spans="18:21">
      <c r="R328" t="str">
        <f t="shared" si="32"/>
        <v/>
      </c>
      <c r="S328" t="str">
        <f t="shared" si="33"/>
        <v/>
      </c>
      <c r="T328" t="str">
        <f t="shared" si="34"/>
        <v/>
      </c>
      <c r="U328" t="str">
        <f t="shared" si="35"/>
        <v/>
      </c>
    </row>
    <row r="329" spans="18:21">
      <c r="R329" t="str">
        <f t="shared" si="32"/>
        <v/>
      </c>
      <c r="S329" t="str">
        <f t="shared" si="33"/>
        <v/>
      </c>
      <c r="T329" t="str">
        <f t="shared" si="34"/>
        <v/>
      </c>
      <c r="U329" t="str">
        <f t="shared" si="35"/>
        <v/>
      </c>
    </row>
    <row r="330" spans="18:21">
      <c r="R330" t="str">
        <f t="shared" si="32"/>
        <v/>
      </c>
      <c r="S330" t="str">
        <f t="shared" si="33"/>
        <v/>
      </c>
      <c r="T330" t="str">
        <f t="shared" si="34"/>
        <v/>
      </c>
      <c r="U330" t="str">
        <f t="shared" si="35"/>
        <v/>
      </c>
    </row>
    <row r="331" spans="18:21">
      <c r="R331" t="str">
        <f t="shared" si="32"/>
        <v/>
      </c>
      <c r="S331" t="str">
        <f t="shared" si="33"/>
        <v/>
      </c>
      <c r="T331" t="str">
        <f t="shared" si="34"/>
        <v/>
      </c>
      <c r="U331" t="str">
        <f t="shared" si="35"/>
        <v/>
      </c>
    </row>
    <row r="332" spans="18:21">
      <c r="R332" t="str">
        <f t="shared" si="32"/>
        <v/>
      </c>
      <c r="S332" t="str">
        <f t="shared" si="33"/>
        <v/>
      </c>
      <c r="T332" t="str">
        <f t="shared" si="34"/>
        <v/>
      </c>
      <c r="U332" t="str">
        <f t="shared" si="35"/>
        <v/>
      </c>
    </row>
    <row r="333" spans="18:21">
      <c r="R333" t="str">
        <f t="shared" si="32"/>
        <v/>
      </c>
      <c r="S333" t="str">
        <f t="shared" si="33"/>
        <v/>
      </c>
      <c r="T333" t="str">
        <f t="shared" si="34"/>
        <v/>
      </c>
      <c r="U333" t="str">
        <f t="shared" si="35"/>
        <v/>
      </c>
    </row>
    <row r="334" spans="18:21">
      <c r="R334" t="str">
        <f t="shared" si="32"/>
        <v/>
      </c>
      <c r="S334" t="str">
        <f t="shared" si="33"/>
        <v/>
      </c>
      <c r="T334" t="str">
        <f t="shared" si="34"/>
        <v/>
      </c>
      <c r="U334" t="str">
        <f t="shared" si="35"/>
        <v/>
      </c>
    </row>
    <row r="335" spans="18:21">
      <c r="R335" t="str">
        <f t="shared" si="32"/>
        <v/>
      </c>
      <c r="S335" t="str">
        <f t="shared" si="33"/>
        <v/>
      </c>
      <c r="T335" t="str">
        <f t="shared" si="34"/>
        <v/>
      </c>
      <c r="U335" t="str">
        <f t="shared" si="35"/>
        <v/>
      </c>
    </row>
    <row r="336" spans="18:21">
      <c r="R336" t="str">
        <f t="shared" si="32"/>
        <v/>
      </c>
      <c r="S336" t="str">
        <f t="shared" si="33"/>
        <v/>
      </c>
      <c r="T336" t="str">
        <f t="shared" si="34"/>
        <v/>
      </c>
      <c r="U336" t="str">
        <f t="shared" si="35"/>
        <v/>
      </c>
    </row>
    <row r="337" spans="18:21">
      <c r="R337" t="str">
        <f t="shared" si="32"/>
        <v/>
      </c>
      <c r="S337" t="str">
        <f t="shared" si="33"/>
        <v/>
      </c>
      <c r="T337" t="str">
        <f t="shared" si="34"/>
        <v/>
      </c>
      <c r="U337" t="str">
        <f t="shared" si="35"/>
        <v/>
      </c>
    </row>
    <row r="338" spans="18:21">
      <c r="R338" t="str">
        <f t="shared" si="32"/>
        <v/>
      </c>
      <c r="S338" t="str">
        <f t="shared" si="33"/>
        <v/>
      </c>
      <c r="T338" t="str">
        <f t="shared" si="34"/>
        <v/>
      </c>
      <c r="U338" t="str">
        <f t="shared" si="35"/>
        <v/>
      </c>
    </row>
    <row r="339" spans="18:21">
      <c r="R339" t="str">
        <f t="shared" si="32"/>
        <v/>
      </c>
      <c r="S339" t="str">
        <f t="shared" si="33"/>
        <v/>
      </c>
      <c r="T339" t="str">
        <f t="shared" si="34"/>
        <v/>
      </c>
      <c r="U339" t="str">
        <f t="shared" si="35"/>
        <v/>
      </c>
    </row>
    <row r="340" spans="18:21">
      <c r="R340" t="str">
        <f t="shared" si="32"/>
        <v/>
      </c>
      <c r="S340" t="str">
        <f t="shared" si="33"/>
        <v/>
      </c>
      <c r="T340" t="str">
        <f t="shared" si="34"/>
        <v/>
      </c>
      <c r="U340" t="str">
        <f t="shared" si="35"/>
        <v/>
      </c>
    </row>
    <row r="341" spans="18:21">
      <c r="R341" t="str">
        <f t="shared" si="32"/>
        <v/>
      </c>
      <c r="S341" t="str">
        <f t="shared" si="33"/>
        <v/>
      </c>
      <c r="T341" t="str">
        <f t="shared" si="34"/>
        <v/>
      </c>
      <c r="U341" t="str">
        <f t="shared" si="35"/>
        <v/>
      </c>
    </row>
    <row r="342" spans="18:21">
      <c r="R342" t="str">
        <f t="shared" si="32"/>
        <v/>
      </c>
      <c r="S342" t="str">
        <f t="shared" si="33"/>
        <v/>
      </c>
      <c r="T342" t="str">
        <f t="shared" si="34"/>
        <v/>
      </c>
      <c r="U342" t="str">
        <f t="shared" si="35"/>
        <v/>
      </c>
    </row>
    <row r="343" spans="18:21">
      <c r="R343" t="str">
        <f t="shared" si="32"/>
        <v/>
      </c>
      <c r="S343" t="str">
        <f t="shared" si="33"/>
        <v/>
      </c>
      <c r="T343" t="str">
        <f t="shared" si="34"/>
        <v/>
      </c>
      <c r="U343" t="str">
        <f t="shared" si="35"/>
        <v/>
      </c>
    </row>
    <row r="344" spans="18:21">
      <c r="R344" t="str">
        <f t="shared" si="32"/>
        <v/>
      </c>
      <c r="S344" t="str">
        <f t="shared" si="33"/>
        <v/>
      </c>
      <c r="T344" t="str">
        <f t="shared" si="34"/>
        <v/>
      </c>
      <c r="U344" t="str">
        <f t="shared" si="35"/>
        <v/>
      </c>
    </row>
    <row r="345" spans="18:21">
      <c r="R345" t="str">
        <f t="shared" si="32"/>
        <v/>
      </c>
      <c r="S345" t="str">
        <f t="shared" si="33"/>
        <v/>
      </c>
      <c r="T345" t="str">
        <f t="shared" si="34"/>
        <v/>
      </c>
      <c r="U345" t="str">
        <f t="shared" si="35"/>
        <v/>
      </c>
    </row>
    <row r="346" spans="18:21">
      <c r="R346" t="str">
        <f t="shared" si="32"/>
        <v/>
      </c>
      <c r="S346" t="str">
        <f t="shared" si="33"/>
        <v/>
      </c>
      <c r="T346" t="str">
        <f t="shared" si="34"/>
        <v/>
      </c>
      <c r="U346" t="str">
        <f t="shared" si="35"/>
        <v/>
      </c>
    </row>
    <row r="347" spans="18:21">
      <c r="R347" t="str">
        <f t="shared" si="32"/>
        <v/>
      </c>
      <c r="S347" t="str">
        <f t="shared" si="33"/>
        <v/>
      </c>
      <c r="T347" t="str">
        <f t="shared" si="34"/>
        <v/>
      </c>
      <c r="U347" t="str">
        <f t="shared" si="35"/>
        <v/>
      </c>
    </row>
    <row r="348" spans="18:21">
      <c r="R348" t="str">
        <f t="shared" ref="R348:R411" si="36">IF(AND(I348&lt;&gt;"",M348&lt;&gt;"",M348&lt;&gt;0),VLOOKUP(I348,$V:$W,2,FALSE)&amp;","&amp;M348,"")</f>
        <v/>
      </c>
      <c r="S348" t="str">
        <f t="shared" ref="S348:S411" si="37">IF(AND(J348&lt;&gt;"",N348&lt;&gt;"",N348&lt;&gt;0),VLOOKUP(J348,$V:$W,2,FALSE)&amp;","&amp;N348,"")</f>
        <v/>
      </c>
      <c r="T348" t="str">
        <f t="shared" ref="T348:T411" si="38">IF(AND(K348&lt;&gt;"",O348&lt;&gt;"",O348&lt;&gt;0),VLOOKUP(K348,$V:$W,2,FALSE)&amp;","&amp;O348,"")</f>
        <v/>
      </c>
      <c r="U348" t="str">
        <f t="shared" ref="U348:U411" si="39">IF(AND(L348&lt;&gt;"",P348&lt;&gt;"",P348&lt;&gt;0),VLOOKUP(L348,$V:$W,2,FALSE)&amp;","&amp;P348,"")</f>
        <v/>
      </c>
    </row>
    <row r="349" spans="18:21">
      <c r="R349" t="str">
        <f t="shared" si="36"/>
        <v/>
      </c>
      <c r="S349" t="str">
        <f t="shared" si="37"/>
        <v/>
      </c>
      <c r="T349" t="str">
        <f t="shared" si="38"/>
        <v/>
      </c>
      <c r="U349" t="str">
        <f t="shared" si="39"/>
        <v/>
      </c>
    </row>
    <row r="350" spans="18:21">
      <c r="R350" t="str">
        <f t="shared" si="36"/>
        <v/>
      </c>
      <c r="S350" t="str">
        <f t="shared" si="37"/>
        <v/>
      </c>
      <c r="T350" t="str">
        <f t="shared" si="38"/>
        <v/>
      </c>
      <c r="U350" t="str">
        <f t="shared" si="39"/>
        <v/>
      </c>
    </row>
    <row r="351" spans="18:21">
      <c r="R351" t="str">
        <f t="shared" si="36"/>
        <v/>
      </c>
      <c r="S351" t="str">
        <f t="shared" si="37"/>
        <v/>
      </c>
      <c r="T351" t="str">
        <f t="shared" si="38"/>
        <v/>
      </c>
      <c r="U351" t="str">
        <f t="shared" si="39"/>
        <v/>
      </c>
    </row>
    <row r="352" spans="18:21">
      <c r="R352" t="str">
        <f t="shared" si="36"/>
        <v/>
      </c>
      <c r="S352" t="str">
        <f t="shared" si="37"/>
        <v/>
      </c>
      <c r="T352" t="str">
        <f t="shared" si="38"/>
        <v/>
      </c>
      <c r="U352" t="str">
        <f t="shared" si="39"/>
        <v/>
      </c>
    </row>
    <row r="353" spans="18:21">
      <c r="R353" t="str">
        <f t="shared" si="36"/>
        <v/>
      </c>
      <c r="S353" t="str">
        <f t="shared" si="37"/>
        <v/>
      </c>
      <c r="T353" t="str">
        <f t="shared" si="38"/>
        <v/>
      </c>
      <c r="U353" t="str">
        <f t="shared" si="39"/>
        <v/>
      </c>
    </row>
    <row r="354" spans="18:21">
      <c r="R354" t="str">
        <f t="shared" si="36"/>
        <v/>
      </c>
      <c r="S354" t="str">
        <f t="shared" si="37"/>
        <v/>
      </c>
      <c r="T354" t="str">
        <f t="shared" si="38"/>
        <v/>
      </c>
      <c r="U354" t="str">
        <f t="shared" si="39"/>
        <v/>
      </c>
    </row>
    <row r="355" spans="18:21">
      <c r="R355" t="str">
        <f t="shared" si="36"/>
        <v/>
      </c>
      <c r="S355" t="str">
        <f t="shared" si="37"/>
        <v/>
      </c>
      <c r="T355" t="str">
        <f t="shared" si="38"/>
        <v/>
      </c>
      <c r="U355" t="str">
        <f t="shared" si="39"/>
        <v/>
      </c>
    </row>
    <row r="356" spans="18:21">
      <c r="R356" t="str">
        <f t="shared" si="36"/>
        <v/>
      </c>
      <c r="S356" t="str">
        <f t="shared" si="37"/>
        <v/>
      </c>
      <c r="T356" t="str">
        <f t="shared" si="38"/>
        <v/>
      </c>
      <c r="U356" t="str">
        <f t="shared" si="39"/>
        <v/>
      </c>
    </row>
    <row r="357" spans="18:21">
      <c r="R357" t="str">
        <f t="shared" si="36"/>
        <v/>
      </c>
      <c r="S357" t="str">
        <f t="shared" si="37"/>
        <v/>
      </c>
      <c r="T357" t="str">
        <f t="shared" si="38"/>
        <v/>
      </c>
      <c r="U357" t="str">
        <f t="shared" si="39"/>
        <v/>
      </c>
    </row>
    <row r="358" spans="18:21">
      <c r="R358" t="str">
        <f t="shared" si="36"/>
        <v/>
      </c>
      <c r="S358" t="str">
        <f t="shared" si="37"/>
        <v/>
      </c>
      <c r="T358" t="str">
        <f t="shared" si="38"/>
        <v/>
      </c>
      <c r="U358" t="str">
        <f t="shared" si="39"/>
        <v/>
      </c>
    </row>
    <row r="359" spans="18:21">
      <c r="R359" t="str">
        <f t="shared" si="36"/>
        <v/>
      </c>
      <c r="S359" t="str">
        <f t="shared" si="37"/>
        <v/>
      </c>
      <c r="T359" t="str">
        <f t="shared" si="38"/>
        <v/>
      </c>
      <c r="U359" t="str">
        <f t="shared" si="39"/>
        <v/>
      </c>
    </row>
    <row r="360" spans="18:21">
      <c r="R360" t="str">
        <f t="shared" si="36"/>
        <v/>
      </c>
      <c r="S360" t="str">
        <f t="shared" si="37"/>
        <v/>
      </c>
      <c r="T360" t="str">
        <f t="shared" si="38"/>
        <v/>
      </c>
      <c r="U360" t="str">
        <f t="shared" si="39"/>
        <v/>
      </c>
    </row>
    <row r="361" spans="18:21">
      <c r="R361" t="str">
        <f t="shared" si="36"/>
        <v/>
      </c>
      <c r="S361" t="str">
        <f t="shared" si="37"/>
        <v/>
      </c>
      <c r="T361" t="str">
        <f t="shared" si="38"/>
        <v/>
      </c>
      <c r="U361" t="str">
        <f t="shared" si="39"/>
        <v/>
      </c>
    </row>
    <row r="362" spans="18:21">
      <c r="R362" t="str">
        <f t="shared" si="36"/>
        <v/>
      </c>
      <c r="S362" t="str">
        <f t="shared" si="37"/>
        <v/>
      </c>
      <c r="T362" t="str">
        <f t="shared" si="38"/>
        <v/>
      </c>
      <c r="U362" t="str">
        <f t="shared" si="39"/>
        <v/>
      </c>
    </row>
    <row r="363" spans="18:21">
      <c r="R363" t="str">
        <f t="shared" si="36"/>
        <v/>
      </c>
      <c r="S363" t="str">
        <f t="shared" si="37"/>
        <v/>
      </c>
      <c r="T363" t="str">
        <f t="shared" si="38"/>
        <v/>
      </c>
      <c r="U363" t="str">
        <f t="shared" si="39"/>
        <v/>
      </c>
    </row>
    <row r="364" spans="18:21">
      <c r="R364" t="str">
        <f t="shared" si="36"/>
        <v/>
      </c>
      <c r="S364" t="str">
        <f t="shared" si="37"/>
        <v/>
      </c>
      <c r="T364" t="str">
        <f t="shared" si="38"/>
        <v/>
      </c>
      <c r="U364" t="str">
        <f t="shared" si="39"/>
        <v/>
      </c>
    </row>
    <row r="365" spans="18:21">
      <c r="R365" t="str">
        <f t="shared" si="36"/>
        <v/>
      </c>
      <c r="S365" t="str">
        <f t="shared" si="37"/>
        <v/>
      </c>
      <c r="T365" t="str">
        <f t="shared" si="38"/>
        <v/>
      </c>
      <c r="U365" t="str">
        <f t="shared" si="39"/>
        <v/>
      </c>
    </row>
    <row r="366" spans="18:21">
      <c r="R366" t="str">
        <f t="shared" si="36"/>
        <v/>
      </c>
      <c r="S366" t="str">
        <f t="shared" si="37"/>
        <v/>
      </c>
      <c r="T366" t="str">
        <f t="shared" si="38"/>
        <v/>
      </c>
      <c r="U366" t="str">
        <f t="shared" si="39"/>
        <v/>
      </c>
    </row>
    <row r="367" spans="18:21">
      <c r="R367" t="str">
        <f t="shared" si="36"/>
        <v/>
      </c>
      <c r="S367" t="str">
        <f t="shared" si="37"/>
        <v/>
      </c>
      <c r="T367" t="str">
        <f t="shared" si="38"/>
        <v/>
      </c>
      <c r="U367" t="str">
        <f t="shared" si="39"/>
        <v/>
      </c>
    </row>
    <row r="368" spans="18:21">
      <c r="R368" t="str">
        <f t="shared" si="36"/>
        <v/>
      </c>
      <c r="S368" t="str">
        <f t="shared" si="37"/>
        <v/>
      </c>
      <c r="T368" t="str">
        <f t="shared" si="38"/>
        <v/>
      </c>
      <c r="U368" t="str">
        <f t="shared" si="39"/>
        <v/>
      </c>
    </row>
    <row r="369" spans="18:21">
      <c r="R369" t="str">
        <f t="shared" si="36"/>
        <v/>
      </c>
      <c r="S369" t="str">
        <f t="shared" si="37"/>
        <v/>
      </c>
      <c r="T369" t="str">
        <f t="shared" si="38"/>
        <v/>
      </c>
      <c r="U369" t="str">
        <f t="shared" si="39"/>
        <v/>
      </c>
    </row>
    <row r="370" spans="18:21">
      <c r="R370" t="str">
        <f t="shared" si="36"/>
        <v/>
      </c>
      <c r="S370" t="str">
        <f t="shared" si="37"/>
        <v/>
      </c>
      <c r="T370" t="str">
        <f t="shared" si="38"/>
        <v/>
      </c>
      <c r="U370" t="str">
        <f t="shared" si="39"/>
        <v/>
      </c>
    </row>
    <row r="371" spans="18:21">
      <c r="R371" t="str">
        <f t="shared" si="36"/>
        <v/>
      </c>
      <c r="S371" t="str">
        <f t="shared" si="37"/>
        <v/>
      </c>
      <c r="T371" t="str">
        <f t="shared" si="38"/>
        <v/>
      </c>
      <c r="U371" t="str">
        <f t="shared" si="39"/>
        <v/>
      </c>
    </row>
    <row r="372" spans="18:21">
      <c r="R372" t="str">
        <f t="shared" si="36"/>
        <v/>
      </c>
      <c r="S372" t="str">
        <f t="shared" si="37"/>
        <v/>
      </c>
      <c r="T372" t="str">
        <f t="shared" si="38"/>
        <v/>
      </c>
      <c r="U372" t="str">
        <f t="shared" si="39"/>
        <v/>
      </c>
    </row>
    <row r="373" spans="18:21">
      <c r="R373" t="str">
        <f t="shared" si="36"/>
        <v/>
      </c>
      <c r="S373" t="str">
        <f t="shared" si="37"/>
        <v/>
      </c>
      <c r="T373" t="str">
        <f t="shared" si="38"/>
        <v/>
      </c>
      <c r="U373" t="str">
        <f t="shared" si="39"/>
        <v/>
      </c>
    </row>
    <row r="374" spans="18:21">
      <c r="R374" t="str">
        <f t="shared" si="36"/>
        <v/>
      </c>
      <c r="S374" t="str">
        <f t="shared" si="37"/>
        <v/>
      </c>
      <c r="T374" t="str">
        <f t="shared" si="38"/>
        <v/>
      </c>
      <c r="U374" t="str">
        <f t="shared" si="39"/>
        <v/>
      </c>
    </row>
    <row r="375" spans="18:21">
      <c r="R375" t="str">
        <f t="shared" si="36"/>
        <v/>
      </c>
      <c r="S375" t="str">
        <f t="shared" si="37"/>
        <v/>
      </c>
      <c r="T375" t="str">
        <f t="shared" si="38"/>
        <v/>
      </c>
      <c r="U375" t="str">
        <f t="shared" si="39"/>
        <v/>
      </c>
    </row>
    <row r="376" spans="18:21">
      <c r="R376" t="str">
        <f t="shared" si="36"/>
        <v/>
      </c>
      <c r="S376" t="str">
        <f t="shared" si="37"/>
        <v/>
      </c>
      <c r="T376" t="str">
        <f t="shared" si="38"/>
        <v/>
      </c>
      <c r="U376" t="str">
        <f t="shared" si="39"/>
        <v/>
      </c>
    </row>
    <row r="377" spans="18:21">
      <c r="R377" t="str">
        <f t="shared" si="36"/>
        <v/>
      </c>
      <c r="S377" t="str">
        <f t="shared" si="37"/>
        <v/>
      </c>
      <c r="T377" t="str">
        <f t="shared" si="38"/>
        <v/>
      </c>
      <c r="U377" t="str">
        <f t="shared" si="39"/>
        <v/>
      </c>
    </row>
    <row r="378" spans="18:21">
      <c r="R378" t="str">
        <f t="shared" si="36"/>
        <v/>
      </c>
      <c r="S378" t="str">
        <f t="shared" si="37"/>
        <v/>
      </c>
      <c r="T378" t="str">
        <f t="shared" si="38"/>
        <v/>
      </c>
      <c r="U378" t="str">
        <f t="shared" si="39"/>
        <v/>
      </c>
    </row>
    <row r="379" spans="18:21">
      <c r="R379" t="str">
        <f t="shared" si="36"/>
        <v/>
      </c>
      <c r="S379" t="str">
        <f t="shared" si="37"/>
        <v/>
      </c>
      <c r="T379" t="str">
        <f t="shared" si="38"/>
        <v/>
      </c>
      <c r="U379" t="str">
        <f t="shared" si="39"/>
        <v/>
      </c>
    </row>
    <row r="380" spans="18:21">
      <c r="R380" t="str">
        <f t="shared" si="36"/>
        <v/>
      </c>
      <c r="S380" t="str">
        <f t="shared" si="37"/>
        <v/>
      </c>
      <c r="T380" t="str">
        <f t="shared" si="38"/>
        <v/>
      </c>
      <c r="U380" t="str">
        <f t="shared" si="39"/>
        <v/>
      </c>
    </row>
    <row r="381" spans="18:21">
      <c r="R381" t="str">
        <f t="shared" si="36"/>
        <v/>
      </c>
      <c r="S381" t="str">
        <f t="shared" si="37"/>
        <v/>
      </c>
      <c r="T381" t="str">
        <f t="shared" si="38"/>
        <v/>
      </c>
      <c r="U381" t="str">
        <f t="shared" si="39"/>
        <v/>
      </c>
    </row>
    <row r="382" spans="18:21">
      <c r="R382" t="str">
        <f t="shared" si="36"/>
        <v/>
      </c>
      <c r="S382" t="str">
        <f t="shared" si="37"/>
        <v/>
      </c>
      <c r="T382" t="str">
        <f t="shared" si="38"/>
        <v/>
      </c>
      <c r="U382" t="str">
        <f t="shared" si="39"/>
        <v/>
      </c>
    </row>
    <row r="383" spans="18:21">
      <c r="R383" t="str">
        <f t="shared" si="36"/>
        <v/>
      </c>
      <c r="S383" t="str">
        <f t="shared" si="37"/>
        <v/>
      </c>
      <c r="T383" t="str">
        <f t="shared" si="38"/>
        <v/>
      </c>
      <c r="U383" t="str">
        <f t="shared" si="39"/>
        <v/>
      </c>
    </row>
    <row r="384" spans="18:21">
      <c r="R384" t="str">
        <f t="shared" si="36"/>
        <v/>
      </c>
      <c r="S384" t="str">
        <f t="shared" si="37"/>
        <v/>
      </c>
      <c r="T384" t="str">
        <f t="shared" si="38"/>
        <v/>
      </c>
      <c r="U384" t="str">
        <f t="shared" si="39"/>
        <v/>
      </c>
    </row>
    <row r="385" spans="18:21">
      <c r="R385" t="str">
        <f t="shared" si="36"/>
        <v/>
      </c>
      <c r="S385" t="str">
        <f t="shared" si="37"/>
        <v/>
      </c>
      <c r="T385" t="str">
        <f t="shared" si="38"/>
        <v/>
      </c>
      <c r="U385" t="str">
        <f t="shared" si="39"/>
        <v/>
      </c>
    </row>
    <row r="386" spans="18:21">
      <c r="R386" t="str">
        <f t="shared" si="36"/>
        <v/>
      </c>
      <c r="S386" t="str">
        <f t="shared" si="37"/>
        <v/>
      </c>
      <c r="T386" t="str">
        <f t="shared" si="38"/>
        <v/>
      </c>
      <c r="U386" t="str">
        <f t="shared" si="39"/>
        <v/>
      </c>
    </row>
    <row r="387" spans="18:21">
      <c r="R387" t="str">
        <f t="shared" si="36"/>
        <v/>
      </c>
      <c r="S387" t="str">
        <f t="shared" si="37"/>
        <v/>
      </c>
      <c r="T387" t="str">
        <f t="shared" si="38"/>
        <v/>
      </c>
      <c r="U387" t="str">
        <f t="shared" si="39"/>
        <v/>
      </c>
    </row>
    <row r="388" spans="18:21">
      <c r="R388" t="str">
        <f t="shared" si="36"/>
        <v/>
      </c>
      <c r="S388" t="str">
        <f t="shared" si="37"/>
        <v/>
      </c>
      <c r="T388" t="str">
        <f t="shared" si="38"/>
        <v/>
      </c>
      <c r="U388" t="str">
        <f t="shared" si="39"/>
        <v/>
      </c>
    </row>
    <row r="389" spans="18:21">
      <c r="R389" t="str">
        <f t="shared" si="36"/>
        <v/>
      </c>
      <c r="S389" t="str">
        <f t="shared" si="37"/>
        <v/>
      </c>
      <c r="T389" t="str">
        <f t="shared" si="38"/>
        <v/>
      </c>
      <c r="U389" t="str">
        <f t="shared" si="39"/>
        <v/>
      </c>
    </row>
    <row r="390" spans="18:21">
      <c r="R390" t="str">
        <f t="shared" si="36"/>
        <v/>
      </c>
      <c r="S390" t="str">
        <f t="shared" si="37"/>
        <v/>
      </c>
      <c r="T390" t="str">
        <f t="shared" si="38"/>
        <v/>
      </c>
      <c r="U390" t="str">
        <f t="shared" si="39"/>
        <v/>
      </c>
    </row>
    <row r="391" spans="18:21">
      <c r="R391" t="str">
        <f t="shared" si="36"/>
        <v/>
      </c>
      <c r="S391" t="str">
        <f t="shared" si="37"/>
        <v/>
      </c>
      <c r="T391" t="str">
        <f t="shared" si="38"/>
        <v/>
      </c>
      <c r="U391" t="str">
        <f t="shared" si="39"/>
        <v/>
      </c>
    </row>
    <row r="392" spans="18:21">
      <c r="R392" t="str">
        <f t="shared" si="36"/>
        <v/>
      </c>
      <c r="S392" t="str">
        <f t="shared" si="37"/>
        <v/>
      </c>
      <c r="T392" t="str">
        <f t="shared" si="38"/>
        <v/>
      </c>
      <c r="U392" t="str">
        <f t="shared" si="39"/>
        <v/>
      </c>
    </row>
    <row r="393" spans="18:21">
      <c r="R393" t="str">
        <f t="shared" si="36"/>
        <v/>
      </c>
      <c r="S393" t="str">
        <f t="shared" si="37"/>
        <v/>
      </c>
      <c r="T393" t="str">
        <f t="shared" si="38"/>
        <v/>
      </c>
      <c r="U393" t="str">
        <f t="shared" si="39"/>
        <v/>
      </c>
    </row>
    <row r="394" spans="18:21">
      <c r="R394" t="str">
        <f t="shared" si="36"/>
        <v/>
      </c>
      <c r="S394" t="str">
        <f t="shared" si="37"/>
        <v/>
      </c>
      <c r="T394" t="str">
        <f t="shared" si="38"/>
        <v/>
      </c>
      <c r="U394" t="str">
        <f t="shared" si="39"/>
        <v/>
      </c>
    </row>
    <row r="395" spans="18:21">
      <c r="R395" t="str">
        <f t="shared" si="36"/>
        <v/>
      </c>
      <c r="S395" t="str">
        <f t="shared" si="37"/>
        <v/>
      </c>
      <c r="T395" t="str">
        <f t="shared" si="38"/>
        <v/>
      </c>
      <c r="U395" t="str">
        <f t="shared" si="39"/>
        <v/>
      </c>
    </row>
    <row r="396" spans="18:21">
      <c r="R396" t="str">
        <f t="shared" si="36"/>
        <v/>
      </c>
      <c r="S396" t="str">
        <f t="shared" si="37"/>
        <v/>
      </c>
      <c r="T396" t="str">
        <f t="shared" si="38"/>
        <v/>
      </c>
      <c r="U396" t="str">
        <f t="shared" si="39"/>
        <v/>
      </c>
    </row>
    <row r="397" spans="18:21">
      <c r="R397" t="str">
        <f t="shared" si="36"/>
        <v/>
      </c>
      <c r="S397" t="str">
        <f t="shared" si="37"/>
        <v/>
      </c>
      <c r="T397" t="str">
        <f t="shared" si="38"/>
        <v/>
      </c>
      <c r="U397" t="str">
        <f t="shared" si="39"/>
        <v/>
      </c>
    </row>
    <row r="398" spans="18:21">
      <c r="R398" t="str">
        <f t="shared" si="36"/>
        <v/>
      </c>
      <c r="S398" t="str">
        <f t="shared" si="37"/>
        <v/>
      </c>
      <c r="T398" t="str">
        <f t="shared" si="38"/>
        <v/>
      </c>
      <c r="U398" t="str">
        <f t="shared" si="39"/>
        <v/>
      </c>
    </row>
    <row r="399" spans="18:21">
      <c r="R399" t="str">
        <f t="shared" si="36"/>
        <v/>
      </c>
      <c r="S399" t="str">
        <f t="shared" si="37"/>
        <v/>
      </c>
      <c r="T399" t="str">
        <f t="shared" si="38"/>
        <v/>
      </c>
      <c r="U399" t="str">
        <f t="shared" si="39"/>
        <v/>
      </c>
    </row>
    <row r="400" spans="18:21">
      <c r="R400" t="str">
        <f t="shared" si="36"/>
        <v/>
      </c>
      <c r="S400" t="str">
        <f t="shared" si="37"/>
        <v/>
      </c>
      <c r="T400" t="str">
        <f t="shared" si="38"/>
        <v/>
      </c>
      <c r="U400" t="str">
        <f t="shared" si="39"/>
        <v/>
      </c>
    </row>
    <row r="401" spans="18:21">
      <c r="R401" t="str">
        <f t="shared" si="36"/>
        <v/>
      </c>
      <c r="S401" t="str">
        <f t="shared" si="37"/>
        <v/>
      </c>
      <c r="T401" t="str">
        <f t="shared" si="38"/>
        <v/>
      </c>
      <c r="U401" t="str">
        <f t="shared" si="39"/>
        <v/>
      </c>
    </row>
    <row r="402" spans="18:21">
      <c r="R402" t="str">
        <f t="shared" si="36"/>
        <v/>
      </c>
      <c r="S402" t="str">
        <f t="shared" si="37"/>
        <v/>
      </c>
      <c r="T402" t="str">
        <f t="shared" si="38"/>
        <v/>
      </c>
      <c r="U402" t="str">
        <f t="shared" si="39"/>
        <v/>
      </c>
    </row>
    <row r="403" spans="18:21">
      <c r="R403" t="str">
        <f t="shared" si="36"/>
        <v/>
      </c>
      <c r="S403" t="str">
        <f t="shared" si="37"/>
        <v/>
      </c>
      <c r="T403" t="str">
        <f t="shared" si="38"/>
        <v/>
      </c>
      <c r="U403" t="str">
        <f t="shared" si="39"/>
        <v/>
      </c>
    </row>
    <row r="404" spans="18:21">
      <c r="R404" t="str">
        <f t="shared" si="36"/>
        <v/>
      </c>
      <c r="S404" t="str">
        <f t="shared" si="37"/>
        <v/>
      </c>
      <c r="T404" t="str">
        <f t="shared" si="38"/>
        <v/>
      </c>
      <c r="U404" t="str">
        <f t="shared" si="39"/>
        <v/>
      </c>
    </row>
    <row r="405" spans="18:21">
      <c r="R405" t="str">
        <f t="shared" si="36"/>
        <v/>
      </c>
      <c r="S405" t="str">
        <f t="shared" si="37"/>
        <v/>
      </c>
      <c r="T405" t="str">
        <f t="shared" si="38"/>
        <v/>
      </c>
      <c r="U405" t="str">
        <f t="shared" si="39"/>
        <v/>
      </c>
    </row>
    <row r="406" spans="18:21">
      <c r="R406" t="str">
        <f t="shared" si="36"/>
        <v/>
      </c>
      <c r="S406" t="str">
        <f t="shared" si="37"/>
        <v/>
      </c>
      <c r="T406" t="str">
        <f t="shared" si="38"/>
        <v/>
      </c>
      <c r="U406" t="str">
        <f t="shared" si="39"/>
        <v/>
      </c>
    </row>
    <row r="407" spans="18:21">
      <c r="R407" t="str">
        <f t="shared" si="36"/>
        <v/>
      </c>
      <c r="S407" t="str">
        <f t="shared" si="37"/>
        <v/>
      </c>
      <c r="T407" t="str">
        <f t="shared" si="38"/>
        <v/>
      </c>
      <c r="U407" t="str">
        <f t="shared" si="39"/>
        <v/>
      </c>
    </row>
    <row r="408" spans="18:21">
      <c r="R408" t="str">
        <f t="shared" si="36"/>
        <v/>
      </c>
      <c r="S408" t="str">
        <f t="shared" si="37"/>
        <v/>
      </c>
      <c r="T408" t="str">
        <f t="shared" si="38"/>
        <v/>
      </c>
      <c r="U408" t="str">
        <f t="shared" si="39"/>
        <v/>
      </c>
    </row>
    <row r="409" spans="18:21">
      <c r="R409" t="str">
        <f t="shared" si="36"/>
        <v/>
      </c>
      <c r="S409" t="str">
        <f t="shared" si="37"/>
        <v/>
      </c>
      <c r="T409" t="str">
        <f t="shared" si="38"/>
        <v/>
      </c>
      <c r="U409" t="str">
        <f t="shared" si="39"/>
        <v/>
      </c>
    </row>
    <row r="410" spans="18:21">
      <c r="R410" t="str">
        <f t="shared" si="36"/>
        <v/>
      </c>
      <c r="S410" t="str">
        <f t="shared" si="37"/>
        <v/>
      </c>
      <c r="T410" t="str">
        <f t="shared" si="38"/>
        <v/>
      </c>
      <c r="U410" t="str">
        <f t="shared" si="39"/>
        <v/>
      </c>
    </row>
    <row r="411" spans="18:21">
      <c r="R411" t="str">
        <f t="shared" si="36"/>
        <v/>
      </c>
      <c r="S411" t="str">
        <f t="shared" si="37"/>
        <v/>
      </c>
      <c r="T411" t="str">
        <f t="shared" si="38"/>
        <v/>
      </c>
      <c r="U411" t="str">
        <f t="shared" si="39"/>
        <v/>
      </c>
    </row>
    <row r="412" spans="18:21">
      <c r="R412" t="str">
        <f t="shared" ref="R412:R454" si="40">IF(AND(I412&lt;&gt;"",M412&lt;&gt;"",M412&lt;&gt;0),VLOOKUP(I412,$V:$W,2,FALSE)&amp;","&amp;M412,"")</f>
        <v/>
      </c>
      <c r="S412" t="str">
        <f t="shared" ref="S412:S454" si="41">IF(AND(J412&lt;&gt;"",N412&lt;&gt;"",N412&lt;&gt;0),VLOOKUP(J412,$V:$W,2,FALSE)&amp;","&amp;N412,"")</f>
        <v/>
      </c>
      <c r="T412" t="str">
        <f t="shared" ref="T412:T454" si="42">IF(AND(K412&lt;&gt;"",O412&lt;&gt;"",O412&lt;&gt;0),VLOOKUP(K412,$V:$W,2,FALSE)&amp;","&amp;O412,"")</f>
        <v/>
      </c>
      <c r="U412" t="str">
        <f t="shared" ref="U412:U454" si="43">IF(AND(L412&lt;&gt;"",P412&lt;&gt;"",P412&lt;&gt;0),VLOOKUP(L412,$V:$W,2,FALSE)&amp;","&amp;P412,"")</f>
        <v/>
      </c>
    </row>
    <row r="413" spans="18:21">
      <c r="R413" t="str">
        <f t="shared" si="40"/>
        <v/>
      </c>
      <c r="S413" t="str">
        <f t="shared" si="41"/>
        <v/>
      </c>
      <c r="T413" t="str">
        <f t="shared" si="42"/>
        <v/>
      </c>
      <c r="U413" t="str">
        <f t="shared" si="43"/>
        <v/>
      </c>
    </row>
    <row r="414" spans="18:21">
      <c r="R414" t="str">
        <f t="shared" si="40"/>
        <v/>
      </c>
      <c r="S414" t="str">
        <f t="shared" si="41"/>
        <v/>
      </c>
      <c r="T414" t="str">
        <f t="shared" si="42"/>
        <v/>
      </c>
      <c r="U414" t="str">
        <f t="shared" si="43"/>
        <v/>
      </c>
    </row>
    <row r="415" spans="18:21">
      <c r="R415" t="str">
        <f t="shared" si="40"/>
        <v/>
      </c>
      <c r="S415" t="str">
        <f t="shared" si="41"/>
        <v/>
      </c>
      <c r="T415" t="str">
        <f t="shared" si="42"/>
        <v/>
      </c>
      <c r="U415" t="str">
        <f t="shared" si="43"/>
        <v/>
      </c>
    </row>
    <row r="416" spans="18:21">
      <c r="R416" t="str">
        <f t="shared" si="40"/>
        <v/>
      </c>
      <c r="S416" t="str">
        <f t="shared" si="41"/>
        <v/>
      </c>
      <c r="T416" t="str">
        <f t="shared" si="42"/>
        <v/>
      </c>
      <c r="U416" t="str">
        <f t="shared" si="43"/>
        <v/>
      </c>
    </row>
    <row r="417" spans="18:21">
      <c r="R417" t="str">
        <f t="shared" si="40"/>
        <v/>
      </c>
      <c r="S417" t="str">
        <f t="shared" si="41"/>
        <v/>
      </c>
      <c r="T417" t="str">
        <f t="shared" si="42"/>
        <v/>
      </c>
      <c r="U417" t="str">
        <f t="shared" si="43"/>
        <v/>
      </c>
    </row>
    <row r="418" spans="18:21">
      <c r="R418" t="str">
        <f t="shared" si="40"/>
        <v/>
      </c>
      <c r="S418" t="str">
        <f t="shared" si="41"/>
        <v/>
      </c>
      <c r="T418" t="str">
        <f t="shared" si="42"/>
        <v/>
      </c>
      <c r="U418" t="str">
        <f t="shared" si="43"/>
        <v/>
      </c>
    </row>
    <row r="419" spans="18:21">
      <c r="R419" t="str">
        <f t="shared" si="40"/>
        <v/>
      </c>
      <c r="S419" t="str">
        <f t="shared" si="41"/>
        <v/>
      </c>
      <c r="T419" t="str">
        <f t="shared" si="42"/>
        <v/>
      </c>
      <c r="U419" t="str">
        <f t="shared" si="43"/>
        <v/>
      </c>
    </row>
    <row r="420" spans="18:21">
      <c r="R420" t="str">
        <f t="shared" si="40"/>
        <v/>
      </c>
      <c r="S420" t="str">
        <f t="shared" si="41"/>
        <v/>
      </c>
      <c r="T420" t="str">
        <f t="shared" si="42"/>
        <v/>
      </c>
      <c r="U420" t="str">
        <f t="shared" si="43"/>
        <v/>
      </c>
    </row>
    <row r="421" spans="18:21">
      <c r="R421" t="str">
        <f t="shared" si="40"/>
        <v/>
      </c>
      <c r="S421" t="str">
        <f t="shared" si="41"/>
        <v/>
      </c>
      <c r="T421" t="str">
        <f t="shared" si="42"/>
        <v/>
      </c>
      <c r="U421" t="str">
        <f t="shared" si="43"/>
        <v/>
      </c>
    </row>
    <row r="422" spans="18:21">
      <c r="R422" t="str">
        <f t="shared" si="40"/>
        <v/>
      </c>
      <c r="S422" t="str">
        <f t="shared" si="41"/>
        <v/>
      </c>
      <c r="T422" t="str">
        <f t="shared" si="42"/>
        <v/>
      </c>
      <c r="U422" t="str">
        <f t="shared" si="43"/>
        <v/>
      </c>
    </row>
    <row r="423" spans="18:21">
      <c r="R423" t="str">
        <f t="shared" si="40"/>
        <v/>
      </c>
      <c r="S423" t="str">
        <f t="shared" si="41"/>
        <v/>
      </c>
      <c r="T423" t="str">
        <f t="shared" si="42"/>
        <v/>
      </c>
      <c r="U423" t="str">
        <f t="shared" si="43"/>
        <v/>
      </c>
    </row>
    <row r="424" spans="18:21">
      <c r="R424" t="str">
        <f t="shared" si="40"/>
        <v/>
      </c>
      <c r="S424" t="str">
        <f t="shared" si="41"/>
        <v/>
      </c>
      <c r="T424" t="str">
        <f t="shared" si="42"/>
        <v/>
      </c>
      <c r="U424" t="str">
        <f t="shared" si="43"/>
        <v/>
      </c>
    </row>
    <row r="425" spans="18:21">
      <c r="R425" t="str">
        <f t="shared" si="40"/>
        <v/>
      </c>
      <c r="S425" t="str">
        <f t="shared" si="41"/>
        <v/>
      </c>
      <c r="T425" t="str">
        <f t="shared" si="42"/>
        <v/>
      </c>
      <c r="U425" t="str">
        <f t="shared" si="43"/>
        <v/>
      </c>
    </row>
    <row r="426" spans="18:21">
      <c r="R426" t="str">
        <f t="shared" si="40"/>
        <v/>
      </c>
      <c r="S426" t="str">
        <f t="shared" si="41"/>
        <v/>
      </c>
      <c r="T426" t="str">
        <f t="shared" si="42"/>
        <v/>
      </c>
      <c r="U426" t="str">
        <f t="shared" si="43"/>
        <v/>
      </c>
    </row>
    <row r="427" spans="18:21">
      <c r="R427" t="str">
        <f t="shared" si="40"/>
        <v/>
      </c>
      <c r="S427" t="str">
        <f t="shared" si="41"/>
        <v/>
      </c>
      <c r="T427" t="str">
        <f t="shared" si="42"/>
        <v/>
      </c>
      <c r="U427" t="str">
        <f t="shared" si="43"/>
        <v/>
      </c>
    </row>
    <row r="428" spans="18:21">
      <c r="R428" t="str">
        <f t="shared" si="40"/>
        <v/>
      </c>
      <c r="S428" t="str">
        <f t="shared" si="41"/>
        <v/>
      </c>
      <c r="T428" t="str">
        <f t="shared" si="42"/>
        <v/>
      </c>
      <c r="U428" t="str">
        <f t="shared" si="43"/>
        <v/>
      </c>
    </row>
    <row r="429" spans="18:21">
      <c r="R429" t="str">
        <f t="shared" si="40"/>
        <v/>
      </c>
      <c r="S429" t="str">
        <f t="shared" si="41"/>
        <v/>
      </c>
      <c r="T429" t="str">
        <f t="shared" si="42"/>
        <v/>
      </c>
      <c r="U429" t="str">
        <f t="shared" si="43"/>
        <v/>
      </c>
    </row>
    <row r="430" spans="18:21">
      <c r="R430" t="str">
        <f t="shared" si="40"/>
        <v/>
      </c>
      <c r="S430" t="str">
        <f t="shared" si="41"/>
        <v/>
      </c>
      <c r="T430" t="str">
        <f t="shared" si="42"/>
        <v/>
      </c>
      <c r="U430" t="str">
        <f t="shared" si="43"/>
        <v/>
      </c>
    </row>
    <row r="431" spans="18:21">
      <c r="R431" t="str">
        <f t="shared" si="40"/>
        <v/>
      </c>
      <c r="S431" t="str">
        <f t="shared" si="41"/>
        <v/>
      </c>
      <c r="T431" t="str">
        <f t="shared" si="42"/>
        <v/>
      </c>
      <c r="U431" t="str">
        <f t="shared" si="43"/>
        <v/>
      </c>
    </row>
    <row r="432" spans="18:21">
      <c r="R432" t="str">
        <f t="shared" si="40"/>
        <v/>
      </c>
      <c r="S432" t="str">
        <f t="shared" si="41"/>
        <v/>
      </c>
      <c r="T432" t="str">
        <f t="shared" si="42"/>
        <v/>
      </c>
      <c r="U432" t="str">
        <f t="shared" si="43"/>
        <v/>
      </c>
    </row>
    <row r="433" spans="18:21">
      <c r="R433" t="str">
        <f t="shared" si="40"/>
        <v/>
      </c>
      <c r="S433" t="str">
        <f t="shared" si="41"/>
        <v/>
      </c>
      <c r="T433" t="str">
        <f t="shared" si="42"/>
        <v/>
      </c>
      <c r="U433" t="str">
        <f t="shared" si="43"/>
        <v/>
      </c>
    </row>
    <row r="434" spans="18:21">
      <c r="R434" t="str">
        <f t="shared" si="40"/>
        <v/>
      </c>
      <c r="S434" t="str">
        <f t="shared" si="41"/>
        <v/>
      </c>
      <c r="T434" t="str">
        <f t="shared" si="42"/>
        <v/>
      </c>
      <c r="U434" t="str">
        <f t="shared" si="43"/>
        <v/>
      </c>
    </row>
    <row r="435" spans="18:21">
      <c r="R435" t="str">
        <f t="shared" si="40"/>
        <v/>
      </c>
      <c r="S435" t="str">
        <f t="shared" si="41"/>
        <v/>
      </c>
      <c r="T435" t="str">
        <f t="shared" si="42"/>
        <v/>
      </c>
      <c r="U435" t="str">
        <f t="shared" si="43"/>
        <v/>
      </c>
    </row>
    <row r="436" spans="18:21">
      <c r="R436" t="str">
        <f t="shared" si="40"/>
        <v/>
      </c>
      <c r="S436" t="str">
        <f t="shared" si="41"/>
        <v/>
      </c>
      <c r="T436" t="str">
        <f t="shared" si="42"/>
        <v/>
      </c>
      <c r="U436" t="str">
        <f t="shared" si="43"/>
        <v/>
      </c>
    </row>
    <row r="437" spans="18:21">
      <c r="R437" t="str">
        <f t="shared" si="40"/>
        <v/>
      </c>
      <c r="S437" t="str">
        <f t="shared" si="41"/>
        <v/>
      </c>
      <c r="T437" t="str">
        <f t="shared" si="42"/>
        <v/>
      </c>
      <c r="U437" t="str">
        <f t="shared" si="43"/>
        <v/>
      </c>
    </row>
    <row r="438" spans="18:21">
      <c r="R438" t="str">
        <f t="shared" si="40"/>
        <v/>
      </c>
      <c r="S438" t="str">
        <f t="shared" si="41"/>
        <v/>
      </c>
      <c r="T438" t="str">
        <f t="shared" si="42"/>
        <v/>
      </c>
      <c r="U438" t="str">
        <f t="shared" si="43"/>
        <v/>
      </c>
    </row>
    <row r="439" spans="18:21">
      <c r="R439" t="str">
        <f t="shared" si="40"/>
        <v/>
      </c>
      <c r="S439" t="str">
        <f t="shared" si="41"/>
        <v/>
      </c>
      <c r="T439" t="str">
        <f t="shared" si="42"/>
        <v/>
      </c>
      <c r="U439" t="str">
        <f t="shared" si="43"/>
        <v/>
      </c>
    </row>
    <row r="440" spans="18:21">
      <c r="R440" t="str">
        <f t="shared" si="40"/>
        <v/>
      </c>
      <c r="S440" t="str">
        <f t="shared" si="41"/>
        <v/>
      </c>
      <c r="T440" t="str">
        <f t="shared" si="42"/>
        <v/>
      </c>
      <c r="U440" t="str">
        <f t="shared" si="43"/>
        <v/>
      </c>
    </row>
    <row r="441" spans="18:21">
      <c r="R441" t="str">
        <f t="shared" si="40"/>
        <v/>
      </c>
      <c r="S441" t="str">
        <f t="shared" si="41"/>
        <v/>
      </c>
      <c r="T441" t="str">
        <f t="shared" si="42"/>
        <v/>
      </c>
      <c r="U441" t="str">
        <f t="shared" si="43"/>
        <v/>
      </c>
    </row>
    <row r="442" spans="18:21">
      <c r="R442" t="str">
        <f t="shared" si="40"/>
        <v/>
      </c>
      <c r="S442" t="str">
        <f t="shared" si="41"/>
        <v/>
      </c>
      <c r="T442" t="str">
        <f t="shared" si="42"/>
        <v/>
      </c>
      <c r="U442" t="str">
        <f t="shared" si="43"/>
        <v/>
      </c>
    </row>
    <row r="443" spans="18:21">
      <c r="R443" t="str">
        <f t="shared" si="40"/>
        <v/>
      </c>
      <c r="S443" t="str">
        <f t="shared" si="41"/>
        <v/>
      </c>
      <c r="T443" t="str">
        <f t="shared" si="42"/>
        <v/>
      </c>
      <c r="U443" t="str">
        <f t="shared" si="43"/>
        <v/>
      </c>
    </row>
    <row r="444" spans="18:21">
      <c r="R444" t="str">
        <f t="shared" si="40"/>
        <v/>
      </c>
      <c r="S444" t="str">
        <f t="shared" si="41"/>
        <v/>
      </c>
      <c r="T444" t="str">
        <f t="shared" si="42"/>
        <v/>
      </c>
      <c r="U444" t="str">
        <f t="shared" si="43"/>
        <v/>
      </c>
    </row>
    <row r="445" spans="18:21">
      <c r="R445" t="str">
        <f t="shared" si="40"/>
        <v/>
      </c>
      <c r="S445" t="str">
        <f t="shared" si="41"/>
        <v/>
      </c>
      <c r="T445" t="str">
        <f t="shared" si="42"/>
        <v/>
      </c>
      <c r="U445" t="str">
        <f t="shared" si="43"/>
        <v/>
      </c>
    </row>
    <row r="446" spans="18:21">
      <c r="R446" t="str">
        <f t="shared" si="40"/>
        <v/>
      </c>
      <c r="S446" t="str">
        <f t="shared" si="41"/>
        <v/>
      </c>
      <c r="T446" t="str">
        <f t="shared" si="42"/>
        <v/>
      </c>
      <c r="U446" t="str">
        <f t="shared" si="43"/>
        <v/>
      </c>
    </row>
    <row r="447" spans="18:21">
      <c r="R447" t="str">
        <f t="shared" si="40"/>
        <v/>
      </c>
      <c r="S447" t="str">
        <f t="shared" si="41"/>
        <v/>
      </c>
      <c r="T447" t="str">
        <f t="shared" si="42"/>
        <v/>
      </c>
      <c r="U447" t="str">
        <f t="shared" si="43"/>
        <v/>
      </c>
    </row>
    <row r="448" spans="18:21">
      <c r="R448" t="str">
        <f t="shared" si="40"/>
        <v/>
      </c>
      <c r="S448" t="str">
        <f t="shared" si="41"/>
        <v/>
      </c>
      <c r="T448" t="str">
        <f t="shared" si="42"/>
        <v/>
      </c>
      <c r="U448" t="str">
        <f t="shared" si="43"/>
        <v/>
      </c>
    </row>
    <row r="449" spans="18:21">
      <c r="R449" t="str">
        <f t="shared" si="40"/>
        <v/>
      </c>
      <c r="S449" t="str">
        <f t="shared" si="41"/>
        <v/>
      </c>
      <c r="T449" t="str">
        <f t="shared" si="42"/>
        <v/>
      </c>
      <c r="U449" t="str">
        <f t="shared" si="43"/>
        <v/>
      </c>
    </row>
    <row r="450" spans="18:21">
      <c r="R450" t="str">
        <f t="shared" si="40"/>
        <v/>
      </c>
      <c r="S450" t="str">
        <f t="shared" si="41"/>
        <v/>
      </c>
      <c r="T450" t="str">
        <f t="shared" si="42"/>
        <v/>
      </c>
      <c r="U450" t="str">
        <f t="shared" si="43"/>
        <v/>
      </c>
    </row>
    <row r="451" spans="18:21">
      <c r="R451" t="str">
        <f t="shared" si="40"/>
        <v/>
      </c>
      <c r="S451" t="str">
        <f t="shared" si="41"/>
        <v/>
      </c>
      <c r="T451" t="str">
        <f t="shared" si="42"/>
        <v/>
      </c>
      <c r="U451" t="str">
        <f t="shared" si="43"/>
        <v/>
      </c>
    </row>
    <row r="452" spans="18:21">
      <c r="R452" t="str">
        <f t="shared" si="40"/>
        <v/>
      </c>
      <c r="S452" t="str">
        <f t="shared" si="41"/>
        <v/>
      </c>
      <c r="T452" t="str">
        <f t="shared" si="42"/>
        <v/>
      </c>
      <c r="U452" t="str">
        <f t="shared" si="43"/>
        <v/>
      </c>
    </row>
    <row r="453" spans="18:21">
      <c r="R453" t="str">
        <f t="shared" si="40"/>
        <v/>
      </c>
      <c r="S453" t="str">
        <f t="shared" si="41"/>
        <v/>
      </c>
      <c r="T453" t="str">
        <f t="shared" si="42"/>
        <v/>
      </c>
      <c r="U453" t="str">
        <f t="shared" si="43"/>
        <v/>
      </c>
    </row>
    <row r="454" spans="18:21">
      <c r="R454" t="str">
        <f t="shared" si="40"/>
        <v/>
      </c>
      <c r="S454" t="str">
        <f t="shared" si="41"/>
        <v/>
      </c>
      <c r="T454" t="str">
        <f t="shared" si="42"/>
        <v/>
      </c>
      <c r="U454" t="str">
        <f t="shared" si="43"/>
        <v/>
      </c>
    </row>
  </sheetData>
  <phoneticPr fontId="2"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751"/>
  <sheetViews>
    <sheetView topLeftCell="A58" workbookViewId="0">
      <selection activeCell="N5" sqref="N5"/>
    </sheetView>
  </sheetViews>
  <sheetFormatPr defaultRowHeight="16.5"/>
  <cols>
    <col min="1" max="1" width="33.25" style="66" customWidth="1"/>
    <col min="2" max="8" width="9" style="79"/>
    <col min="9" max="9" width="9" style="79" customWidth="1"/>
    <col min="10" max="12" width="9" style="79"/>
    <col min="13" max="13" width="32.5" customWidth="1"/>
    <col min="17" max="17" width="9" style="99"/>
    <col min="18" max="18" width="6" style="58" bestFit="1" customWidth="1"/>
    <col min="19" max="19" width="18.5" style="57" customWidth="1"/>
  </cols>
  <sheetData>
    <row r="1" spans="1:24">
      <c r="A1" s="60" t="s">
        <v>258</v>
      </c>
      <c r="B1" s="61" t="s">
        <v>259</v>
      </c>
      <c r="C1" s="61" t="s">
        <v>260</v>
      </c>
      <c r="D1" s="61" t="s">
        <v>261</v>
      </c>
      <c r="E1" s="61" t="s">
        <v>262</v>
      </c>
      <c r="F1" s="61" t="s">
        <v>263</v>
      </c>
      <c r="G1" s="61" t="s">
        <v>264</v>
      </c>
      <c r="H1" s="61" t="s">
        <v>265</v>
      </c>
      <c r="I1" s="61" t="s">
        <v>266</v>
      </c>
      <c r="J1" s="61" t="s">
        <v>267</v>
      </c>
      <c r="K1" s="61" t="s">
        <v>268</v>
      </c>
      <c r="L1" s="61" t="s">
        <v>269</v>
      </c>
      <c r="M1" s="62" t="s">
        <v>270</v>
      </c>
      <c r="N1" s="44" t="s">
        <v>197</v>
      </c>
      <c r="Q1" s="63" t="s">
        <v>271</v>
      </c>
      <c r="R1" s="64" t="s">
        <v>271</v>
      </c>
      <c r="S1" s="65" t="s">
        <v>272</v>
      </c>
      <c r="V1" s="44" t="s">
        <v>193</v>
      </c>
      <c r="W1" s="44" t="s">
        <v>194</v>
      </c>
      <c r="X1" s="44" t="s">
        <v>195</v>
      </c>
    </row>
    <row r="2" spans="1:24" ht="121.5" customHeight="1">
      <c r="A2" s="66" t="str">
        <f>IF(E2&lt;&gt;"","鑄造材料：{1}個"&amp;VLOOKUP(VALUE(E2),Q:S,3,),"")&amp;IF(H2&lt;&gt;"",CHAR(10)&amp;"{2}個"&amp;VLOOKUP(VALUE(H2),Q:S,3,FALSE),"")&amp;IF(K2&lt;&gt;"",CHAR(10)&amp;"{3}個"&amp;VLOOKUP(VALUE(K2),Q:S,3,FALSE),"")&amp;IF(C2&lt;&gt;"",CHAR(10)&amp;"工匠費用：{0}銀幣鑄造裝備","")</f>
        <v>鑄造材料：{1}個巨人骨骼
{2}個鑄造銅
{3}個鑄造石
工匠費用：{0}銀幣鑄造裝備</v>
      </c>
      <c r="B2" s="67" t="s">
        <v>273</v>
      </c>
      <c r="C2" s="67">
        <v>30000</v>
      </c>
      <c r="D2" s="68" t="s">
        <v>274</v>
      </c>
      <c r="E2" s="68" t="s">
        <v>816</v>
      </c>
      <c r="F2" s="68" t="s">
        <v>818</v>
      </c>
      <c r="G2" s="68" t="s">
        <v>274</v>
      </c>
      <c r="H2" s="69">
        <v>104102</v>
      </c>
      <c r="I2" s="68" t="s">
        <v>819</v>
      </c>
      <c r="J2" s="68" t="s">
        <v>274</v>
      </c>
      <c r="K2" s="68" t="s">
        <v>277</v>
      </c>
      <c r="L2" s="68" t="s">
        <v>855</v>
      </c>
      <c r="M2" s="55" t="s">
        <v>817</v>
      </c>
      <c r="N2" s="100">
        <f>VLOOKUP(VALUE(E2),W:X,2,FALSE)*F2+VLOOKUP(VALUE(H2),W:X,2,FALSE)*I2++VLOOKUP(VALUE(K2),W:X,2,FALSE)*L2</f>
        <v>164</v>
      </c>
      <c r="Q2" s="70">
        <f>VALUE(R2)</f>
        <v>0</v>
      </c>
      <c r="R2" s="71"/>
      <c r="S2" s="72" t="s">
        <v>279</v>
      </c>
      <c r="V2" s="55" t="s">
        <v>185</v>
      </c>
      <c r="W2" s="26">
        <v>101201</v>
      </c>
      <c r="X2">
        <v>20</v>
      </c>
    </row>
    <row r="3" spans="1:24" ht="66">
      <c r="A3" s="66" t="str">
        <f t="shared" ref="A3:A66" si="0">IF(E3&lt;&gt;"","鑄造材料：{1}個"&amp;VLOOKUP(VALUE(E3),Q:S,3,),"")&amp;IF(H3&lt;&gt;"",CHAR(10)&amp;"{2}個"&amp;VLOOKUP(VALUE(H3),Q:S,3,FALSE),"")&amp;IF(K3&lt;&gt;"",CHAR(10)&amp;"{3}個"&amp;VLOOKUP(VALUE(K3),Q:S,3,FALSE),"")&amp;IF(C3&lt;&gt;"",CHAR(10)&amp;"工匠費用：{0}銀幣鑄造裝備","")</f>
        <v>鑄造材料：{1}個海魔之觸
{2}個鑄造銅
{3}個鑄造石
工匠費用：{0}銀幣鑄造裝備</v>
      </c>
      <c r="B3" s="67" t="s">
        <v>273</v>
      </c>
      <c r="C3" s="67">
        <v>30000</v>
      </c>
      <c r="D3" s="68" t="s">
        <v>274</v>
      </c>
      <c r="E3" s="68">
        <v>101202</v>
      </c>
      <c r="F3" s="68" t="s">
        <v>818</v>
      </c>
      <c r="G3" s="68" t="s">
        <v>274</v>
      </c>
      <c r="H3" s="69">
        <v>104102</v>
      </c>
      <c r="I3" s="68" t="s">
        <v>819</v>
      </c>
      <c r="J3" s="68" t="s">
        <v>274</v>
      </c>
      <c r="K3" s="68" t="s">
        <v>277</v>
      </c>
      <c r="L3" s="68" t="s">
        <v>855</v>
      </c>
      <c r="M3" s="51" t="s">
        <v>820</v>
      </c>
      <c r="N3" s="100">
        <f t="shared" ref="N3:N8" si="1">VLOOKUP(VALUE(E3),W:X,2,FALSE)*F3+VLOOKUP(VALUE(H3),W:X,2,FALSE)*I3++VLOOKUP(VALUE(K3),W:X,2,FALSE)*L3</f>
        <v>264</v>
      </c>
      <c r="Q3" s="70">
        <f t="shared" ref="Q3:Q67" si="2">VALUE(R3)</f>
        <v>101</v>
      </c>
      <c r="R3" s="73">
        <v>101</v>
      </c>
      <c r="S3" s="74" t="s">
        <v>280</v>
      </c>
      <c r="V3" s="51" t="s">
        <v>198</v>
      </c>
      <c r="W3" s="26">
        <v>101202</v>
      </c>
      <c r="X3">
        <v>40</v>
      </c>
    </row>
    <row r="4" spans="1:24" ht="66">
      <c r="A4" s="66" t="str">
        <f t="shared" si="0"/>
        <v>鑄造材料：{1}個混合血肉
{2}個鑄造銅
{3}個鑄造石
工匠費用：{0}銀幣鑄造裝備</v>
      </c>
      <c r="B4" s="67" t="s">
        <v>273</v>
      </c>
      <c r="C4" s="67">
        <v>10000</v>
      </c>
      <c r="D4" s="68" t="s">
        <v>274</v>
      </c>
      <c r="E4" s="68">
        <v>101203</v>
      </c>
      <c r="F4" s="68" t="s">
        <v>818</v>
      </c>
      <c r="G4" s="68" t="s">
        <v>274</v>
      </c>
      <c r="H4" s="69">
        <v>104102</v>
      </c>
      <c r="I4" s="68" t="s">
        <v>819</v>
      </c>
      <c r="J4" s="68" t="s">
        <v>274</v>
      </c>
      <c r="K4" s="68" t="s">
        <v>277</v>
      </c>
      <c r="L4" s="68" t="s">
        <v>855</v>
      </c>
      <c r="M4" s="54" t="s">
        <v>821</v>
      </c>
      <c r="N4" s="100">
        <f t="shared" si="1"/>
        <v>464</v>
      </c>
      <c r="Q4" s="70">
        <f t="shared" si="2"/>
        <v>102</v>
      </c>
      <c r="R4" s="73">
        <v>102</v>
      </c>
      <c r="S4" s="74" t="s">
        <v>281</v>
      </c>
      <c r="V4" s="54" t="s">
        <v>248</v>
      </c>
      <c r="W4" s="26">
        <v>101203</v>
      </c>
      <c r="X4">
        <v>80</v>
      </c>
    </row>
    <row r="5" spans="1:24" ht="66">
      <c r="A5" s="66" t="str">
        <f t="shared" si="0"/>
        <v>鑄造材料：{1}個母牛角質
{2}個鑄造銅
{3}個鑄造石
工匠費用：{0}銀幣鑄造裝備</v>
      </c>
      <c r="B5" s="67" t="s">
        <v>273</v>
      </c>
      <c r="C5" s="67">
        <v>30000</v>
      </c>
      <c r="D5" s="68" t="s">
        <v>274</v>
      </c>
      <c r="E5" s="68">
        <v>101204</v>
      </c>
      <c r="F5" s="68" t="s">
        <v>818</v>
      </c>
      <c r="G5" s="68" t="s">
        <v>274</v>
      </c>
      <c r="H5" s="69">
        <v>104102</v>
      </c>
      <c r="I5" s="68" t="s">
        <v>819</v>
      </c>
      <c r="J5" s="68" t="s">
        <v>274</v>
      </c>
      <c r="K5" s="68" t="s">
        <v>277</v>
      </c>
      <c r="L5" s="68" t="s">
        <v>855</v>
      </c>
      <c r="M5" s="55" t="s">
        <v>822</v>
      </c>
      <c r="N5" s="100">
        <f t="shared" si="1"/>
        <v>164</v>
      </c>
      <c r="Q5" s="70">
        <f t="shared" si="2"/>
        <v>103</v>
      </c>
      <c r="R5" s="73">
        <v>103</v>
      </c>
      <c r="S5" s="74" t="s">
        <v>282</v>
      </c>
      <c r="V5" s="55" t="s">
        <v>199</v>
      </c>
      <c r="W5" s="26">
        <v>101204</v>
      </c>
      <c r="X5">
        <v>20</v>
      </c>
    </row>
    <row r="6" spans="1:24" ht="66">
      <c r="A6" s="66" t="str">
        <f t="shared" si="0"/>
        <v>鑄造材料：{1}個秘語沙塵
{2}個鑄造銅
{3}個鑄造石
工匠費用：{0}銀幣鑄造裝備</v>
      </c>
      <c r="B6" s="67" t="s">
        <v>273</v>
      </c>
      <c r="C6" s="67">
        <v>10000</v>
      </c>
      <c r="D6" s="68" t="s">
        <v>274</v>
      </c>
      <c r="E6" s="68">
        <v>101205</v>
      </c>
      <c r="F6" s="68" t="s">
        <v>818</v>
      </c>
      <c r="G6" s="68" t="s">
        <v>274</v>
      </c>
      <c r="H6" s="69">
        <v>104102</v>
      </c>
      <c r="I6" s="68" t="s">
        <v>819</v>
      </c>
      <c r="J6" s="68" t="s">
        <v>274</v>
      </c>
      <c r="K6" s="68" t="s">
        <v>277</v>
      </c>
      <c r="L6" s="68" t="s">
        <v>855</v>
      </c>
      <c r="M6" s="55" t="s">
        <v>823</v>
      </c>
      <c r="N6" s="100">
        <f t="shared" si="1"/>
        <v>164</v>
      </c>
      <c r="Q6" s="70">
        <f t="shared" si="2"/>
        <v>104</v>
      </c>
      <c r="R6" s="73" t="s">
        <v>283</v>
      </c>
      <c r="S6" s="74" t="s">
        <v>284</v>
      </c>
      <c r="V6" s="55" t="s">
        <v>210</v>
      </c>
      <c r="W6" s="26">
        <v>101205</v>
      </c>
      <c r="X6">
        <v>20</v>
      </c>
    </row>
    <row r="7" spans="1:24" ht="66">
      <c r="A7" s="66" t="str">
        <f t="shared" si="0"/>
        <v>鑄造材料：{1}個智慧碎片
{2}個鑄造銅
{3}個鑄造石
工匠費用：{0}銀幣鑄造裝備</v>
      </c>
      <c r="B7" s="67" t="s">
        <v>273</v>
      </c>
      <c r="C7" s="67">
        <v>10000</v>
      </c>
      <c r="D7" s="68" t="s">
        <v>274</v>
      </c>
      <c r="E7" s="68">
        <v>101206</v>
      </c>
      <c r="F7" s="68" t="s">
        <v>818</v>
      </c>
      <c r="G7" s="68" t="s">
        <v>274</v>
      </c>
      <c r="H7" s="69">
        <v>104102</v>
      </c>
      <c r="I7" s="68" t="s">
        <v>819</v>
      </c>
      <c r="J7" s="68" t="s">
        <v>274</v>
      </c>
      <c r="K7" s="68" t="s">
        <v>277</v>
      </c>
      <c r="L7" s="68" t="s">
        <v>855</v>
      </c>
      <c r="M7" s="55" t="s">
        <v>824</v>
      </c>
      <c r="N7" s="100">
        <f t="shared" si="1"/>
        <v>164</v>
      </c>
      <c r="Q7" s="70">
        <f t="shared" si="2"/>
        <v>105</v>
      </c>
      <c r="R7" s="73" t="s">
        <v>285</v>
      </c>
      <c r="S7" s="74" t="s">
        <v>286</v>
      </c>
      <c r="V7" s="55" t="s">
        <v>212</v>
      </c>
      <c r="W7" s="26">
        <v>101206</v>
      </c>
      <c r="X7">
        <v>20</v>
      </c>
    </row>
    <row r="8" spans="1:24" ht="66">
      <c r="A8" s="66" t="str">
        <f t="shared" si="0"/>
        <v>鑄造材料：{1}個哈耳庇厄之羽
{2}個鑄造銅
{3}個鑄造石
工匠費用：{0}銀幣鑄造裝備</v>
      </c>
      <c r="B8" s="67" t="s">
        <v>273</v>
      </c>
      <c r="C8" s="67">
        <v>30000</v>
      </c>
      <c r="D8" s="68" t="s">
        <v>274</v>
      </c>
      <c r="E8" s="68">
        <v>101207</v>
      </c>
      <c r="F8" s="68" t="s">
        <v>818</v>
      </c>
      <c r="G8" s="68" t="s">
        <v>274</v>
      </c>
      <c r="H8" s="69">
        <v>104102</v>
      </c>
      <c r="I8" s="68" t="s">
        <v>819</v>
      </c>
      <c r="J8" s="68" t="s">
        <v>274</v>
      </c>
      <c r="K8" s="68" t="s">
        <v>277</v>
      </c>
      <c r="L8" s="68" t="s">
        <v>855</v>
      </c>
      <c r="M8" s="55" t="s">
        <v>825</v>
      </c>
      <c r="N8" s="100">
        <f t="shared" si="1"/>
        <v>164</v>
      </c>
      <c r="Q8" s="70">
        <f t="shared" si="2"/>
        <v>106</v>
      </c>
      <c r="R8" s="73" t="s">
        <v>287</v>
      </c>
      <c r="S8" s="74" t="s">
        <v>288</v>
      </c>
      <c r="V8" s="55" t="s">
        <v>222</v>
      </c>
      <c r="W8" s="26">
        <v>101207</v>
      </c>
      <c r="X8">
        <v>20</v>
      </c>
    </row>
    <row r="9" spans="1:24" ht="66">
      <c r="A9" s="66" t="str">
        <f t="shared" si="0"/>
        <v>鑄造材料：{1}個巨犬之牙
{2}個鑄造銅
{3}個鑄造石
工匠費用：{0}銀幣鑄造裝備</v>
      </c>
      <c r="B9" s="67" t="s">
        <v>273</v>
      </c>
      <c r="C9" s="67">
        <v>30000</v>
      </c>
      <c r="D9" s="68" t="s">
        <v>274</v>
      </c>
      <c r="E9" s="68">
        <v>101208</v>
      </c>
      <c r="F9" s="68" t="s">
        <v>818</v>
      </c>
      <c r="G9" s="68" t="s">
        <v>274</v>
      </c>
      <c r="H9" s="69">
        <v>104102</v>
      </c>
      <c r="I9" s="68" t="s">
        <v>819</v>
      </c>
      <c r="J9" s="68" t="s">
        <v>274</v>
      </c>
      <c r="K9" s="68" t="s">
        <v>277</v>
      </c>
      <c r="L9" s="68" t="s">
        <v>855</v>
      </c>
      <c r="M9" s="55" t="s">
        <v>826</v>
      </c>
      <c r="N9" s="100">
        <f t="shared" ref="N9:N38" si="3">VLOOKUP(VALUE(E9),W:X,2,FALSE)*F9+VLOOKUP(VALUE(H9),W:X,2,FALSE)*I9++VLOOKUP(VALUE(K9),W:X,2,FALSE)*L9</f>
        <v>164</v>
      </c>
      <c r="Q9" s="70">
        <f t="shared" si="2"/>
        <v>107</v>
      </c>
      <c r="R9" s="73" t="s">
        <v>289</v>
      </c>
      <c r="S9" s="74" t="s">
        <v>290</v>
      </c>
      <c r="V9" s="55" t="s">
        <v>205</v>
      </c>
      <c r="W9" s="26">
        <v>101208</v>
      </c>
      <c r="X9">
        <v>20</v>
      </c>
    </row>
    <row r="10" spans="1:24" ht="66">
      <c r="A10" s="66" t="str">
        <f t="shared" si="0"/>
        <v>鑄造材料：{1}個精工戒指設計圖
{2}個鑄造銅
{3}個鑄造石
工匠費用：{0}銀幣鑄造裝備</v>
      </c>
      <c r="B10" s="67" t="s">
        <v>273</v>
      </c>
      <c r="C10" s="67">
        <v>10000</v>
      </c>
      <c r="D10" s="68" t="s">
        <v>274</v>
      </c>
      <c r="E10" s="68">
        <v>101209</v>
      </c>
      <c r="F10" s="68" t="s">
        <v>818</v>
      </c>
      <c r="G10" s="68" t="s">
        <v>274</v>
      </c>
      <c r="H10" s="69">
        <v>104102</v>
      </c>
      <c r="I10" s="68" t="s">
        <v>819</v>
      </c>
      <c r="J10" s="68" t="s">
        <v>274</v>
      </c>
      <c r="K10" s="68" t="s">
        <v>277</v>
      </c>
      <c r="L10" s="68" t="s">
        <v>855</v>
      </c>
      <c r="M10" s="55" t="s">
        <v>827</v>
      </c>
      <c r="N10" s="100">
        <f t="shared" si="3"/>
        <v>164</v>
      </c>
      <c r="Q10" s="70">
        <f t="shared" si="2"/>
        <v>108</v>
      </c>
      <c r="R10" s="73" t="s">
        <v>291</v>
      </c>
      <c r="S10" s="74" t="s">
        <v>292</v>
      </c>
      <c r="V10" s="55" t="s">
        <v>208</v>
      </c>
      <c r="W10" s="26">
        <v>101209</v>
      </c>
      <c r="X10">
        <v>20</v>
      </c>
    </row>
    <row r="11" spans="1:24" ht="66">
      <c r="A11" s="66" t="str">
        <f t="shared" si="0"/>
        <v>鑄造材料：{1}個精工假髮設計圖
{2}個鑄造銅
{3}個鑄造石
工匠費用：{0}銀幣鑄造裝備</v>
      </c>
      <c r="B11" s="67" t="s">
        <v>273</v>
      </c>
      <c r="C11" s="67">
        <v>10000</v>
      </c>
      <c r="D11" s="68" t="s">
        <v>274</v>
      </c>
      <c r="E11" s="68">
        <v>101210</v>
      </c>
      <c r="F11" s="68" t="s">
        <v>818</v>
      </c>
      <c r="G11" s="68" t="s">
        <v>274</v>
      </c>
      <c r="H11" s="69">
        <v>104102</v>
      </c>
      <c r="I11" s="68" t="s">
        <v>819</v>
      </c>
      <c r="J11" s="68" t="s">
        <v>274</v>
      </c>
      <c r="K11" s="68" t="s">
        <v>277</v>
      </c>
      <c r="L11" s="68" t="s">
        <v>855</v>
      </c>
      <c r="M11" s="55" t="s">
        <v>828</v>
      </c>
      <c r="N11" s="100">
        <f t="shared" si="3"/>
        <v>164</v>
      </c>
      <c r="Q11" s="70">
        <f t="shared" si="2"/>
        <v>109</v>
      </c>
      <c r="R11" s="73" t="s">
        <v>293</v>
      </c>
      <c r="S11" s="74" t="s">
        <v>294</v>
      </c>
      <c r="V11" s="55" t="s">
        <v>209</v>
      </c>
      <c r="W11" s="26">
        <v>101210</v>
      </c>
      <c r="X11">
        <v>20</v>
      </c>
    </row>
    <row r="12" spans="1:24" ht="66">
      <c r="A12" s="66" t="str">
        <f t="shared" si="0"/>
        <v>鑄造材料：{1}個斯庫爾之牙
{2}個鑄造銅
{3}個鑄造石
工匠費用：{0}銀幣鑄造裝備</v>
      </c>
      <c r="B12" s="67" t="s">
        <v>273</v>
      </c>
      <c r="C12" s="67">
        <v>10000</v>
      </c>
      <c r="D12" s="68" t="s">
        <v>274</v>
      </c>
      <c r="E12" s="68">
        <v>101211</v>
      </c>
      <c r="F12" s="68" t="s">
        <v>818</v>
      </c>
      <c r="G12" s="68" t="s">
        <v>274</v>
      </c>
      <c r="H12" s="69">
        <v>104102</v>
      </c>
      <c r="I12" s="68" t="s">
        <v>819</v>
      </c>
      <c r="J12" s="68" t="s">
        <v>274</v>
      </c>
      <c r="K12" s="68" t="s">
        <v>277</v>
      </c>
      <c r="L12" s="68" t="s">
        <v>855</v>
      </c>
      <c r="M12" s="55" t="s">
        <v>829</v>
      </c>
      <c r="N12" s="100">
        <f t="shared" si="3"/>
        <v>164</v>
      </c>
      <c r="Q12" s="70">
        <f t="shared" si="2"/>
        <v>110</v>
      </c>
      <c r="R12" s="73" t="s">
        <v>295</v>
      </c>
      <c r="S12" s="74" t="s">
        <v>296</v>
      </c>
      <c r="V12" s="55" t="s">
        <v>226</v>
      </c>
      <c r="W12" s="26">
        <v>101211</v>
      </c>
      <c r="X12">
        <v>20</v>
      </c>
    </row>
    <row r="13" spans="1:24" ht="66">
      <c r="A13" s="66" t="str">
        <f t="shared" si="0"/>
        <v>鑄造材料：{1}個人魚淚珠
{2}個鑄造銅
{3}個鑄造石
工匠費用：{0}銀幣鑄造裝備</v>
      </c>
      <c r="B13" s="67" t="s">
        <v>273</v>
      </c>
      <c r="C13" s="67">
        <v>10000</v>
      </c>
      <c r="D13" s="68" t="s">
        <v>274</v>
      </c>
      <c r="E13" s="68">
        <v>101212</v>
      </c>
      <c r="F13" s="68" t="s">
        <v>818</v>
      </c>
      <c r="G13" s="68" t="s">
        <v>274</v>
      </c>
      <c r="H13" s="69">
        <v>104102</v>
      </c>
      <c r="I13" s="68" t="s">
        <v>819</v>
      </c>
      <c r="J13" s="68" t="s">
        <v>274</v>
      </c>
      <c r="K13" s="68" t="s">
        <v>277</v>
      </c>
      <c r="L13" s="68" t="s">
        <v>855</v>
      </c>
      <c r="M13" s="51" t="s">
        <v>830</v>
      </c>
      <c r="N13" s="100">
        <f t="shared" si="3"/>
        <v>264</v>
      </c>
      <c r="Q13" s="70">
        <f t="shared" si="2"/>
        <v>111</v>
      </c>
      <c r="R13" s="73" t="s">
        <v>297</v>
      </c>
      <c r="S13" s="74" t="s">
        <v>298</v>
      </c>
      <c r="V13" s="51" t="s">
        <v>213</v>
      </c>
      <c r="W13" s="26">
        <v>101212</v>
      </c>
      <c r="X13">
        <v>40</v>
      </c>
    </row>
    <row r="14" spans="1:24" ht="66">
      <c r="A14" s="66" t="str">
        <f t="shared" si="0"/>
        <v>鑄造材料：{1}個海妖鱗粉
{2}個鑄造銅
{3}個鑄造石
工匠費用：{0}銀幣鑄造裝備</v>
      </c>
      <c r="B14" s="67" t="s">
        <v>273</v>
      </c>
      <c r="C14" s="67">
        <v>10000</v>
      </c>
      <c r="D14" s="68" t="s">
        <v>274</v>
      </c>
      <c r="E14" s="68">
        <v>101213</v>
      </c>
      <c r="F14" s="68" t="s">
        <v>818</v>
      </c>
      <c r="G14" s="68" t="s">
        <v>274</v>
      </c>
      <c r="H14" s="69">
        <v>104102</v>
      </c>
      <c r="I14" s="68" t="s">
        <v>819</v>
      </c>
      <c r="J14" s="68" t="s">
        <v>274</v>
      </c>
      <c r="K14" s="68" t="s">
        <v>277</v>
      </c>
      <c r="L14" s="68" t="s">
        <v>855</v>
      </c>
      <c r="M14" s="51" t="s">
        <v>831</v>
      </c>
      <c r="N14" s="100">
        <f t="shared" si="3"/>
        <v>264</v>
      </c>
      <c r="Q14" s="70">
        <f t="shared" si="2"/>
        <v>112</v>
      </c>
      <c r="R14" s="73" t="s">
        <v>299</v>
      </c>
      <c r="S14" s="74" t="s">
        <v>300</v>
      </c>
      <c r="V14" s="51" t="s">
        <v>244</v>
      </c>
      <c r="W14" s="26">
        <v>101213</v>
      </c>
      <c r="X14">
        <v>40</v>
      </c>
    </row>
    <row r="15" spans="1:24" ht="66">
      <c r="A15" s="66" t="str">
        <f t="shared" si="0"/>
        <v>鑄造材料：{1}個劇毒汁液
{2}個鑄造銅
{3}個鑄造石
工匠費用：{0}銀幣鑄造裝備</v>
      </c>
      <c r="B15" s="67" t="s">
        <v>273</v>
      </c>
      <c r="C15" s="67">
        <v>10000</v>
      </c>
      <c r="D15" s="68" t="s">
        <v>274</v>
      </c>
      <c r="E15" s="68">
        <v>101214</v>
      </c>
      <c r="F15" s="68" t="s">
        <v>818</v>
      </c>
      <c r="G15" s="68" t="s">
        <v>274</v>
      </c>
      <c r="H15" s="69">
        <v>104102</v>
      </c>
      <c r="I15" s="68" t="s">
        <v>819</v>
      </c>
      <c r="J15" s="68" t="s">
        <v>274</v>
      </c>
      <c r="K15" s="68" t="s">
        <v>277</v>
      </c>
      <c r="L15" s="68" t="s">
        <v>855</v>
      </c>
      <c r="M15" s="51" t="s">
        <v>832</v>
      </c>
      <c r="N15" s="100">
        <f t="shared" si="3"/>
        <v>264</v>
      </c>
      <c r="Q15" s="70">
        <f t="shared" si="2"/>
        <v>113</v>
      </c>
      <c r="R15" s="73" t="s">
        <v>301</v>
      </c>
      <c r="S15" s="74" t="s">
        <v>302</v>
      </c>
      <c r="V15" s="51" t="s">
        <v>231</v>
      </c>
      <c r="W15" s="26">
        <v>101214</v>
      </c>
      <c r="X15">
        <v>40</v>
      </c>
    </row>
    <row r="16" spans="1:24" ht="66">
      <c r="A16" s="66" t="str">
        <f t="shared" si="0"/>
        <v>鑄造材料：{1}個水晶藍粉
{2}個鑄造銅
{3}個鑄造石
工匠費用：{0}銀幣鑄造裝備</v>
      </c>
      <c r="B16" s="67" t="s">
        <v>273</v>
      </c>
      <c r="C16" s="67">
        <v>10000</v>
      </c>
      <c r="D16" s="68" t="s">
        <v>274</v>
      </c>
      <c r="E16" s="68">
        <v>101215</v>
      </c>
      <c r="F16" s="68" t="s">
        <v>818</v>
      </c>
      <c r="G16" s="68" t="s">
        <v>274</v>
      </c>
      <c r="H16" s="69">
        <v>104102</v>
      </c>
      <c r="I16" s="68" t="s">
        <v>819</v>
      </c>
      <c r="J16" s="68" t="s">
        <v>274</v>
      </c>
      <c r="K16" s="68" t="s">
        <v>277</v>
      </c>
      <c r="L16" s="68" t="s">
        <v>855</v>
      </c>
      <c r="M16" s="51" t="s">
        <v>833</v>
      </c>
      <c r="N16" s="100">
        <f t="shared" si="3"/>
        <v>264</v>
      </c>
      <c r="Q16" s="70">
        <f t="shared" si="2"/>
        <v>114</v>
      </c>
      <c r="R16" s="73">
        <v>114</v>
      </c>
      <c r="S16" s="74" t="s">
        <v>303</v>
      </c>
      <c r="V16" s="51" t="s">
        <v>233</v>
      </c>
      <c r="W16" s="26">
        <v>101215</v>
      </c>
      <c r="X16">
        <v>40</v>
      </c>
    </row>
    <row r="17" spans="1:24" ht="66">
      <c r="A17" s="66" t="str">
        <f t="shared" si="0"/>
        <v>鑄造材料：{1}個堅硬蟹殼
{2}個鑄造銅
{3}個鑄造石
工匠費用：{0}銀幣鑄造裝備</v>
      </c>
      <c r="B17" s="67" t="s">
        <v>273</v>
      </c>
      <c r="C17" s="67">
        <v>30000</v>
      </c>
      <c r="D17" s="68" t="s">
        <v>274</v>
      </c>
      <c r="E17" s="68">
        <v>101216</v>
      </c>
      <c r="F17" s="68" t="s">
        <v>818</v>
      </c>
      <c r="G17" s="68" t="s">
        <v>274</v>
      </c>
      <c r="H17" s="69">
        <v>104102</v>
      </c>
      <c r="I17" s="68" t="s">
        <v>819</v>
      </c>
      <c r="J17" s="68" t="s">
        <v>274</v>
      </c>
      <c r="K17" s="68" t="s">
        <v>277</v>
      </c>
      <c r="L17" s="68" t="s">
        <v>855</v>
      </c>
      <c r="M17" s="51" t="s">
        <v>834</v>
      </c>
      <c r="N17" s="100">
        <f t="shared" si="3"/>
        <v>264</v>
      </c>
      <c r="Q17" s="70">
        <f t="shared" si="2"/>
        <v>115</v>
      </c>
      <c r="R17" s="73">
        <v>115</v>
      </c>
      <c r="S17" s="74" t="s">
        <v>304</v>
      </c>
      <c r="V17" s="51" t="s">
        <v>206</v>
      </c>
      <c r="W17" s="26">
        <v>101216</v>
      </c>
      <c r="X17">
        <v>40</v>
      </c>
    </row>
    <row r="18" spans="1:24" ht="66">
      <c r="A18" s="66" t="str">
        <f t="shared" si="0"/>
        <v>鑄造材料：{1}個精工之槌設計圖
{2}個鑄造銅
{3}個鑄造石
工匠費用：{0}銀幣鑄造裝備</v>
      </c>
      <c r="B18" s="67" t="s">
        <v>273</v>
      </c>
      <c r="C18" s="67">
        <v>30000</v>
      </c>
      <c r="D18" s="68" t="s">
        <v>274</v>
      </c>
      <c r="E18" s="68">
        <v>101217</v>
      </c>
      <c r="F18" s="68" t="s">
        <v>818</v>
      </c>
      <c r="G18" s="68" t="s">
        <v>274</v>
      </c>
      <c r="H18" s="69">
        <v>104102</v>
      </c>
      <c r="I18" s="68" t="s">
        <v>819</v>
      </c>
      <c r="J18" s="68" t="s">
        <v>274</v>
      </c>
      <c r="K18" s="68" t="s">
        <v>277</v>
      </c>
      <c r="L18" s="68" t="s">
        <v>855</v>
      </c>
      <c r="M18" s="54" t="s">
        <v>835</v>
      </c>
      <c r="N18" s="100">
        <f t="shared" si="3"/>
        <v>364</v>
      </c>
      <c r="Q18" s="70">
        <f t="shared" si="2"/>
        <v>0</v>
      </c>
      <c r="R18" s="75"/>
      <c r="S18" s="76" t="s">
        <v>305</v>
      </c>
      <c r="V18" s="54" t="s">
        <v>228</v>
      </c>
      <c r="W18" s="26">
        <v>101217</v>
      </c>
      <c r="X18">
        <v>60</v>
      </c>
    </row>
    <row r="19" spans="1:24" ht="66">
      <c r="A19" s="66" t="str">
        <f t="shared" si="0"/>
        <v>鑄造材料：{1}個精工拴套設計圖
{2}個鑄造銅
{3}個鑄造石
工匠費用：{0}銀幣鑄造裝備</v>
      </c>
      <c r="B19" s="67" t="s">
        <v>273</v>
      </c>
      <c r="C19" s="67">
        <v>30000</v>
      </c>
      <c r="D19" s="68" t="s">
        <v>274</v>
      </c>
      <c r="E19" s="68">
        <v>101218</v>
      </c>
      <c r="F19" s="68" t="s">
        <v>275</v>
      </c>
      <c r="G19" s="68" t="s">
        <v>274</v>
      </c>
      <c r="H19" s="69">
        <v>104102</v>
      </c>
      <c r="I19" s="68" t="s">
        <v>276</v>
      </c>
      <c r="J19" s="68" t="s">
        <v>274</v>
      </c>
      <c r="K19" s="68" t="s">
        <v>277</v>
      </c>
      <c r="L19" s="68" t="s">
        <v>278</v>
      </c>
      <c r="M19" s="54" t="s">
        <v>836</v>
      </c>
      <c r="N19" s="100">
        <f t="shared" si="3"/>
        <v>740</v>
      </c>
      <c r="Q19" s="70">
        <f t="shared" si="2"/>
        <v>0</v>
      </c>
      <c r="R19" s="75"/>
      <c r="S19" s="76" t="s">
        <v>306</v>
      </c>
      <c r="V19" s="54" t="s">
        <v>246</v>
      </c>
      <c r="W19" s="26">
        <v>101218</v>
      </c>
      <c r="X19">
        <v>60</v>
      </c>
    </row>
    <row r="20" spans="1:24" ht="66">
      <c r="A20" s="66" t="str">
        <f t="shared" si="0"/>
        <v>鑄造材料：{1}個烈焰之心
{2}個鑄造銅
{3}個鑄造石
工匠費用：{0}銀幣鑄造裝備</v>
      </c>
      <c r="B20" s="67" t="s">
        <v>273</v>
      </c>
      <c r="C20" s="67">
        <v>10000</v>
      </c>
      <c r="D20" s="68" t="s">
        <v>274</v>
      </c>
      <c r="E20" s="68">
        <v>101219</v>
      </c>
      <c r="F20" s="68" t="s">
        <v>275</v>
      </c>
      <c r="G20" s="68" t="s">
        <v>274</v>
      </c>
      <c r="H20" s="69">
        <v>104102</v>
      </c>
      <c r="I20" s="68" t="s">
        <v>276</v>
      </c>
      <c r="J20" s="68" t="s">
        <v>274</v>
      </c>
      <c r="K20" s="68" t="s">
        <v>277</v>
      </c>
      <c r="L20" s="68" t="s">
        <v>278</v>
      </c>
      <c r="M20" s="54" t="s">
        <v>837</v>
      </c>
      <c r="N20" s="100">
        <f t="shared" si="3"/>
        <v>740</v>
      </c>
      <c r="Q20" s="70">
        <f t="shared" si="2"/>
        <v>0</v>
      </c>
      <c r="R20" s="75"/>
      <c r="S20" s="76" t="s">
        <v>307</v>
      </c>
      <c r="V20" s="54" t="s">
        <v>227</v>
      </c>
      <c r="W20" s="26">
        <v>101219</v>
      </c>
      <c r="X20">
        <v>60</v>
      </c>
    </row>
    <row r="21" spans="1:24" ht="66">
      <c r="A21" s="66" t="str">
        <f t="shared" si="0"/>
        <v>鑄造材料：{1}個死沉灰燼
{2}個鑄造銅
{3}個鑄造石
工匠費用：{0}銀幣鑄造裝備</v>
      </c>
      <c r="B21" s="67" t="s">
        <v>273</v>
      </c>
      <c r="C21" s="67">
        <v>10000</v>
      </c>
      <c r="D21" s="68" t="s">
        <v>274</v>
      </c>
      <c r="E21" s="68">
        <v>101220</v>
      </c>
      <c r="F21" s="68" t="s">
        <v>275</v>
      </c>
      <c r="G21" s="68" t="s">
        <v>274</v>
      </c>
      <c r="H21" s="69">
        <v>104102</v>
      </c>
      <c r="I21" s="68" t="s">
        <v>276</v>
      </c>
      <c r="J21" s="68" t="s">
        <v>274</v>
      </c>
      <c r="K21" s="68" t="s">
        <v>277</v>
      </c>
      <c r="L21" s="68" t="s">
        <v>278</v>
      </c>
      <c r="M21" s="54" t="s">
        <v>838</v>
      </c>
      <c r="N21" s="100">
        <f t="shared" si="3"/>
        <v>740</v>
      </c>
      <c r="Q21" s="70">
        <f t="shared" si="2"/>
        <v>119</v>
      </c>
      <c r="R21" s="77">
        <v>119</v>
      </c>
      <c r="S21" s="78" t="s">
        <v>308</v>
      </c>
      <c r="V21" s="54" t="s">
        <v>230</v>
      </c>
      <c r="W21" s="26">
        <v>101220</v>
      </c>
      <c r="X21">
        <v>60</v>
      </c>
    </row>
    <row r="22" spans="1:24" ht="66">
      <c r="A22" s="66" t="str">
        <f t="shared" si="0"/>
        <v>鑄造材料：{1}個不死鳥羽翼
{2}個鑄造銅
{3}個鑄造石
工匠費用：{0}銀幣鑄造裝備</v>
      </c>
      <c r="B22" s="67" t="s">
        <v>273</v>
      </c>
      <c r="C22" s="67">
        <v>10000</v>
      </c>
      <c r="D22" s="68" t="s">
        <v>274</v>
      </c>
      <c r="E22" s="68">
        <v>101221</v>
      </c>
      <c r="F22" s="68" t="s">
        <v>275</v>
      </c>
      <c r="G22" s="68" t="s">
        <v>274</v>
      </c>
      <c r="H22" s="69">
        <v>104102</v>
      </c>
      <c r="I22" s="68" t="s">
        <v>276</v>
      </c>
      <c r="J22" s="68" t="s">
        <v>274</v>
      </c>
      <c r="K22" s="68" t="s">
        <v>277</v>
      </c>
      <c r="L22" s="68" t="s">
        <v>278</v>
      </c>
      <c r="M22" s="54" t="s">
        <v>839</v>
      </c>
      <c r="N22" s="100">
        <f t="shared" si="3"/>
        <v>740</v>
      </c>
      <c r="Q22" s="70">
        <f t="shared" si="2"/>
        <v>120</v>
      </c>
      <c r="R22" s="77">
        <v>120</v>
      </c>
      <c r="S22" s="78" t="s">
        <v>309</v>
      </c>
      <c r="V22" s="54" t="s">
        <v>247</v>
      </c>
      <c r="W22" s="26">
        <v>101221</v>
      </c>
      <c r="X22">
        <v>60</v>
      </c>
    </row>
    <row r="23" spans="1:24" ht="66">
      <c r="A23" s="66" t="str">
        <f t="shared" si="0"/>
        <v>鑄造材料：{1}個混合鬃毛
{2}個鑄造銅
{3}個鑄造石
工匠費用：{0}銀幣鑄造裝備</v>
      </c>
      <c r="B23" s="67" t="s">
        <v>273</v>
      </c>
      <c r="C23" s="67">
        <v>10000</v>
      </c>
      <c r="D23" s="68" t="s">
        <v>274</v>
      </c>
      <c r="E23" s="68">
        <v>101222</v>
      </c>
      <c r="F23" s="68" t="s">
        <v>854</v>
      </c>
      <c r="G23" s="68" t="s">
        <v>274</v>
      </c>
      <c r="H23" s="69">
        <v>104102</v>
      </c>
      <c r="I23" s="68" t="s">
        <v>856</v>
      </c>
      <c r="J23" s="68" t="s">
        <v>274</v>
      </c>
      <c r="K23" s="68" t="s">
        <v>277</v>
      </c>
      <c r="L23" s="68" t="s">
        <v>855</v>
      </c>
      <c r="M23" s="55" t="s">
        <v>840</v>
      </c>
      <c r="N23" s="100">
        <f t="shared" si="3"/>
        <v>164</v>
      </c>
      <c r="Q23" s="70">
        <f t="shared" si="2"/>
        <v>121</v>
      </c>
      <c r="R23" s="77">
        <v>121</v>
      </c>
      <c r="S23" s="78" t="s">
        <v>310</v>
      </c>
      <c r="V23" s="55" t="s">
        <v>204</v>
      </c>
      <c r="W23" s="26">
        <v>101222</v>
      </c>
      <c r="X23">
        <v>20</v>
      </c>
    </row>
    <row r="24" spans="1:24" ht="66">
      <c r="A24" s="66" t="str">
        <f t="shared" si="0"/>
        <v>鑄造材料：{1}個災禍豬牙
{2}個鑄造銅
{3}個鑄造石
工匠費用：{0}銀幣鑄造裝備</v>
      </c>
      <c r="B24" s="67" t="s">
        <v>273</v>
      </c>
      <c r="C24" s="67">
        <v>30000</v>
      </c>
      <c r="D24" s="68" t="s">
        <v>274</v>
      </c>
      <c r="E24" s="68">
        <v>101223</v>
      </c>
      <c r="F24" s="68" t="s">
        <v>818</v>
      </c>
      <c r="G24" s="68" t="s">
        <v>274</v>
      </c>
      <c r="H24" s="69">
        <v>104102</v>
      </c>
      <c r="I24" s="68" t="s">
        <v>819</v>
      </c>
      <c r="J24" s="68" t="s">
        <v>274</v>
      </c>
      <c r="K24" s="68" t="s">
        <v>277</v>
      </c>
      <c r="L24" s="68" t="s">
        <v>855</v>
      </c>
      <c r="M24" s="55" t="s">
        <v>841</v>
      </c>
      <c r="N24" s="100">
        <f t="shared" si="3"/>
        <v>164</v>
      </c>
      <c r="Q24" s="70">
        <f t="shared" si="2"/>
        <v>122</v>
      </c>
      <c r="R24" s="77" t="s">
        <v>311</v>
      </c>
      <c r="S24" s="78" t="s">
        <v>312</v>
      </c>
      <c r="V24" s="55" t="s">
        <v>224</v>
      </c>
      <c r="W24" s="26">
        <v>101223</v>
      </c>
      <c r="X24">
        <v>20</v>
      </c>
    </row>
    <row r="25" spans="1:24" ht="66">
      <c r="A25" s="66" t="str">
        <f t="shared" si="0"/>
        <v>鑄造材料：{1}個獅鴛皮毛
{2}個鑄造銅
{3}個鑄造石
工匠費用：{0}銀幣鑄造裝備</v>
      </c>
      <c r="B25" s="67" t="s">
        <v>273</v>
      </c>
      <c r="C25" s="67">
        <v>30000</v>
      </c>
      <c r="D25" s="68" t="s">
        <v>274</v>
      </c>
      <c r="E25" s="68">
        <v>101224</v>
      </c>
      <c r="F25" s="68" t="s">
        <v>818</v>
      </c>
      <c r="G25" s="68" t="s">
        <v>274</v>
      </c>
      <c r="H25" s="69">
        <v>104102</v>
      </c>
      <c r="I25" s="68" t="s">
        <v>819</v>
      </c>
      <c r="J25" s="68" t="s">
        <v>274</v>
      </c>
      <c r="K25" s="68" t="s">
        <v>277</v>
      </c>
      <c r="L25" s="68" t="s">
        <v>855</v>
      </c>
      <c r="M25" s="53" t="s">
        <v>842</v>
      </c>
      <c r="N25" s="100">
        <f t="shared" si="3"/>
        <v>464</v>
      </c>
      <c r="Q25" s="70">
        <f t="shared" si="2"/>
        <v>123</v>
      </c>
      <c r="R25" s="77" t="s">
        <v>313</v>
      </c>
      <c r="S25" s="78" t="s">
        <v>314</v>
      </c>
      <c r="V25" s="53" t="s">
        <v>249</v>
      </c>
      <c r="W25" s="26">
        <v>101224</v>
      </c>
      <c r="X25">
        <v>80</v>
      </c>
    </row>
    <row r="26" spans="1:24" ht="66">
      <c r="A26" s="66" t="str">
        <f t="shared" si="0"/>
        <v>鑄造材料：{1}個戒指的碎塊
{2}個鑄造銅
{3}個鑄造石
工匠費用：{0}銀幣鑄造裝備</v>
      </c>
      <c r="B26" s="67" t="s">
        <v>273</v>
      </c>
      <c r="C26" s="67">
        <v>10000</v>
      </c>
      <c r="D26" s="68" t="s">
        <v>274</v>
      </c>
      <c r="E26" s="68">
        <v>101225</v>
      </c>
      <c r="F26" s="68" t="s">
        <v>275</v>
      </c>
      <c r="G26" s="68" t="s">
        <v>274</v>
      </c>
      <c r="H26" s="69">
        <v>104102</v>
      </c>
      <c r="I26" s="68" t="s">
        <v>276</v>
      </c>
      <c r="J26" s="68" t="s">
        <v>274</v>
      </c>
      <c r="K26" s="68" t="s">
        <v>277</v>
      </c>
      <c r="L26" s="68" t="s">
        <v>278</v>
      </c>
      <c r="M26" s="53" t="s">
        <v>843</v>
      </c>
      <c r="N26" s="100">
        <f t="shared" si="3"/>
        <v>940</v>
      </c>
      <c r="Q26" s="70">
        <f t="shared" si="2"/>
        <v>124</v>
      </c>
      <c r="R26" s="77" t="s">
        <v>315</v>
      </c>
      <c r="S26" s="78" t="s">
        <v>316</v>
      </c>
      <c r="V26" s="53" t="s">
        <v>207</v>
      </c>
      <c r="W26" s="26">
        <v>101225</v>
      </c>
      <c r="X26">
        <v>80</v>
      </c>
    </row>
    <row r="27" spans="1:24" ht="66">
      <c r="A27" s="66" t="str">
        <f t="shared" si="0"/>
        <v>鑄造材料：{1}個混亂之語
{2}個鑄造銅
{3}個鑄造石
工匠費用：{0}銀幣鑄造裝備</v>
      </c>
      <c r="B27" s="67" t="s">
        <v>273</v>
      </c>
      <c r="C27" s="67">
        <v>30000</v>
      </c>
      <c r="D27" s="68" t="s">
        <v>274</v>
      </c>
      <c r="E27" s="68">
        <v>101226</v>
      </c>
      <c r="F27" s="68" t="s">
        <v>275</v>
      </c>
      <c r="G27" s="68" t="s">
        <v>274</v>
      </c>
      <c r="H27" s="69">
        <v>104102</v>
      </c>
      <c r="I27" s="68" t="s">
        <v>276</v>
      </c>
      <c r="J27" s="68" t="s">
        <v>274</v>
      </c>
      <c r="K27" s="68" t="s">
        <v>277</v>
      </c>
      <c r="L27" s="68" t="s">
        <v>278</v>
      </c>
      <c r="M27" s="53" t="s">
        <v>844</v>
      </c>
      <c r="N27" s="100">
        <f t="shared" si="3"/>
        <v>940</v>
      </c>
      <c r="Q27" s="70">
        <f t="shared" si="2"/>
        <v>125</v>
      </c>
      <c r="R27" s="77" t="s">
        <v>317</v>
      </c>
      <c r="S27" s="78" t="s">
        <v>318</v>
      </c>
      <c r="V27" s="53" t="s">
        <v>239</v>
      </c>
      <c r="W27" s="26">
        <v>101226</v>
      </c>
      <c r="X27">
        <v>80</v>
      </c>
    </row>
    <row r="28" spans="1:24" ht="66">
      <c r="A28" s="66" t="str">
        <f t="shared" si="0"/>
        <v>鑄造材料：{1}個黑精靈的布塊
{2}個鑄造銅
{3}個鑄造石
工匠費用：{0}銀幣鑄造裝備</v>
      </c>
      <c r="B28" s="67" t="s">
        <v>273</v>
      </c>
      <c r="C28" s="67">
        <v>30000</v>
      </c>
      <c r="D28" s="68" t="s">
        <v>274</v>
      </c>
      <c r="E28" s="68">
        <v>101227</v>
      </c>
      <c r="F28" s="68" t="s">
        <v>275</v>
      </c>
      <c r="G28" s="68" t="s">
        <v>274</v>
      </c>
      <c r="H28" s="69">
        <v>104102</v>
      </c>
      <c r="I28" s="68" t="s">
        <v>276</v>
      </c>
      <c r="J28" s="68" t="s">
        <v>274</v>
      </c>
      <c r="K28" s="68" t="s">
        <v>277</v>
      </c>
      <c r="L28" s="68" t="s">
        <v>278</v>
      </c>
      <c r="M28" s="53" t="s">
        <v>845</v>
      </c>
      <c r="N28" s="100">
        <f t="shared" si="3"/>
        <v>940</v>
      </c>
      <c r="Q28" s="70">
        <f t="shared" si="2"/>
        <v>126</v>
      </c>
      <c r="R28" s="77" t="s">
        <v>319</v>
      </c>
      <c r="S28" s="78" t="s">
        <v>320</v>
      </c>
      <c r="V28" s="53" t="s">
        <v>250</v>
      </c>
      <c r="W28" s="26">
        <v>101227</v>
      </c>
      <c r="X28">
        <v>80</v>
      </c>
    </row>
    <row r="29" spans="1:24" ht="66">
      <c r="A29" s="66" t="str">
        <f t="shared" si="0"/>
        <v>鑄造材料：{1}個神駒之血
{2}個鑄造銅
{3}個鑄造石
工匠費用：{0}銀幣鑄造裝備</v>
      </c>
      <c r="B29" s="67" t="s">
        <v>273</v>
      </c>
      <c r="C29" s="67">
        <v>30000</v>
      </c>
      <c r="D29" s="68" t="s">
        <v>274</v>
      </c>
      <c r="E29" s="68">
        <v>101228</v>
      </c>
      <c r="F29" s="68" t="s">
        <v>275</v>
      </c>
      <c r="G29" s="68" t="s">
        <v>274</v>
      </c>
      <c r="H29" s="69">
        <v>104102</v>
      </c>
      <c r="I29" s="68" t="s">
        <v>276</v>
      </c>
      <c r="J29" s="68" t="s">
        <v>274</v>
      </c>
      <c r="K29" s="68" t="s">
        <v>277</v>
      </c>
      <c r="L29" s="68" t="s">
        <v>278</v>
      </c>
      <c r="M29" s="53" t="s">
        <v>846</v>
      </c>
      <c r="N29" s="100">
        <f t="shared" si="3"/>
        <v>940</v>
      </c>
      <c r="Q29" s="70">
        <f t="shared" si="2"/>
        <v>127</v>
      </c>
      <c r="R29" s="77" t="s">
        <v>321</v>
      </c>
      <c r="S29" s="78" t="s">
        <v>322</v>
      </c>
      <c r="V29" s="53" t="s">
        <v>236</v>
      </c>
      <c r="W29" s="26">
        <v>101228</v>
      </c>
      <c r="X29">
        <v>80</v>
      </c>
    </row>
    <row r="30" spans="1:24" ht="66">
      <c r="A30" s="66" t="str">
        <f t="shared" si="0"/>
        <v>鑄造材料：{1}個巨斧碎塊
{2}個鑄造銅
{3}個鑄造石
工匠費用：{0}銀幣鑄造裝備</v>
      </c>
      <c r="B30" s="67" t="s">
        <v>273</v>
      </c>
      <c r="C30" s="67">
        <v>30000</v>
      </c>
      <c r="D30" s="68" t="s">
        <v>274</v>
      </c>
      <c r="E30" s="68" t="s">
        <v>323</v>
      </c>
      <c r="F30" s="68" t="s">
        <v>275</v>
      </c>
      <c r="G30" s="68" t="s">
        <v>274</v>
      </c>
      <c r="H30" s="69">
        <v>104102</v>
      </c>
      <c r="I30" s="68" t="s">
        <v>276</v>
      </c>
      <c r="J30" s="68" t="s">
        <v>274</v>
      </c>
      <c r="K30" s="68" t="s">
        <v>277</v>
      </c>
      <c r="L30" s="68" t="s">
        <v>278</v>
      </c>
      <c r="M30" s="53" t="s">
        <v>847</v>
      </c>
      <c r="N30" s="100">
        <f t="shared" si="3"/>
        <v>940</v>
      </c>
      <c r="Q30" s="70">
        <f t="shared" si="2"/>
        <v>128</v>
      </c>
      <c r="R30" s="77" t="s">
        <v>324</v>
      </c>
      <c r="S30" s="78" t="s">
        <v>325</v>
      </c>
      <c r="V30" s="53" t="s">
        <v>237</v>
      </c>
      <c r="W30" s="26">
        <v>101229</v>
      </c>
      <c r="X30">
        <v>80</v>
      </c>
    </row>
    <row r="31" spans="1:24" ht="66">
      <c r="A31" s="66" t="str">
        <f t="shared" si="0"/>
        <v>鑄造材料：{1}個鍛造的殘塊
{2}個鑄造銅
{3}個鑄造石
工匠費用：{0}銀幣鑄造裝備</v>
      </c>
      <c r="B31" s="67" t="s">
        <v>273</v>
      </c>
      <c r="C31" s="67">
        <v>30000</v>
      </c>
      <c r="D31" s="68" t="s">
        <v>274</v>
      </c>
      <c r="E31" s="68">
        <v>101230</v>
      </c>
      <c r="F31" s="68" t="s">
        <v>818</v>
      </c>
      <c r="G31" s="68" t="s">
        <v>274</v>
      </c>
      <c r="H31" s="69">
        <v>104102</v>
      </c>
      <c r="I31" s="68" t="s">
        <v>819</v>
      </c>
      <c r="J31" s="68" t="s">
        <v>274</v>
      </c>
      <c r="K31" s="68" t="s">
        <v>277</v>
      </c>
      <c r="L31" s="68" t="s">
        <v>855</v>
      </c>
      <c r="M31" s="52" t="s">
        <v>848</v>
      </c>
      <c r="N31" s="100">
        <f t="shared" si="3"/>
        <v>564</v>
      </c>
      <c r="Q31" s="70">
        <f t="shared" si="2"/>
        <v>129</v>
      </c>
      <c r="R31" s="77" t="s">
        <v>326</v>
      </c>
      <c r="S31" s="78" t="s">
        <v>327</v>
      </c>
      <c r="V31" s="52" t="s">
        <v>253</v>
      </c>
      <c r="W31" s="26">
        <v>101230</v>
      </c>
      <c r="X31">
        <v>100</v>
      </c>
    </row>
    <row r="32" spans="1:24" ht="66">
      <c r="A32" s="66" t="str">
        <f t="shared" si="0"/>
        <v>鑄造材料：{1}個賢者之血
{2}個鑄造銅
{3}個鑄造石
工匠費用：{0}銀幣鑄造裝備</v>
      </c>
      <c r="B32" s="67" t="s">
        <v>273</v>
      </c>
      <c r="C32" s="67">
        <v>10000</v>
      </c>
      <c r="D32" s="68" t="s">
        <v>274</v>
      </c>
      <c r="E32" s="68">
        <v>101231</v>
      </c>
      <c r="F32" s="68" t="s">
        <v>275</v>
      </c>
      <c r="G32" s="68" t="s">
        <v>274</v>
      </c>
      <c r="H32" s="69">
        <v>104102</v>
      </c>
      <c r="I32" s="68" t="s">
        <v>276</v>
      </c>
      <c r="J32" s="68" t="s">
        <v>274</v>
      </c>
      <c r="K32" s="68" t="s">
        <v>277</v>
      </c>
      <c r="L32" s="68" t="s">
        <v>278</v>
      </c>
      <c r="M32" s="52" t="s">
        <v>849</v>
      </c>
      <c r="N32" s="100">
        <f t="shared" si="3"/>
        <v>1140</v>
      </c>
      <c r="Q32" s="70">
        <f t="shared" si="2"/>
        <v>130</v>
      </c>
      <c r="R32" s="77" t="s">
        <v>328</v>
      </c>
      <c r="S32" s="78" t="s">
        <v>329</v>
      </c>
      <c r="V32" s="52" t="s">
        <v>211</v>
      </c>
      <c r="W32" s="26">
        <v>101231</v>
      </c>
      <c r="X32">
        <v>100</v>
      </c>
    </row>
    <row r="33" spans="1:24" ht="66">
      <c r="A33" s="66" t="str">
        <f t="shared" si="0"/>
        <v>鑄造材料：{1}個毒龍麟
{2}個鑄造銅
{3}個鑄造石
工匠費用：{0}銀幣鑄造裝備</v>
      </c>
      <c r="B33" s="67" t="s">
        <v>273</v>
      </c>
      <c r="C33" s="67">
        <v>30000</v>
      </c>
      <c r="D33" s="68" t="s">
        <v>274</v>
      </c>
      <c r="E33" s="68">
        <v>101232</v>
      </c>
      <c r="F33" s="68" t="s">
        <v>275</v>
      </c>
      <c r="G33" s="68" t="s">
        <v>274</v>
      </c>
      <c r="H33" s="69">
        <v>104102</v>
      </c>
      <c r="I33" s="68" t="s">
        <v>276</v>
      </c>
      <c r="J33" s="68" t="s">
        <v>274</v>
      </c>
      <c r="K33" s="68" t="s">
        <v>277</v>
      </c>
      <c r="L33" s="68" t="s">
        <v>278</v>
      </c>
      <c r="M33" s="52" t="s">
        <v>850</v>
      </c>
      <c r="N33" s="100">
        <f t="shared" si="3"/>
        <v>1140</v>
      </c>
      <c r="Q33" s="70">
        <f t="shared" si="2"/>
        <v>131</v>
      </c>
      <c r="R33" s="77" t="s">
        <v>330</v>
      </c>
      <c r="S33" s="78" t="s">
        <v>331</v>
      </c>
      <c r="V33" s="52" t="s">
        <v>252</v>
      </c>
      <c r="W33" s="26">
        <v>101232</v>
      </c>
      <c r="X33">
        <v>100</v>
      </c>
    </row>
    <row r="34" spans="1:24" ht="66">
      <c r="A34" s="66" t="str">
        <f t="shared" si="0"/>
        <v>鑄造材料：{1}個巨狼之骨
{2}個鑄造銅
{3}個鑄造石
工匠費用：{0}銀幣鑄造裝備</v>
      </c>
      <c r="B34" s="67" t="s">
        <v>273</v>
      </c>
      <c r="C34" s="67">
        <v>30000</v>
      </c>
      <c r="D34" s="68" t="s">
        <v>274</v>
      </c>
      <c r="E34" s="68">
        <v>101233</v>
      </c>
      <c r="F34" s="68" t="s">
        <v>275</v>
      </c>
      <c r="G34" s="68" t="s">
        <v>274</v>
      </c>
      <c r="H34" s="69">
        <v>104102</v>
      </c>
      <c r="I34" s="68" t="s">
        <v>276</v>
      </c>
      <c r="J34" s="68" t="s">
        <v>274</v>
      </c>
      <c r="K34" s="68" t="s">
        <v>277</v>
      </c>
      <c r="L34" s="68" t="s">
        <v>278</v>
      </c>
      <c r="M34" s="52" t="s">
        <v>851</v>
      </c>
      <c r="N34" s="100">
        <f t="shared" si="3"/>
        <v>1140</v>
      </c>
      <c r="Q34" s="70">
        <f t="shared" si="2"/>
        <v>0</v>
      </c>
      <c r="R34" s="71"/>
      <c r="S34" s="72"/>
      <c r="V34" s="52" t="s">
        <v>242</v>
      </c>
      <c r="W34" s="26">
        <v>101233</v>
      </c>
      <c r="X34">
        <v>100</v>
      </c>
    </row>
    <row r="35" spans="1:24" ht="66">
      <c r="A35" s="66" t="str">
        <f t="shared" si="0"/>
        <v>鑄造材料：{1}個巨毒蛇之牙
{2}個鑄造銅
{3}個鑄造石
工匠費用：{0}銀幣鑄造裝備</v>
      </c>
      <c r="B35" s="67" t="s">
        <v>273</v>
      </c>
      <c r="C35" s="67">
        <v>30000</v>
      </c>
      <c r="D35" s="68" t="s">
        <v>274</v>
      </c>
      <c r="E35" s="68">
        <v>101234</v>
      </c>
      <c r="F35" s="68" t="s">
        <v>275</v>
      </c>
      <c r="G35" s="68" t="s">
        <v>274</v>
      </c>
      <c r="H35" s="69">
        <v>104102</v>
      </c>
      <c r="I35" s="68" t="s">
        <v>276</v>
      </c>
      <c r="J35" s="68" t="s">
        <v>274</v>
      </c>
      <c r="K35" s="68" t="s">
        <v>277</v>
      </c>
      <c r="L35" s="68" t="s">
        <v>278</v>
      </c>
      <c r="M35" s="52" t="s">
        <v>852</v>
      </c>
      <c r="N35" s="100">
        <f t="shared" si="3"/>
        <v>1140</v>
      </c>
      <c r="Q35" s="70">
        <f t="shared" si="2"/>
        <v>301</v>
      </c>
      <c r="R35" s="73">
        <v>301</v>
      </c>
      <c r="S35" s="74" t="s">
        <v>332</v>
      </c>
      <c r="V35" s="52" t="s">
        <v>241</v>
      </c>
      <c r="W35" s="26">
        <v>101234</v>
      </c>
      <c r="X35">
        <v>100</v>
      </c>
    </row>
    <row r="36" spans="1:24" ht="66">
      <c r="A36" s="66" t="str">
        <f t="shared" si="0"/>
        <v>鑄造材料：{1}個噬神魔狼之牙
{2}個鑄造銅
{3}個鑄造石
工匠費用：{0}銀幣鑄造裝備</v>
      </c>
      <c r="B36" s="67" t="s">
        <v>273</v>
      </c>
      <c r="C36" s="67">
        <v>10000</v>
      </c>
      <c r="D36" s="68" t="s">
        <v>274</v>
      </c>
      <c r="E36" s="68">
        <v>101235</v>
      </c>
      <c r="F36" s="68" t="s">
        <v>275</v>
      </c>
      <c r="G36" s="68" t="s">
        <v>274</v>
      </c>
      <c r="H36" s="69">
        <v>104102</v>
      </c>
      <c r="I36" s="68" t="s">
        <v>276</v>
      </c>
      <c r="J36" s="68" t="s">
        <v>274</v>
      </c>
      <c r="K36" s="68" t="s">
        <v>277</v>
      </c>
      <c r="L36" s="68" t="s">
        <v>278</v>
      </c>
      <c r="M36" s="52" t="s">
        <v>853</v>
      </c>
      <c r="N36" s="100">
        <f t="shared" si="3"/>
        <v>1140</v>
      </c>
      <c r="Q36" s="70">
        <f t="shared" si="2"/>
        <v>302</v>
      </c>
      <c r="R36" s="73">
        <v>302</v>
      </c>
      <c r="S36" s="74" t="s">
        <v>333</v>
      </c>
      <c r="V36" s="52" t="s">
        <v>240</v>
      </c>
      <c r="W36" s="26">
        <v>101235</v>
      </c>
      <c r="X36">
        <v>100</v>
      </c>
    </row>
    <row r="37" spans="1:24">
      <c r="A37" s="66" t="str">
        <f t="shared" si="0"/>
        <v/>
      </c>
      <c r="N37" s="100" t="e">
        <f t="shared" si="3"/>
        <v>#N/A</v>
      </c>
      <c r="Q37" s="70">
        <f t="shared" si="2"/>
        <v>303</v>
      </c>
      <c r="R37" s="73">
        <v>303</v>
      </c>
      <c r="S37" s="74" t="s">
        <v>334</v>
      </c>
      <c r="V37" s="57" t="s">
        <v>214</v>
      </c>
      <c r="W37" s="58">
        <v>104101</v>
      </c>
      <c r="X37">
        <v>4</v>
      </c>
    </row>
    <row r="38" spans="1:24">
      <c r="A38" s="66" t="str">
        <f t="shared" si="0"/>
        <v/>
      </c>
      <c r="N38" s="100" t="e">
        <f t="shared" si="3"/>
        <v>#N/A</v>
      </c>
      <c r="Q38" s="70">
        <f t="shared" si="2"/>
        <v>304</v>
      </c>
      <c r="R38" s="73">
        <v>304</v>
      </c>
      <c r="S38" s="74" t="s">
        <v>335</v>
      </c>
      <c r="V38" s="57" t="s">
        <v>215</v>
      </c>
      <c r="W38" s="58">
        <v>104102</v>
      </c>
      <c r="X38">
        <v>8</v>
      </c>
    </row>
    <row r="39" spans="1:24" ht="49.5">
      <c r="A39" s="66" t="str">
        <f t="shared" si="0"/>
        <v>鑄造材料：{1}個鑄造銅
{2}個鑄造石
工匠費用：{0}銀幣鑄造裝備</v>
      </c>
      <c r="B39" s="67" t="s">
        <v>273</v>
      </c>
      <c r="C39" s="67" t="s">
        <v>336</v>
      </c>
      <c r="D39" s="68" t="s">
        <v>274</v>
      </c>
      <c r="E39" s="69">
        <v>104102</v>
      </c>
      <c r="F39" s="68" t="s">
        <v>819</v>
      </c>
      <c r="G39" s="68" t="s">
        <v>274</v>
      </c>
      <c r="H39" s="68" t="s">
        <v>277</v>
      </c>
      <c r="I39" s="68" t="s">
        <v>855</v>
      </c>
      <c r="J39" s="68"/>
      <c r="K39" s="68"/>
      <c r="L39" s="68"/>
      <c r="M39" s="80" t="s">
        <v>337</v>
      </c>
      <c r="N39" s="100">
        <f>VLOOKUP(VALUE(E39),W:X,2,FALSE)*F39+VLOOKUP(VALUE(H39),W:X,2,FALSE)*I39</f>
        <v>64</v>
      </c>
      <c r="Q39" s="70">
        <f t="shared" si="2"/>
        <v>0</v>
      </c>
      <c r="R39" s="71"/>
      <c r="S39" s="72"/>
    </row>
    <row r="40" spans="1:24" ht="49.5">
      <c r="A40" s="66" t="str">
        <f t="shared" si="0"/>
        <v>鑄造材料：{1}個鑄造銅
{2}個鑄造石
工匠費用：{0}銀幣鑄造裝備</v>
      </c>
      <c r="B40" s="67" t="s">
        <v>273</v>
      </c>
      <c r="C40" s="67" t="s">
        <v>336</v>
      </c>
      <c r="D40" s="68" t="s">
        <v>274</v>
      </c>
      <c r="E40" s="69">
        <v>104102</v>
      </c>
      <c r="F40" s="68" t="s">
        <v>819</v>
      </c>
      <c r="G40" s="68" t="s">
        <v>274</v>
      </c>
      <c r="H40" s="68" t="s">
        <v>277</v>
      </c>
      <c r="I40" s="68" t="s">
        <v>855</v>
      </c>
      <c r="J40" s="68"/>
      <c r="K40" s="68"/>
      <c r="L40" s="68"/>
      <c r="M40" s="81" t="s">
        <v>338</v>
      </c>
      <c r="N40" s="100">
        <f t="shared" ref="N40:N103" si="4">VLOOKUP(VALUE(E40),W:X,2,FALSE)*F40+VLOOKUP(VALUE(H40),W:X,2,FALSE)*I40</f>
        <v>64</v>
      </c>
      <c r="Q40" s="70">
        <f t="shared" si="2"/>
        <v>501</v>
      </c>
      <c r="R40" s="82">
        <v>501</v>
      </c>
      <c r="S40" s="83" t="s">
        <v>339</v>
      </c>
    </row>
    <row r="41" spans="1:24" ht="49.5">
      <c r="A41" s="66" t="str">
        <f t="shared" si="0"/>
        <v>鑄造材料：{1}個鑄造銅
{2}個鑄造石
工匠費用：{0}銀幣鑄造裝備</v>
      </c>
      <c r="B41" s="67" t="s">
        <v>273</v>
      </c>
      <c r="C41" s="67" t="s">
        <v>336</v>
      </c>
      <c r="D41" s="68" t="s">
        <v>274</v>
      </c>
      <c r="E41" s="69">
        <v>104102</v>
      </c>
      <c r="F41" s="68" t="s">
        <v>819</v>
      </c>
      <c r="G41" s="68" t="s">
        <v>274</v>
      </c>
      <c r="H41" s="68" t="s">
        <v>277</v>
      </c>
      <c r="I41" s="68" t="s">
        <v>855</v>
      </c>
      <c r="J41" s="68"/>
      <c r="K41" s="68"/>
      <c r="L41" s="68"/>
      <c r="M41" s="80" t="s">
        <v>340</v>
      </c>
      <c r="N41" s="100">
        <f t="shared" si="4"/>
        <v>64</v>
      </c>
      <c r="Q41" s="70">
        <f t="shared" si="2"/>
        <v>502</v>
      </c>
      <c r="R41" s="82">
        <v>502</v>
      </c>
      <c r="S41" s="83" t="s">
        <v>341</v>
      </c>
    </row>
    <row r="42" spans="1:24" ht="49.5">
      <c r="A42" s="66" t="str">
        <f t="shared" si="0"/>
        <v>鑄造材料：{1}個鑄造銅
{2}個鑄造石
工匠費用：{0}銀幣鑄造裝備</v>
      </c>
      <c r="B42" s="67" t="s">
        <v>273</v>
      </c>
      <c r="C42" s="67" t="s">
        <v>336</v>
      </c>
      <c r="D42" s="68" t="s">
        <v>274</v>
      </c>
      <c r="E42" s="69">
        <v>104102</v>
      </c>
      <c r="F42" s="68" t="s">
        <v>819</v>
      </c>
      <c r="G42" s="68" t="s">
        <v>274</v>
      </c>
      <c r="H42" s="68" t="s">
        <v>277</v>
      </c>
      <c r="I42" s="68" t="s">
        <v>855</v>
      </c>
      <c r="J42" s="68"/>
      <c r="K42" s="68"/>
      <c r="L42" s="68"/>
      <c r="M42" s="81" t="s">
        <v>342</v>
      </c>
      <c r="N42" s="100">
        <f t="shared" si="4"/>
        <v>64</v>
      </c>
      <c r="Q42" s="70">
        <f t="shared" si="2"/>
        <v>503</v>
      </c>
      <c r="R42" s="82">
        <v>503</v>
      </c>
      <c r="S42" s="83" t="s">
        <v>343</v>
      </c>
    </row>
    <row r="43" spans="1:24" ht="49.5">
      <c r="A43" s="66" t="str">
        <f t="shared" si="0"/>
        <v>鑄造材料：{1}個鑄造銅
{2}個鑄造石
工匠費用：{0}銀幣鑄造裝備</v>
      </c>
      <c r="B43" s="67" t="s">
        <v>273</v>
      </c>
      <c r="C43" s="67" t="s">
        <v>336</v>
      </c>
      <c r="D43" s="68" t="s">
        <v>274</v>
      </c>
      <c r="E43" s="69">
        <v>104102</v>
      </c>
      <c r="F43" s="68" t="s">
        <v>819</v>
      </c>
      <c r="G43" s="68" t="s">
        <v>274</v>
      </c>
      <c r="H43" s="68" t="s">
        <v>277</v>
      </c>
      <c r="I43" s="68" t="s">
        <v>855</v>
      </c>
      <c r="J43" s="68"/>
      <c r="K43" s="68"/>
      <c r="L43" s="68"/>
      <c r="M43" s="81" t="s">
        <v>344</v>
      </c>
      <c r="N43" s="100">
        <f t="shared" si="4"/>
        <v>64</v>
      </c>
      <c r="Q43" s="70">
        <f t="shared" si="2"/>
        <v>504</v>
      </c>
      <c r="R43" s="82">
        <v>504</v>
      </c>
      <c r="S43" s="83" t="s">
        <v>345</v>
      </c>
    </row>
    <row r="44" spans="1:24" ht="49.5">
      <c r="A44" s="66" t="str">
        <f t="shared" si="0"/>
        <v>鑄造材料：{1}個鑄造銅
{2}個鑄造石
工匠費用：{0}銀幣鑄造裝備</v>
      </c>
      <c r="B44" s="67" t="s">
        <v>273</v>
      </c>
      <c r="C44" s="67" t="s">
        <v>336</v>
      </c>
      <c r="D44" s="68" t="s">
        <v>274</v>
      </c>
      <c r="E44" s="69">
        <v>104102</v>
      </c>
      <c r="F44" s="68" t="s">
        <v>819</v>
      </c>
      <c r="G44" s="68" t="s">
        <v>274</v>
      </c>
      <c r="H44" s="68" t="s">
        <v>277</v>
      </c>
      <c r="I44" s="68" t="s">
        <v>855</v>
      </c>
      <c r="J44" s="68"/>
      <c r="K44" s="68"/>
      <c r="L44" s="68"/>
      <c r="M44" s="80" t="s">
        <v>346</v>
      </c>
      <c r="N44" s="100">
        <f t="shared" si="4"/>
        <v>64</v>
      </c>
      <c r="Q44" s="70">
        <f t="shared" si="2"/>
        <v>505</v>
      </c>
      <c r="R44" s="82">
        <v>505</v>
      </c>
      <c r="S44" s="83" t="s">
        <v>347</v>
      </c>
    </row>
    <row r="45" spans="1:24" ht="49.5">
      <c r="A45" s="66" t="str">
        <f t="shared" si="0"/>
        <v>鑄造材料：{1}個鑄造銅
{2}個鑄造石
工匠費用：{0}銀幣鑄造裝備</v>
      </c>
      <c r="B45" s="67" t="s">
        <v>273</v>
      </c>
      <c r="C45" s="67" t="s">
        <v>336</v>
      </c>
      <c r="D45" s="68" t="s">
        <v>274</v>
      </c>
      <c r="E45" s="69">
        <v>104102</v>
      </c>
      <c r="F45" s="68" t="s">
        <v>819</v>
      </c>
      <c r="G45" s="68" t="s">
        <v>274</v>
      </c>
      <c r="H45" s="68" t="s">
        <v>277</v>
      </c>
      <c r="I45" s="68" t="s">
        <v>855</v>
      </c>
      <c r="J45" s="68"/>
      <c r="K45" s="68"/>
      <c r="L45" s="68"/>
      <c r="M45" s="80" t="s">
        <v>348</v>
      </c>
      <c r="N45" s="100">
        <f t="shared" si="4"/>
        <v>64</v>
      </c>
      <c r="Q45" s="70">
        <f t="shared" si="2"/>
        <v>506</v>
      </c>
      <c r="R45" s="82">
        <v>506</v>
      </c>
      <c r="S45" s="83" t="s">
        <v>349</v>
      </c>
    </row>
    <row r="46" spans="1:24" ht="49.5">
      <c r="A46" s="66" t="str">
        <f t="shared" si="0"/>
        <v>鑄造材料：{1}個鑄造銅
{2}個鑄造石
工匠費用：{0}銀幣鑄造裝備</v>
      </c>
      <c r="B46" s="67" t="s">
        <v>273</v>
      </c>
      <c r="C46" s="67" t="s">
        <v>336</v>
      </c>
      <c r="D46" s="68" t="s">
        <v>274</v>
      </c>
      <c r="E46" s="69">
        <v>104102</v>
      </c>
      <c r="F46" s="68" t="s">
        <v>819</v>
      </c>
      <c r="G46" s="68" t="s">
        <v>274</v>
      </c>
      <c r="H46" s="68" t="s">
        <v>277</v>
      </c>
      <c r="I46" s="68" t="s">
        <v>855</v>
      </c>
      <c r="J46" s="68"/>
      <c r="K46" s="68"/>
      <c r="L46" s="68"/>
      <c r="M46" s="84" t="s">
        <v>350</v>
      </c>
      <c r="N46" s="100">
        <f t="shared" si="4"/>
        <v>64</v>
      </c>
      <c r="Q46" s="70">
        <f t="shared" si="2"/>
        <v>507</v>
      </c>
      <c r="R46" s="82">
        <v>507</v>
      </c>
      <c r="S46" s="83" t="s">
        <v>351</v>
      </c>
    </row>
    <row r="47" spans="1:24" ht="49.5">
      <c r="A47" s="66" t="str">
        <f t="shared" si="0"/>
        <v>鑄造材料：{1}個鑄造銅
{2}個鑄造石
工匠費用：{0}銀幣鑄造裝備</v>
      </c>
      <c r="B47" s="67" t="s">
        <v>273</v>
      </c>
      <c r="C47" s="67" t="s">
        <v>352</v>
      </c>
      <c r="D47" s="68" t="s">
        <v>274</v>
      </c>
      <c r="E47" s="69">
        <v>104102</v>
      </c>
      <c r="F47" s="68" t="s">
        <v>819</v>
      </c>
      <c r="G47" s="68" t="s">
        <v>274</v>
      </c>
      <c r="H47" s="68" t="s">
        <v>277</v>
      </c>
      <c r="I47" s="68" t="s">
        <v>855</v>
      </c>
      <c r="J47" s="68"/>
      <c r="K47" s="68"/>
      <c r="L47" s="68"/>
      <c r="M47" s="85" t="s">
        <v>353</v>
      </c>
      <c r="N47" s="100">
        <f t="shared" si="4"/>
        <v>64</v>
      </c>
      <c r="Q47" s="70">
        <f t="shared" si="2"/>
        <v>508</v>
      </c>
      <c r="R47" s="82">
        <v>508</v>
      </c>
      <c r="S47" s="83" t="s">
        <v>354</v>
      </c>
    </row>
    <row r="48" spans="1:24" ht="49.5">
      <c r="A48" s="66" t="str">
        <f t="shared" si="0"/>
        <v>鑄造材料：{1}個鑄造銅
{2}個鑄造石
工匠費用：{0}銀幣鑄造裝備</v>
      </c>
      <c r="B48" s="67" t="s">
        <v>273</v>
      </c>
      <c r="C48" s="67" t="s">
        <v>336</v>
      </c>
      <c r="D48" s="68" t="s">
        <v>274</v>
      </c>
      <c r="E48" s="69">
        <v>104102</v>
      </c>
      <c r="F48" s="68" t="s">
        <v>819</v>
      </c>
      <c r="G48" s="68" t="s">
        <v>274</v>
      </c>
      <c r="H48" s="68" t="s">
        <v>277</v>
      </c>
      <c r="I48" s="68" t="s">
        <v>855</v>
      </c>
      <c r="J48" s="68"/>
      <c r="K48" s="68"/>
      <c r="L48" s="68"/>
      <c r="M48" s="84" t="s">
        <v>355</v>
      </c>
      <c r="N48" s="100">
        <f t="shared" si="4"/>
        <v>64</v>
      </c>
      <c r="Q48" s="70">
        <f t="shared" si="2"/>
        <v>509</v>
      </c>
      <c r="R48" s="82">
        <v>509</v>
      </c>
      <c r="S48" s="83" t="s">
        <v>356</v>
      </c>
    </row>
    <row r="49" spans="1:19" ht="49.5">
      <c r="A49" s="66" t="str">
        <f t="shared" si="0"/>
        <v>鑄造材料：{1}個鑄造銅
{2}個鑄造石
工匠費用：{0}銀幣鑄造裝備</v>
      </c>
      <c r="B49" s="67" t="s">
        <v>273</v>
      </c>
      <c r="C49" s="67" t="s">
        <v>336</v>
      </c>
      <c r="D49" s="68" t="s">
        <v>274</v>
      </c>
      <c r="E49" s="69">
        <v>104102</v>
      </c>
      <c r="F49" s="68" t="s">
        <v>819</v>
      </c>
      <c r="G49" s="68" t="s">
        <v>274</v>
      </c>
      <c r="H49" s="68" t="s">
        <v>277</v>
      </c>
      <c r="I49" s="68" t="s">
        <v>855</v>
      </c>
      <c r="J49" s="68"/>
      <c r="K49" s="68"/>
      <c r="L49" s="68"/>
      <c r="M49" s="84" t="s">
        <v>357</v>
      </c>
      <c r="N49" s="100">
        <f t="shared" si="4"/>
        <v>64</v>
      </c>
      <c r="Q49" s="70">
        <f t="shared" si="2"/>
        <v>510</v>
      </c>
      <c r="R49" s="82">
        <v>510</v>
      </c>
      <c r="S49" s="83" t="s">
        <v>358</v>
      </c>
    </row>
    <row r="50" spans="1:19" ht="49.5">
      <c r="A50" s="66" t="str">
        <f t="shared" si="0"/>
        <v>鑄造材料：{1}個鑄造銅
{2}個鑄造石
工匠費用：{0}銀幣鑄造裝備</v>
      </c>
      <c r="B50" s="67" t="s">
        <v>273</v>
      </c>
      <c r="C50" s="67" t="s">
        <v>352</v>
      </c>
      <c r="D50" s="68" t="s">
        <v>274</v>
      </c>
      <c r="E50" s="69">
        <v>104102</v>
      </c>
      <c r="F50" s="68" t="s">
        <v>819</v>
      </c>
      <c r="G50" s="68" t="s">
        <v>274</v>
      </c>
      <c r="H50" s="68" t="s">
        <v>277</v>
      </c>
      <c r="I50" s="68" t="s">
        <v>855</v>
      </c>
      <c r="J50" s="68"/>
      <c r="K50" s="68"/>
      <c r="L50" s="68"/>
      <c r="M50" s="85" t="s">
        <v>359</v>
      </c>
      <c r="N50" s="100">
        <f t="shared" si="4"/>
        <v>64</v>
      </c>
      <c r="Q50" s="70">
        <f t="shared" si="2"/>
        <v>511</v>
      </c>
      <c r="R50" s="82">
        <v>511</v>
      </c>
      <c r="S50" s="83" t="s">
        <v>360</v>
      </c>
    </row>
    <row r="51" spans="1:19" ht="49.5">
      <c r="A51" s="66" t="str">
        <f t="shared" si="0"/>
        <v>鑄造材料：{1}個鑄造銅
{2}個鑄造石
工匠費用：{0}銀幣鑄造裝備</v>
      </c>
      <c r="B51" s="67" t="s">
        <v>273</v>
      </c>
      <c r="C51" s="67" t="s">
        <v>352</v>
      </c>
      <c r="D51" s="68" t="s">
        <v>274</v>
      </c>
      <c r="E51" s="69">
        <v>104102</v>
      </c>
      <c r="F51" s="68" t="s">
        <v>819</v>
      </c>
      <c r="G51" s="68" t="s">
        <v>274</v>
      </c>
      <c r="H51" s="68" t="s">
        <v>277</v>
      </c>
      <c r="I51" s="68" t="s">
        <v>855</v>
      </c>
      <c r="J51" s="68"/>
      <c r="K51" s="68"/>
      <c r="L51" s="68"/>
      <c r="M51" s="85" t="s">
        <v>361</v>
      </c>
      <c r="N51" s="100">
        <f t="shared" si="4"/>
        <v>64</v>
      </c>
      <c r="Q51" s="70">
        <f t="shared" si="2"/>
        <v>512</v>
      </c>
      <c r="R51" s="82">
        <v>512</v>
      </c>
      <c r="S51" s="83" t="s">
        <v>362</v>
      </c>
    </row>
    <row r="52" spans="1:19" ht="49.5">
      <c r="A52" s="66" t="str">
        <f t="shared" si="0"/>
        <v>鑄造材料：{1}個鑄造銅
{2}個鑄造石
工匠費用：{0}銀幣鑄造裝備</v>
      </c>
      <c r="B52" s="67" t="s">
        <v>273</v>
      </c>
      <c r="C52" s="67" t="s">
        <v>352</v>
      </c>
      <c r="D52" s="68" t="s">
        <v>274</v>
      </c>
      <c r="E52" s="69">
        <v>104102</v>
      </c>
      <c r="F52" s="68" t="s">
        <v>819</v>
      </c>
      <c r="G52" s="68" t="s">
        <v>274</v>
      </c>
      <c r="H52" s="68" t="s">
        <v>277</v>
      </c>
      <c r="I52" s="68" t="s">
        <v>855</v>
      </c>
      <c r="J52" s="68"/>
      <c r="K52" s="68"/>
      <c r="L52" s="68"/>
      <c r="M52" s="85" t="s">
        <v>363</v>
      </c>
      <c r="N52" s="100">
        <f t="shared" si="4"/>
        <v>64</v>
      </c>
      <c r="Q52" s="70">
        <f t="shared" si="2"/>
        <v>513</v>
      </c>
      <c r="R52" s="82">
        <v>513</v>
      </c>
      <c r="S52" s="83" t="s">
        <v>364</v>
      </c>
    </row>
    <row r="53" spans="1:19">
      <c r="A53" s="66" t="str">
        <f t="shared" si="0"/>
        <v/>
      </c>
      <c r="N53" s="100" t="e">
        <f t="shared" si="4"/>
        <v>#N/A</v>
      </c>
      <c r="Q53" s="70">
        <f t="shared" si="2"/>
        <v>0</v>
      </c>
      <c r="R53" s="71"/>
      <c r="S53" s="72"/>
    </row>
    <row r="54" spans="1:19" ht="49.5">
      <c r="A54" s="66" t="str">
        <f t="shared" si="0"/>
        <v>鑄造材料：{1}個鑄造銅
{2}個鑄造石
工匠費用：{0}銀幣鑄造裝備</v>
      </c>
      <c r="B54" s="67" t="s">
        <v>273</v>
      </c>
      <c r="C54" s="67" t="s">
        <v>365</v>
      </c>
      <c r="D54" s="68" t="s">
        <v>274</v>
      </c>
      <c r="E54" s="69">
        <v>104102</v>
      </c>
      <c r="F54" s="68" t="s">
        <v>276</v>
      </c>
      <c r="G54" s="68" t="s">
        <v>274</v>
      </c>
      <c r="H54" s="68" t="s">
        <v>277</v>
      </c>
      <c r="I54" s="68" t="s">
        <v>366</v>
      </c>
      <c r="M54" s="86" t="s">
        <v>367</v>
      </c>
      <c r="N54" s="100">
        <f t="shared" si="4"/>
        <v>100</v>
      </c>
      <c r="Q54" s="70">
        <f t="shared" si="2"/>
        <v>514</v>
      </c>
      <c r="R54" s="82">
        <v>514</v>
      </c>
      <c r="S54" s="83" t="s">
        <v>368</v>
      </c>
    </row>
    <row r="55" spans="1:19" ht="49.5">
      <c r="A55" s="66" t="str">
        <f t="shared" si="0"/>
        <v>鑄造材料：{1}個鑄造銅
{2}個鑄造石
工匠費用：{0}銀幣鑄造裝備</v>
      </c>
      <c r="B55" s="67" t="s">
        <v>273</v>
      </c>
      <c r="C55" s="67" t="s">
        <v>365</v>
      </c>
      <c r="D55" s="68" t="s">
        <v>274</v>
      </c>
      <c r="E55" s="69">
        <v>104102</v>
      </c>
      <c r="F55" s="68" t="s">
        <v>276</v>
      </c>
      <c r="G55" s="68" t="s">
        <v>274</v>
      </c>
      <c r="H55" s="68" t="s">
        <v>277</v>
      </c>
      <c r="I55" s="68" t="s">
        <v>366</v>
      </c>
      <c r="M55" s="86" t="s">
        <v>369</v>
      </c>
      <c r="N55" s="100">
        <f t="shared" si="4"/>
        <v>100</v>
      </c>
      <c r="Q55" s="70">
        <f t="shared" si="2"/>
        <v>515</v>
      </c>
      <c r="R55" s="82">
        <v>515</v>
      </c>
      <c r="S55" s="83" t="s">
        <v>370</v>
      </c>
    </row>
    <row r="56" spans="1:19" ht="49.5">
      <c r="A56" s="66" t="str">
        <f t="shared" si="0"/>
        <v>鑄造材料：{1}個鑄造銅
{2}個鑄造石
工匠費用：{0}銀幣鑄造裝備</v>
      </c>
      <c r="B56" s="67" t="s">
        <v>273</v>
      </c>
      <c r="C56" s="67" t="s">
        <v>365</v>
      </c>
      <c r="D56" s="68" t="s">
        <v>274</v>
      </c>
      <c r="E56" s="69">
        <v>104102</v>
      </c>
      <c r="F56" s="68" t="s">
        <v>276</v>
      </c>
      <c r="G56" s="68" t="s">
        <v>274</v>
      </c>
      <c r="H56" s="68" t="s">
        <v>277</v>
      </c>
      <c r="I56" s="68" t="s">
        <v>366</v>
      </c>
      <c r="M56" s="86" t="s">
        <v>371</v>
      </c>
      <c r="N56" s="100">
        <f t="shared" si="4"/>
        <v>100</v>
      </c>
      <c r="Q56" s="70">
        <f t="shared" si="2"/>
        <v>521</v>
      </c>
      <c r="R56" s="82">
        <v>521</v>
      </c>
      <c r="S56" s="83" t="s">
        <v>372</v>
      </c>
    </row>
    <row r="57" spans="1:19" ht="49.5">
      <c r="A57" s="66" t="str">
        <f t="shared" si="0"/>
        <v>鑄造材料：{1}個鑄造銅
{2}個鑄造石
工匠費用：{0}銀幣鑄造裝備</v>
      </c>
      <c r="B57" s="67" t="s">
        <v>273</v>
      </c>
      <c r="C57" s="67" t="s">
        <v>365</v>
      </c>
      <c r="D57" s="68" t="s">
        <v>274</v>
      </c>
      <c r="E57" s="69">
        <v>104102</v>
      </c>
      <c r="F57" s="68" t="s">
        <v>276</v>
      </c>
      <c r="G57" s="68" t="s">
        <v>274</v>
      </c>
      <c r="H57" s="68" t="s">
        <v>277</v>
      </c>
      <c r="I57" s="68" t="s">
        <v>366</v>
      </c>
      <c r="M57" s="86" t="s">
        <v>373</v>
      </c>
      <c r="N57" s="100">
        <f t="shared" si="4"/>
        <v>100</v>
      </c>
      <c r="Q57" s="70">
        <f t="shared" si="2"/>
        <v>0</v>
      </c>
      <c r="R57" s="71"/>
      <c r="S57" s="72"/>
    </row>
    <row r="58" spans="1:19" ht="49.5">
      <c r="A58" s="66" t="str">
        <f t="shared" si="0"/>
        <v>鑄造材料：{1}個鑄造銅
{2}個鑄造石
工匠費用：{0}銀幣鑄造裝備</v>
      </c>
      <c r="B58" s="67" t="s">
        <v>273</v>
      </c>
      <c r="C58" s="67" t="s">
        <v>365</v>
      </c>
      <c r="D58" s="68" t="s">
        <v>274</v>
      </c>
      <c r="E58" s="69">
        <v>104102</v>
      </c>
      <c r="F58" s="68" t="s">
        <v>276</v>
      </c>
      <c r="G58" s="68" t="s">
        <v>274</v>
      </c>
      <c r="H58" s="68" t="s">
        <v>277</v>
      </c>
      <c r="I58" s="68" t="s">
        <v>366</v>
      </c>
      <c r="M58" s="86" t="s">
        <v>374</v>
      </c>
      <c r="N58" s="100">
        <f t="shared" si="4"/>
        <v>100</v>
      </c>
      <c r="Q58" s="70">
        <f t="shared" si="2"/>
        <v>0</v>
      </c>
      <c r="R58" s="87"/>
      <c r="S58" s="88" t="s">
        <v>375</v>
      </c>
    </row>
    <row r="59" spans="1:19" ht="49.5">
      <c r="A59" s="66" t="str">
        <f t="shared" si="0"/>
        <v>鑄造材料：{1}個鑄造銅
{2}個鑄造石
工匠費用：{0}銀幣鑄造裝備</v>
      </c>
      <c r="B59" s="67" t="s">
        <v>273</v>
      </c>
      <c r="C59" s="67" t="s">
        <v>365</v>
      </c>
      <c r="D59" s="68" t="s">
        <v>274</v>
      </c>
      <c r="E59" s="69">
        <v>104102</v>
      </c>
      <c r="F59" s="68" t="s">
        <v>276</v>
      </c>
      <c r="G59" s="68" t="s">
        <v>274</v>
      </c>
      <c r="H59" s="68" t="s">
        <v>277</v>
      </c>
      <c r="I59" s="68" t="s">
        <v>366</v>
      </c>
      <c r="M59" s="86" t="s">
        <v>376</v>
      </c>
      <c r="N59" s="100">
        <f t="shared" si="4"/>
        <v>100</v>
      </c>
      <c r="Q59" s="70">
        <f t="shared" si="2"/>
        <v>0</v>
      </c>
      <c r="R59" s="87"/>
      <c r="S59" s="88" t="s">
        <v>377</v>
      </c>
    </row>
    <row r="60" spans="1:19" ht="49.5">
      <c r="A60" s="66" t="str">
        <f t="shared" si="0"/>
        <v>鑄造材料：{1}個鑄造銅
{2}個鑄造石
工匠費用：{0}銀幣鑄造裝備</v>
      </c>
      <c r="B60" s="67" t="s">
        <v>273</v>
      </c>
      <c r="C60" s="67" t="s">
        <v>365</v>
      </c>
      <c r="D60" s="68" t="s">
        <v>274</v>
      </c>
      <c r="E60" s="69">
        <v>104102</v>
      </c>
      <c r="F60" s="68" t="s">
        <v>276</v>
      </c>
      <c r="G60" s="68" t="s">
        <v>274</v>
      </c>
      <c r="H60" s="68" t="s">
        <v>277</v>
      </c>
      <c r="I60" s="68" t="s">
        <v>366</v>
      </c>
      <c r="M60" s="86" t="s">
        <v>378</v>
      </c>
      <c r="N60" s="100">
        <f t="shared" si="4"/>
        <v>100</v>
      </c>
      <c r="Q60" s="70">
        <f t="shared" si="2"/>
        <v>0</v>
      </c>
      <c r="R60" s="87"/>
      <c r="S60" s="88" t="s">
        <v>379</v>
      </c>
    </row>
    <row r="61" spans="1:19" ht="49.5">
      <c r="A61" s="66" t="str">
        <f t="shared" si="0"/>
        <v>鑄造材料：{1}個鑄造銅
{2}個鑄造石
工匠費用：{0}銀幣鑄造裝備</v>
      </c>
      <c r="B61" s="67" t="s">
        <v>273</v>
      </c>
      <c r="C61" s="67" t="s">
        <v>365</v>
      </c>
      <c r="D61" s="68" t="s">
        <v>274</v>
      </c>
      <c r="E61" s="69">
        <v>104102</v>
      </c>
      <c r="F61" s="68" t="s">
        <v>276</v>
      </c>
      <c r="G61" s="68" t="s">
        <v>274</v>
      </c>
      <c r="H61" s="68" t="s">
        <v>277</v>
      </c>
      <c r="I61" s="68" t="s">
        <v>366</v>
      </c>
      <c r="M61" s="86" t="s">
        <v>380</v>
      </c>
      <c r="N61" s="100">
        <f t="shared" si="4"/>
        <v>100</v>
      </c>
      <c r="Q61" s="70">
        <f t="shared" si="2"/>
        <v>0</v>
      </c>
      <c r="R61" s="87"/>
      <c r="S61" s="88" t="s">
        <v>381</v>
      </c>
    </row>
    <row r="62" spans="1:19" ht="49.5">
      <c r="A62" s="66" t="str">
        <f t="shared" si="0"/>
        <v>鑄造材料：{1}個鑄造銅
{2}個鑄造石
工匠費用：{0}銀幣鑄造裝備</v>
      </c>
      <c r="B62" s="67" t="s">
        <v>273</v>
      </c>
      <c r="C62" s="67" t="s">
        <v>365</v>
      </c>
      <c r="D62" s="68" t="s">
        <v>274</v>
      </c>
      <c r="E62" s="69">
        <v>104102</v>
      </c>
      <c r="F62" s="68" t="s">
        <v>276</v>
      </c>
      <c r="G62" s="68" t="s">
        <v>274</v>
      </c>
      <c r="H62" s="68" t="s">
        <v>277</v>
      </c>
      <c r="I62" s="68" t="s">
        <v>366</v>
      </c>
      <c r="M62" s="86" t="s">
        <v>382</v>
      </c>
      <c r="N62" s="100">
        <f t="shared" si="4"/>
        <v>100</v>
      </c>
      <c r="Q62" s="70">
        <f t="shared" si="2"/>
        <v>0</v>
      </c>
      <c r="R62" s="87"/>
      <c r="S62" s="76" t="s">
        <v>383</v>
      </c>
    </row>
    <row r="63" spans="1:19" ht="49.5">
      <c r="A63" s="66" t="str">
        <f t="shared" si="0"/>
        <v>鑄造材料：{1}個鑄造銅
{2}個鑄造石
工匠費用：{0}銀幣鑄造裝備</v>
      </c>
      <c r="B63" s="67" t="s">
        <v>273</v>
      </c>
      <c r="C63" s="67" t="s">
        <v>365</v>
      </c>
      <c r="D63" s="68" t="s">
        <v>274</v>
      </c>
      <c r="E63" s="69">
        <v>104102</v>
      </c>
      <c r="F63" s="68" t="s">
        <v>276</v>
      </c>
      <c r="G63" s="68" t="s">
        <v>274</v>
      </c>
      <c r="H63" s="68" t="s">
        <v>277</v>
      </c>
      <c r="I63" s="68" t="s">
        <v>366</v>
      </c>
      <c r="M63" s="86" t="s">
        <v>384</v>
      </c>
      <c r="N63" s="100">
        <f t="shared" si="4"/>
        <v>100</v>
      </c>
      <c r="Q63" s="70">
        <f t="shared" si="2"/>
        <v>0</v>
      </c>
      <c r="R63" s="87"/>
      <c r="S63" s="76" t="s">
        <v>385</v>
      </c>
    </row>
    <row r="64" spans="1:19" ht="49.5">
      <c r="A64" s="66" t="str">
        <f t="shared" si="0"/>
        <v>鑄造材料：{1}個鑄造銅
{2}個鑄造石
工匠費用：{0}銀幣鑄造裝備</v>
      </c>
      <c r="B64" s="67" t="s">
        <v>273</v>
      </c>
      <c r="C64" s="67" t="s">
        <v>365</v>
      </c>
      <c r="D64" s="68" t="s">
        <v>274</v>
      </c>
      <c r="E64" s="69">
        <v>104102</v>
      </c>
      <c r="F64" s="68" t="s">
        <v>276</v>
      </c>
      <c r="G64" s="68" t="s">
        <v>274</v>
      </c>
      <c r="H64" s="68" t="s">
        <v>277</v>
      </c>
      <c r="I64" s="68" t="s">
        <v>366</v>
      </c>
      <c r="M64" s="86" t="s">
        <v>386</v>
      </c>
      <c r="N64" s="100">
        <f t="shared" si="4"/>
        <v>100</v>
      </c>
      <c r="Q64" s="70">
        <f t="shared" si="2"/>
        <v>0</v>
      </c>
      <c r="R64" s="87"/>
      <c r="S64" s="76" t="s">
        <v>387</v>
      </c>
    </row>
    <row r="65" spans="1:19" ht="49.5">
      <c r="A65" s="66" t="str">
        <f t="shared" si="0"/>
        <v>鑄造材料：{1}個鑄造銅
{2}個鑄造石
工匠費用：{0}銀幣鑄造裝備</v>
      </c>
      <c r="B65" s="67" t="s">
        <v>273</v>
      </c>
      <c r="C65" s="67" t="s">
        <v>365</v>
      </c>
      <c r="D65" s="68" t="s">
        <v>274</v>
      </c>
      <c r="E65" s="69">
        <v>104102</v>
      </c>
      <c r="F65" s="68" t="s">
        <v>276</v>
      </c>
      <c r="G65" s="68" t="s">
        <v>274</v>
      </c>
      <c r="H65" s="68" t="s">
        <v>277</v>
      </c>
      <c r="I65" s="68" t="s">
        <v>366</v>
      </c>
      <c r="M65" s="86" t="s">
        <v>388</v>
      </c>
      <c r="N65" s="100">
        <f t="shared" si="4"/>
        <v>100</v>
      </c>
      <c r="Q65" s="70">
        <f t="shared" si="2"/>
        <v>0</v>
      </c>
      <c r="R65" s="87"/>
      <c r="S65" s="76" t="s">
        <v>389</v>
      </c>
    </row>
    <row r="66" spans="1:19">
      <c r="A66" s="66" t="str">
        <f t="shared" si="0"/>
        <v/>
      </c>
      <c r="N66" s="100" t="e">
        <f t="shared" si="4"/>
        <v>#N/A</v>
      </c>
      <c r="Q66" s="70">
        <f t="shared" si="2"/>
        <v>0</v>
      </c>
      <c r="R66" s="71"/>
      <c r="S66" s="72"/>
    </row>
    <row r="67" spans="1:19">
      <c r="A67" s="66" t="str">
        <f t="shared" ref="A67:A130" si="5">IF(E67&lt;&gt;"","鑄造材料：{1}個"&amp;VLOOKUP(VALUE(E67),Q:S,3,),"")&amp;IF(H67&lt;&gt;"",CHAR(10)&amp;"{2}個"&amp;VLOOKUP(VALUE(H67),Q:S,3,FALSE),"")&amp;IF(K67&lt;&gt;"",CHAR(10)&amp;"{3}個"&amp;VLOOKUP(VALUE(K67),Q:S,3,FALSE),"")&amp;IF(C67&lt;&gt;"",CHAR(10)&amp;"工匠費用：{0}銀幣鑄造裝備","")</f>
        <v/>
      </c>
      <c r="N67" s="100" t="e">
        <f t="shared" si="4"/>
        <v>#N/A</v>
      </c>
      <c r="Q67" s="70">
        <f t="shared" si="2"/>
        <v>0</v>
      </c>
      <c r="R67" s="87"/>
      <c r="S67" s="88" t="s">
        <v>390</v>
      </c>
    </row>
    <row r="68" spans="1:19">
      <c r="A68" s="66" t="str">
        <f t="shared" si="5"/>
        <v/>
      </c>
      <c r="N68" s="100" t="e">
        <f t="shared" si="4"/>
        <v>#N/A</v>
      </c>
      <c r="Q68" s="70">
        <f t="shared" ref="Q68:Q131" si="6">VALUE(R68)</f>
        <v>0</v>
      </c>
      <c r="R68" s="87"/>
      <c r="S68" s="88" t="s">
        <v>391</v>
      </c>
    </row>
    <row r="69" spans="1:19">
      <c r="A69" s="66" t="str">
        <f t="shared" si="5"/>
        <v/>
      </c>
      <c r="N69" s="100" t="e">
        <f t="shared" si="4"/>
        <v>#N/A</v>
      </c>
      <c r="Q69" s="70">
        <f t="shared" si="6"/>
        <v>0</v>
      </c>
      <c r="R69" s="87"/>
      <c r="S69" s="88" t="s">
        <v>392</v>
      </c>
    </row>
    <row r="70" spans="1:19">
      <c r="A70" s="66" t="str">
        <f t="shared" si="5"/>
        <v/>
      </c>
      <c r="N70" s="100" t="e">
        <f t="shared" si="4"/>
        <v>#N/A</v>
      </c>
      <c r="Q70" s="70">
        <f t="shared" si="6"/>
        <v>0</v>
      </c>
      <c r="R70" s="87"/>
      <c r="S70" s="88" t="s">
        <v>393</v>
      </c>
    </row>
    <row r="71" spans="1:19">
      <c r="A71" s="66" t="str">
        <f t="shared" si="5"/>
        <v/>
      </c>
      <c r="N71" s="100" t="e">
        <f t="shared" si="4"/>
        <v>#N/A</v>
      </c>
      <c r="Q71" s="70">
        <f t="shared" si="6"/>
        <v>0</v>
      </c>
      <c r="R71" s="71"/>
      <c r="S71" s="72"/>
    </row>
    <row r="72" spans="1:19">
      <c r="A72" s="66" t="str">
        <f t="shared" si="5"/>
        <v/>
      </c>
      <c r="N72" s="100" t="e">
        <f t="shared" si="4"/>
        <v>#N/A</v>
      </c>
      <c r="Q72" s="70">
        <f t="shared" si="6"/>
        <v>0</v>
      </c>
      <c r="R72" s="87"/>
      <c r="S72" s="88" t="s">
        <v>394</v>
      </c>
    </row>
    <row r="73" spans="1:19">
      <c r="A73" s="66" t="str">
        <f t="shared" si="5"/>
        <v/>
      </c>
      <c r="N73" s="100" t="e">
        <f t="shared" si="4"/>
        <v>#N/A</v>
      </c>
      <c r="Q73" s="70">
        <f t="shared" si="6"/>
        <v>0</v>
      </c>
      <c r="R73" s="87"/>
      <c r="S73" s="88" t="s">
        <v>395</v>
      </c>
    </row>
    <row r="74" spans="1:19">
      <c r="A74" s="66" t="str">
        <f t="shared" si="5"/>
        <v/>
      </c>
      <c r="N74" s="100" t="e">
        <f t="shared" si="4"/>
        <v>#N/A</v>
      </c>
      <c r="Q74" s="70">
        <f t="shared" si="6"/>
        <v>0</v>
      </c>
      <c r="R74" s="87"/>
      <c r="S74" s="88" t="s">
        <v>396</v>
      </c>
    </row>
    <row r="75" spans="1:19">
      <c r="A75" s="66" t="str">
        <f t="shared" si="5"/>
        <v/>
      </c>
      <c r="N75" s="100" t="e">
        <f t="shared" si="4"/>
        <v>#N/A</v>
      </c>
      <c r="Q75" s="70">
        <f t="shared" si="6"/>
        <v>0</v>
      </c>
      <c r="R75" s="87"/>
      <c r="S75" s="76" t="s">
        <v>397</v>
      </c>
    </row>
    <row r="76" spans="1:19">
      <c r="A76" s="66" t="str">
        <f t="shared" si="5"/>
        <v/>
      </c>
      <c r="N76" s="100" t="e">
        <f t="shared" si="4"/>
        <v>#N/A</v>
      </c>
      <c r="Q76" s="70">
        <f t="shared" si="6"/>
        <v>0</v>
      </c>
      <c r="R76" s="87"/>
      <c r="S76" s="76" t="s">
        <v>398</v>
      </c>
    </row>
    <row r="77" spans="1:19">
      <c r="A77" s="66" t="str">
        <f t="shared" si="5"/>
        <v/>
      </c>
      <c r="N77" s="100" t="e">
        <f t="shared" si="4"/>
        <v>#N/A</v>
      </c>
      <c r="Q77" s="70">
        <f t="shared" si="6"/>
        <v>0</v>
      </c>
      <c r="R77" s="87"/>
      <c r="S77" s="76" t="s">
        <v>399</v>
      </c>
    </row>
    <row r="78" spans="1:19">
      <c r="A78" s="66" t="str">
        <f t="shared" si="5"/>
        <v/>
      </c>
      <c r="N78" s="100" t="e">
        <f t="shared" si="4"/>
        <v>#N/A</v>
      </c>
      <c r="Q78" s="70">
        <f t="shared" si="6"/>
        <v>0</v>
      </c>
      <c r="R78" s="87"/>
      <c r="S78" s="76" t="s">
        <v>400</v>
      </c>
    </row>
    <row r="79" spans="1:19">
      <c r="A79" s="66" t="str">
        <f t="shared" si="5"/>
        <v/>
      </c>
      <c r="N79" s="100" t="e">
        <f t="shared" si="4"/>
        <v>#N/A</v>
      </c>
      <c r="Q79" s="70">
        <f t="shared" si="6"/>
        <v>0</v>
      </c>
      <c r="R79" s="87"/>
      <c r="S79" s="76" t="s">
        <v>401</v>
      </c>
    </row>
    <row r="80" spans="1:19">
      <c r="A80" s="66" t="str">
        <f t="shared" si="5"/>
        <v/>
      </c>
      <c r="N80" s="100" t="e">
        <f t="shared" si="4"/>
        <v>#N/A</v>
      </c>
      <c r="Q80" s="70">
        <f t="shared" si="6"/>
        <v>0</v>
      </c>
      <c r="R80" s="87"/>
      <c r="S80" s="76" t="s">
        <v>402</v>
      </c>
    </row>
    <row r="81" spans="1:19">
      <c r="A81" s="66" t="str">
        <f t="shared" si="5"/>
        <v/>
      </c>
      <c r="N81" s="100" t="e">
        <f t="shared" si="4"/>
        <v>#N/A</v>
      </c>
      <c r="Q81" s="70">
        <f t="shared" si="6"/>
        <v>0</v>
      </c>
      <c r="R81" s="87"/>
      <c r="S81" s="76" t="s">
        <v>403</v>
      </c>
    </row>
    <row r="82" spans="1:19">
      <c r="A82" s="66" t="str">
        <f t="shared" si="5"/>
        <v/>
      </c>
      <c r="N82" s="100" t="e">
        <f t="shared" si="4"/>
        <v>#N/A</v>
      </c>
      <c r="Q82" s="70">
        <f t="shared" si="6"/>
        <v>0</v>
      </c>
      <c r="R82" s="87"/>
      <c r="S82" s="76" t="s">
        <v>404</v>
      </c>
    </row>
    <row r="83" spans="1:19">
      <c r="A83" s="66" t="str">
        <f t="shared" si="5"/>
        <v/>
      </c>
      <c r="N83" s="100" t="e">
        <f t="shared" si="4"/>
        <v>#N/A</v>
      </c>
      <c r="Q83" s="70">
        <f t="shared" si="6"/>
        <v>0</v>
      </c>
      <c r="R83" s="71"/>
      <c r="S83" s="72"/>
    </row>
    <row r="84" spans="1:19">
      <c r="A84" s="66" t="str">
        <f t="shared" si="5"/>
        <v/>
      </c>
      <c r="N84" s="100" t="e">
        <f t="shared" si="4"/>
        <v>#N/A</v>
      </c>
      <c r="Q84" s="70">
        <f t="shared" si="6"/>
        <v>0</v>
      </c>
      <c r="R84" s="89"/>
      <c r="S84" s="90" t="s">
        <v>405</v>
      </c>
    </row>
    <row r="85" spans="1:19">
      <c r="A85" s="66" t="str">
        <f t="shared" si="5"/>
        <v/>
      </c>
      <c r="N85" s="100" t="e">
        <f t="shared" si="4"/>
        <v>#N/A</v>
      </c>
      <c r="Q85" s="70">
        <f t="shared" si="6"/>
        <v>0</v>
      </c>
      <c r="R85" s="75"/>
      <c r="S85" s="76" t="s">
        <v>406</v>
      </c>
    </row>
    <row r="86" spans="1:19">
      <c r="A86" s="66" t="str">
        <f t="shared" si="5"/>
        <v/>
      </c>
      <c r="N86" s="100" t="e">
        <f t="shared" si="4"/>
        <v>#N/A</v>
      </c>
      <c r="Q86" s="70">
        <f t="shared" si="6"/>
        <v>0</v>
      </c>
      <c r="R86" s="87"/>
      <c r="S86" s="76" t="s">
        <v>407</v>
      </c>
    </row>
    <row r="87" spans="1:19">
      <c r="A87" s="66" t="str">
        <f t="shared" si="5"/>
        <v/>
      </c>
      <c r="N87" s="100" t="e">
        <f t="shared" si="4"/>
        <v>#N/A</v>
      </c>
      <c r="Q87" s="70">
        <f t="shared" si="6"/>
        <v>0</v>
      </c>
      <c r="R87" s="87"/>
      <c r="S87" s="76" t="s">
        <v>408</v>
      </c>
    </row>
    <row r="88" spans="1:19">
      <c r="A88" s="66" t="str">
        <f t="shared" si="5"/>
        <v/>
      </c>
      <c r="N88" s="100" t="e">
        <f t="shared" si="4"/>
        <v>#N/A</v>
      </c>
      <c r="Q88" s="70">
        <f t="shared" si="6"/>
        <v>0</v>
      </c>
      <c r="R88" s="87"/>
      <c r="S88" s="76" t="s">
        <v>409</v>
      </c>
    </row>
    <row r="89" spans="1:19">
      <c r="A89" s="66" t="str">
        <f t="shared" si="5"/>
        <v/>
      </c>
      <c r="N89" s="100" t="e">
        <f t="shared" si="4"/>
        <v>#N/A</v>
      </c>
      <c r="Q89" s="70">
        <f t="shared" si="6"/>
        <v>0</v>
      </c>
      <c r="R89" s="71"/>
      <c r="S89" s="72"/>
    </row>
    <row r="90" spans="1:19">
      <c r="A90" s="66" t="str">
        <f t="shared" si="5"/>
        <v/>
      </c>
      <c r="N90" s="100" t="e">
        <f t="shared" si="4"/>
        <v>#N/A</v>
      </c>
      <c r="Q90" s="70">
        <f t="shared" si="6"/>
        <v>701</v>
      </c>
      <c r="R90" s="77">
        <v>701</v>
      </c>
      <c r="S90" s="78" t="s">
        <v>410</v>
      </c>
    </row>
    <row r="91" spans="1:19">
      <c r="A91" s="66" t="str">
        <f t="shared" si="5"/>
        <v/>
      </c>
      <c r="N91" s="100" t="e">
        <f t="shared" si="4"/>
        <v>#N/A</v>
      </c>
      <c r="Q91" s="70">
        <f t="shared" si="6"/>
        <v>702</v>
      </c>
      <c r="R91" s="77">
        <v>702</v>
      </c>
      <c r="S91" s="78" t="s">
        <v>411</v>
      </c>
    </row>
    <row r="92" spans="1:19">
      <c r="A92" s="66" t="str">
        <f t="shared" si="5"/>
        <v/>
      </c>
      <c r="N92" s="100" t="e">
        <f t="shared" si="4"/>
        <v>#N/A</v>
      </c>
      <c r="Q92" s="70">
        <f t="shared" si="6"/>
        <v>703</v>
      </c>
      <c r="R92" s="77">
        <v>703</v>
      </c>
      <c r="S92" s="78" t="s">
        <v>412</v>
      </c>
    </row>
    <row r="93" spans="1:19">
      <c r="A93" s="66" t="str">
        <f t="shared" si="5"/>
        <v/>
      </c>
      <c r="N93" s="100" t="e">
        <f t="shared" si="4"/>
        <v>#N/A</v>
      </c>
      <c r="Q93" s="70">
        <f t="shared" si="6"/>
        <v>0</v>
      </c>
      <c r="R93" s="71"/>
      <c r="S93" s="72"/>
    </row>
    <row r="94" spans="1:19">
      <c r="A94" s="66" t="str">
        <f t="shared" si="5"/>
        <v/>
      </c>
      <c r="N94" s="100" t="e">
        <f t="shared" si="4"/>
        <v>#N/A</v>
      </c>
      <c r="Q94" s="70">
        <f t="shared" si="6"/>
        <v>712</v>
      </c>
      <c r="R94" s="77">
        <v>712</v>
      </c>
      <c r="S94" s="78" t="s">
        <v>413</v>
      </c>
    </row>
    <row r="95" spans="1:19">
      <c r="A95" s="66" t="str">
        <f t="shared" si="5"/>
        <v/>
      </c>
      <c r="N95" s="100" t="e">
        <f t="shared" si="4"/>
        <v>#N/A</v>
      </c>
      <c r="Q95" s="70">
        <f t="shared" si="6"/>
        <v>713</v>
      </c>
      <c r="R95" s="77">
        <v>713</v>
      </c>
      <c r="S95" s="78" t="s">
        <v>414</v>
      </c>
    </row>
    <row r="96" spans="1:19">
      <c r="A96" s="66" t="str">
        <f t="shared" si="5"/>
        <v/>
      </c>
      <c r="N96" s="100" t="e">
        <f t="shared" si="4"/>
        <v>#N/A</v>
      </c>
      <c r="Q96" s="70">
        <f t="shared" si="6"/>
        <v>714</v>
      </c>
      <c r="R96" s="77">
        <v>714</v>
      </c>
      <c r="S96" s="78" t="s">
        <v>415</v>
      </c>
    </row>
    <row r="97" spans="1:19">
      <c r="A97" s="66" t="str">
        <f t="shared" si="5"/>
        <v/>
      </c>
      <c r="N97" s="100" t="e">
        <f t="shared" si="4"/>
        <v>#N/A</v>
      </c>
      <c r="Q97" s="70">
        <f t="shared" si="6"/>
        <v>0</v>
      </c>
      <c r="R97" s="71"/>
      <c r="S97" s="72"/>
    </row>
    <row r="98" spans="1:19">
      <c r="A98" s="66" t="str">
        <f t="shared" si="5"/>
        <v/>
      </c>
      <c r="N98" s="100" t="e">
        <f t="shared" si="4"/>
        <v>#N/A</v>
      </c>
      <c r="Q98" s="70">
        <f t="shared" si="6"/>
        <v>731</v>
      </c>
      <c r="R98" s="77">
        <v>731</v>
      </c>
      <c r="S98" s="78" t="s">
        <v>416</v>
      </c>
    </row>
    <row r="99" spans="1:19">
      <c r="A99" s="66" t="str">
        <f t="shared" si="5"/>
        <v/>
      </c>
      <c r="N99" s="100" t="e">
        <f t="shared" si="4"/>
        <v>#N/A</v>
      </c>
      <c r="Q99" s="70">
        <f t="shared" si="6"/>
        <v>732</v>
      </c>
      <c r="R99" s="77">
        <v>732</v>
      </c>
      <c r="S99" s="78" t="s">
        <v>417</v>
      </c>
    </row>
    <row r="100" spans="1:19">
      <c r="A100" s="66" t="str">
        <f t="shared" si="5"/>
        <v/>
      </c>
      <c r="N100" s="100" t="e">
        <f t="shared" si="4"/>
        <v>#N/A</v>
      </c>
      <c r="Q100" s="70">
        <f t="shared" si="6"/>
        <v>733</v>
      </c>
      <c r="R100" s="77">
        <v>733</v>
      </c>
      <c r="S100" s="78" t="s">
        <v>418</v>
      </c>
    </row>
    <row r="101" spans="1:19">
      <c r="A101" s="66" t="str">
        <f t="shared" si="5"/>
        <v/>
      </c>
      <c r="N101" s="100" t="e">
        <f t="shared" si="4"/>
        <v>#N/A</v>
      </c>
      <c r="Q101" s="70">
        <f t="shared" si="6"/>
        <v>734</v>
      </c>
      <c r="R101" s="77">
        <v>734</v>
      </c>
      <c r="S101" s="78" t="s">
        <v>419</v>
      </c>
    </row>
    <row r="102" spans="1:19">
      <c r="A102" s="66" t="str">
        <f t="shared" si="5"/>
        <v/>
      </c>
      <c r="N102" s="100" t="e">
        <f t="shared" si="4"/>
        <v>#N/A</v>
      </c>
      <c r="Q102" s="70">
        <f t="shared" si="6"/>
        <v>735</v>
      </c>
      <c r="R102" s="77">
        <v>735</v>
      </c>
      <c r="S102" s="78" t="s">
        <v>420</v>
      </c>
    </row>
    <row r="103" spans="1:19">
      <c r="A103" s="66" t="str">
        <f t="shared" si="5"/>
        <v/>
      </c>
      <c r="N103" s="100" t="e">
        <f t="shared" si="4"/>
        <v>#N/A</v>
      </c>
      <c r="Q103" s="70">
        <f t="shared" si="6"/>
        <v>0</v>
      </c>
      <c r="R103" s="71"/>
      <c r="S103" s="72"/>
    </row>
    <row r="104" spans="1:19">
      <c r="A104" s="66" t="str">
        <f t="shared" si="5"/>
        <v/>
      </c>
      <c r="N104" s="100" t="e">
        <f t="shared" ref="N104:N124" si="7">VLOOKUP(VALUE(E104),W:X,2,FALSE)*F104+VLOOKUP(VALUE(H104),W:X,2,FALSE)*I104</f>
        <v>#N/A</v>
      </c>
      <c r="Q104" s="70">
        <f t="shared" si="6"/>
        <v>741</v>
      </c>
      <c r="R104" s="77">
        <v>741</v>
      </c>
      <c r="S104" s="78" t="s">
        <v>421</v>
      </c>
    </row>
    <row r="105" spans="1:19">
      <c r="A105" s="66" t="str">
        <f t="shared" si="5"/>
        <v/>
      </c>
      <c r="N105" s="100" t="e">
        <f t="shared" si="7"/>
        <v>#N/A</v>
      </c>
      <c r="Q105" s="70">
        <f t="shared" si="6"/>
        <v>742</v>
      </c>
      <c r="R105" s="77">
        <v>742</v>
      </c>
      <c r="S105" s="78" t="s">
        <v>422</v>
      </c>
    </row>
    <row r="106" spans="1:19">
      <c r="A106" s="66" t="str">
        <f t="shared" si="5"/>
        <v/>
      </c>
      <c r="N106" s="100" t="e">
        <f t="shared" si="7"/>
        <v>#N/A</v>
      </c>
      <c r="Q106" s="70">
        <f t="shared" si="6"/>
        <v>743</v>
      </c>
      <c r="R106" s="77">
        <v>743</v>
      </c>
      <c r="S106" s="78" t="s">
        <v>423</v>
      </c>
    </row>
    <row r="107" spans="1:19">
      <c r="A107" s="66" t="str">
        <f t="shared" si="5"/>
        <v/>
      </c>
      <c r="N107" s="100" t="e">
        <f t="shared" si="7"/>
        <v>#N/A</v>
      </c>
      <c r="Q107" s="70">
        <f t="shared" si="6"/>
        <v>744</v>
      </c>
      <c r="R107" s="77">
        <v>744</v>
      </c>
      <c r="S107" s="78" t="s">
        <v>424</v>
      </c>
    </row>
    <row r="108" spans="1:19">
      <c r="A108" s="66" t="str">
        <f t="shared" si="5"/>
        <v/>
      </c>
      <c r="N108" s="100" t="e">
        <f t="shared" si="7"/>
        <v>#N/A</v>
      </c>
      <c r="Q108" s="70">
        <f t="shared" si="6"/>
        <v>745</v>
      </c>
      <c r="R108" s="77">
        <v>745</v>
      </c>
      <c r="S108" s="78" t="s">
        <v>425</v>
      </c>
    </row>
    <row r="109" spans="1:19">
      <c r="A109" s="66" t="str">
        <f t="shared" si="5"/>
        <v/>
      </c>
      <c r="N109" s="100" t="e">
        <f t="shared" si="7"/>
        <v>#N/A</v>
      </c>
      <c r="Q109" s="70">
        <f t="shared" si="6"/>
        <v>0</v>
      </c>
      <c r="R109" s="71"/>
      <c r="S109" s="72"/>
    </row>
    <row r="110" spans="1:19">
      <c r="A110" s="66" t="str">
        <f t="shared" si="5"/>
        <v/>
      </c>
      <c r="N110" s="100" t="e">
        <f t="shared" si="7"/>
        <v>#N/A</v>
      </c>
      <c r="Q110" s="70">
        <f t="shared" si="6"/>
        <v>1001</v>
      </c>
      <c r="R110" s="73">
        <v>1001</v>
      </c>
      <c r="S110" s="74" t="s">
        <v>426</v>
      </c>
    </row>
    <row r="111" spans="1:19">
      <c r="A111" s="66" t="str">
        <f t="shared" si="5"/>
        <v/>
      </c>
      <c r="N111" s="100" t="e">
        <f t="shared" si="7"/>
        <v>#N/A</v>
      </c>
      <c r="Q111" s="70">
        <f t="shared" si="6"/>
        <v>1002</v>
      </c>
      <c r="R111" s="73">
        <v>1002</v>
      </c>
      <c r="S111" s="74" t="s">
        <v>427</v>
      </c>
    </row>
    <row r="112" spans="1:19">
      <c r="A112" s="66" t="str">
        <f t="shared" si="5"/>
        <v/>
      </c>
      <c r="N112" s="100" t="e">
        <f t="shared" si="7"/>
        <v>#N/A</v>
      </c>
      <c r="Q112" s="70">
        <f t="shared" si="6"/>
        <v>1003</v>
      </c>
      <c r="R112" s="73">
        <v>1003</v>
      </c>
      <c r="S112" s="74" t="s">
        <v>428</v>
      </c>
    </row>
    <row r="113" spans="1:19">
      <c r="A113" s="66" t="str">
        <f t="shared" si="5"/>
        <v/>
      </c>
      <c r="N113" s="100" t="e">
        <f t="shared" si="7"/>
        <v>#N/A</v>
      </c>
      <c r="Q113" s="70">
        <f t="shared" si="6"/>
        <v>1004</v>
      </c>
      <c r="R113" s="73">
        <v>1004</v>
      </c>
      <c r="S113" s="74" t="s">
        <v>429</v>
      </c>
    </row>
    <row r="114" spans="1:19">
      <c r="A114" s="66" t="str">
        <f t="shared" si="5"/>
        <v/>
      </c>
      <c r="N114" s="100" t="e">
        <f t="shared" si="7"/>
        <v>#N/A</v>
      </c>
      <c r="Q114" s="70">
        <f t="shared" si="6"/>
        <v>1005</v>
      </c>
      <c r="R114" s="73">
        <v>1005</v>
      </c>
      <c r="S114" s="74" t="s">
        <v>430</v>
      </c>
    </row>
    <row r="115" spans="1:19">
      <c r="A115" s="66" t="str">
        <f t="shared" si="5"/>
        <v/>
      </c>
      <c r="N115" s="100" t="e">
        <f t="shared" si="7"/>
        <v>#N/A</v>
      </c>
      <c r="Q115" s="70">
        <f t="shared" si="6"/>
        <v>1006</v>
      </c>
      <c r="R115" s="73">
        <v>1006</v>
      </c>
      <c r="S115" s="74" t="s">
        <v>431</v>
      </c>
    </row>
    <row r="116" spans="1:19">
      <c r="A116" s="66" t="str">
        <f t="shared" si="5"/>
        <v/>
      </c>
      <c r="N116" s="100" t="e">
        <f t="shared" si="7"/>
        <v>#N/A</v>
      </c>
      <c r="Q116" s="70">
        <f t="shared" si="6"/>
        <v>1007</v>
      </c>
      <c r="R116" s="73">
        <v>1007</v>
      </c>
      <c r="S116" s="74" t="s">
        <v>432</v>
      </c>
    </row>
    <row r="117" spans="1:19">
      <c r="A117" s="66" t="str">
        <f t="shared" si="5"/>
        <v/>
      </c>
      <c r="N117" s="100" t="e">
        <f t="shared" si="7"/>
        <v>#N/A</v>
      </c>
      <c r="Q117" s="70">
        <f t="shared" si="6"/>
        <v>0</v>
      </c>
      <c r="R117" s="75"/>
      <c r="S117" s="76" t="s">
        <v>433</v>
      </c>
    </row>
    <row r="118" spans="1:19">
      <c r="A118" s="66" t="str">
        <f t="shared" si="5"/>
        <v/>
      </c>
      <c r="N118" s="100" t="e">
        <f t="shared" si="7"/>
        <v>#N/A</v>
      </c>
      <c r="Q118" s="70">
        <f t="shared" si="6"/>
        <v>0</v>
      </c>
      <c r="R118" s="75"/>
      <c r="S118" s="76" t="s">
        <v>434</v>
      </c>
    </row>
    <row r="119" spans="1:19">
      <c r="A119" s="66" t="str">
        <f t="shared" si="5"/>
        <v/>
      </c>
      <c r="N119" s="100" t="e">
        <f t="shared" si="7"/>
        <v>#N/A</v>
      </c>
      <c r="Q119" s="70">
        <f t="shared" si="6"/>
        <v>0</v>
      </c>
      <c r="R119" s="75"/>
      <c r="S119" s="76" t="s">
        <v>435</v>
      </c>
    </row>
    <row r="120" spans="1:19">
      <c r="A120" s="66" t="str">
        <f t="shared" si="5"/>
        <v/>
      </c>
      <c r="N120" s="100" t="e">
        <f t="shared" si="7"/>
        <v>#N/A</v>
      </c>
      <c r="Q120" s="70">
        <f t="shared" si="6"/>
        <v>0</v>
      </c>
      <c r="R120" s="75"/>
      <c r="S120" s="76" t="s">
        <v>436</v>
      </c>
    </row>
    <row r="121" spans="1:19">
      <c r="A121" s="66" t="str">
        <f t="shared" si="5"/>
        <v/>
      </c>
      <c r="N121" s="100" t="e">
        <f t="shared" si="7"/>
        <v>#N/A</v>
      </c>
      <c r="Q121" s="70">
        <f t="shared" si="6"/>
        <v>0</v>
      </c>
      <c r="R121" s="75"/>
      <c r="S121" s="76" t="s">
        <v>437</v>
      </c>
    </row>
    <row r="122" spans="1:19">
      <c r="A122" s="66" t="str">
        <f t="shared" si="5"/>
        <v/>
      </c>
      <c r="N122" s="100" t="e">
        <f t="shared" si="7"/>
        <v>#N/A</v>
      </c>
      <c r="Q122" s="70">
        <f t="shared" si="6"/>
        <v>1013</v>
      </c>
      <c r="R122" s="77">
        <v>1013</v>
      </c>
      <c r="S122" s="78" t="s">
        <v>438</v>
      </c>
    </row>
    <row r="123" spans="1:19">
      <c r="A123" s="66" t="str">
        <f t="shared" si="5"/>
        <v/>
      </c>
      <c r="N123" s="100" t="e">
        <f t="shared" si="7"/>
        <v>#N/A</v>
      </c>
      <c r="Q123" s="70">
        <f t="shared" si="6"/>
        <v>1014</v>
      </c>
      <c r="R123" s="77">
        <v>1014</v>
      </c>
      <c r="S123" s="78" t="s">
        <v>439</v>
      </c>
    </row>
    <row r="124" spans="1:19">
      <c r="A124" s="66" t="str">
        <f t="shared" si="5"/>
        <v/>
      </c>
      <c r="N124" s="100" t="e">
        <f t="shared" si="7"/>
        <v>#N/A</v>
      </c>
      <c r="Q124" s="70">
        <f t="shared" si="6"/>
        <v>1015</v>
      </c>
      <c r="R124" s="77">
        <v>1015</v>
      </c>
      <c r="S124" s="78" t="s">
        <v>440</v>
      </c>
    </row>
    <row r="125" spans="1:19">
      <c r="A125" s="66" t="str">
        <f t="shared" si="5"/>
        <v/>
      </c>
      <c r="N125" s="100" t="e">
        <f t="shared" ref="N125:N130" si="8">VLOOKUP(VALUE(E125),W:X,2,FALSE)*F125+VLOOKUP(VALUE(H125),W:X,2,FALSE)*I125++VLOOKUP(VALUE(K125),W:X,2,FALSE)*L125</f>
        <v>#N/A</v>
      </c>
      <c r="Q125" s="70">
        <f t="shared" si="6"/>
        <v>1016</v>
      </c>
      <c r="R125" s="77">
        <v>1016</v>
      </c>
      <c r="S125" s="78" t="s">
        <v>441</v>
      </c>
    </row>
    <row r="126" spans="1:19">
      <c r="A126" s="66" t="str">
        <f t="shared" si="5"/>
        <v/>
      </c>
      <c r="N126" s="100" t="e">
        <f t="shared" si="8"/>
        <v>#N/A</v>
      </c>
      <c r="Q126" s="70">
        <f t="shared" si="6"/>
        <v>0</v>
      </c>
      <c r="R126" s="75"/>
      <c r="S126" s="76" t="s">
        <v>442</v>
      </c>
    </row>
    <row r="127" spans="1:19">
      <c r="A127" s="66" t="str">
        <f t="shared" si="5"/>
        <v/>
      </c>
      <c r="N127" s="100" t="e">
        <f t="shared" si="8"/>
        <v>#N/A</v>
      </c>
      <c r="Q127" s="70">
        <f t="shared" si="6"/>
        <v>0</v>
      </c>
      <c r="R127" s="75"/>
      <c r="S127" s="76" t="s">
        <v>443</v>
      </c>
    </row>
    <row r="128" spans="1:19">
      <c r="A128" s="66" t="str">
        <f t="shared" si="5"/>
        <v/>
      </c>
      <c r="N128" s="100" t="e">
        <f t="shared" si="8"/>
        <v>#N/A</v>
      </c>
      <c r="Q128" s="70">
        <f t="shared" si="6"/>
        <v>0</v>
      </c>
      <c r="R128" s="75"/>
      <c r="S128" s="76" t="s">
        <v>444</v>
      </c>
    </row>
    <row r="129" spans="1:19">
      <c r="A129" s="66" t="str">
        <f t="shared" si="5"/>
        <v/>
      </c>
      <c r="N129" s="100" t="e">
        <f t="shared" si="8"/>
        <v>#N/A</v>
      </c>
      <c r="Q129" s="70">
        <f t="shared" si="6"/>
        <v>0</v>
      </c>
      <c r="R129" s="75"/>
      <c r="S129" s="76" t="s">
        <v>445</v>
      </c>
    </row>
    <row r="130" spans="1:19">
      <c r="A130" s="66" t="str">
        <f t="shared" si="5"/>
        <v/>
      </c>
      <c r="N130" s="100" t="e">
        <f t="shared" si="8"/>
        <v>#N/A</v>
      </c>
      <c r="Q130" s="70">
        <f t="shared" si="6"/>
        <v>0</v>
      </c>
      <c r="R130" s="87"/>
      <c r="S130" s="76" t="s">
        <v>446</v>
      </c>
    </row>
    <row r="131" spans="1:19">
      <c r="A131" s="66" t="str">
        <f t="shared" ref="A131:A194" si="9">IF(E131&lt;&gt;"","鑄造材料：{1}個"&amp;VLOOKUP(VALUE(E131),Q:S,3,),"")&amp;IF(H131&lt;&gt;"",CHAR(10)&amp;"{2}個"&amp;VLOOKUP(VALUE(H131),Q:S,3,FALSE),"")&amp;IF(K131&lt;&gt;"",CHAR(10)&amp;"{3}個"&amp;VLOOKUP(VALUE(K131),Q:S,3,FALSE),"")&amp;IF(C131&lt;&gt;"",CHAR(10)&amp;"工匠費用：{0}銀幣鑄造裝備","")</f>
        <v/>
      </c>
      <c r="N131" s="100" t="e">
        <f t="shared" ref="N131:N194" si="10">VLOOKUP(VALUE(E131),W:X,2,FALSE)*F131+VLOOKUP(VALUE(H131),W:X,2,FALSE)*I131++VLOOKUP(VALUE(K131),W:X,2,FALSE)*L131</f>
        <v>#N/A</v>
      </c>
      <c r="Q131" s="70">
        <f t="shared" si="6"/>
        <v>0</v>
      </c>
      <c r="R131" s="87"/>
      <c r="S131" s="76" t="s">
        <v>447</v>
      </c>
    </row>
    <row r="132" spans="1:19">
      <c r="A132" s="66" t="str">
        <f t="shared" si="9"/>
        <v/>
      </c>
      <c r="N132" s="100" t="e">
        <f t="shared" si="10"/>
        <v>#N/A</v>
      </c>
      <c r="Q132" s="70">
        <f t="shared" ref="Q132:Q195" si="11">VALUE(R132)</f>
        <v>0</v>
      </c>
      <c r="R132" s="87"/>
      <c r="S132" s="76" t="s">
        <v>448</v>
      </c>
    </row>
    <row r="133" spans="1:19">
      <c r="A133" s="66" t="str">
        <f t="shared" si="9"/>
        <v/>
      </c>
      <c r="N133" s="100" t="e">
        <f t="shared" si="10"/>
        <v>#N/A</v>
      </c>
      <c r="Q133" s="70">
        <f t="shared" si="11"/>
        <v>0</v>
      </c>
      <c r="R133" s="87"/>
      <c r="S133" s="76" t="s">
        <v>449</v>
      </c>
    </row>
    <row r="134" spans="1:19">
      <c r="A134" s="66" t="str">
        <f t="shared" si="9"/>
        <v/>
      </c>
      <c r="N134" s="100" t="e">
        <f t="shared" si="10"/>
        <v>#N/A</v>
      </c>
      <c r="Q134" s="70">
        <f t="shared" si="11"/>
        <v>0</v>
      </c>
      <c r="R134" s="87"/>
      <c r="S134" s="76" t="s">
        <v>450</v>
      </c>
    </row>
    <row r="135" spans="1:19">
      <c r="A135" s="66" t="str">
        <f t="shared" si="9"/>
        <v/>
      </c>
      <c r="N135" s="100" t="e">
        <f t="shared" si="10"/>
        <v>#N/A</v>
      </c>
      <c r="Q135" s="70">
        <f t="shared" si="11"/>
        <v>0</v>
      </c>
      <c r="R135" s="87"/>
      <c r="S135" s="76" t="s">
        <v>451</v>
      </c>
    </row>
    <row r="136" spans="1:19">
      <c r="A136" s="66" t="str">
        <f t="shared" si="9"/>
        <v/>
      </c>
      <c r="N136" s="100" t="e">
        <f t="shared" si="10"/>
        <v>#N/A</v>
      </c>
      <c r="Q136" s="70">
        <f t="shared" si="11"/>
        <v>0</v>
      </c>
      <c r="R136" s="87"/>
      <c r="S136" s="76" t="s">
        <v>452</v>
      </c>
    </row>
    <row r="137" spans="1:19">
      <c r="A137" s="66" t="str">
        <f t="shared" si="9"/>
        <v/>
      </c>
      <c r="N137" s="100" t="e">
        <f t="shared" si="10"/>
        <v>#N/A</v>
      </c>
      <c r="Q137" s="70">
        <f t="shared" si="11"/>
        <v>0</v>
      </c>
      <c r="R137" s="87"/>
      <c r="S137" s="76" t="s">
        <v>453</v>
      </c>
    </row>
    <row r="138" spans="1:19">
      <c r="A138" s="66" t="str">
        <f t="shared" si="9"/>
        <v/>
      </c>
      <c r="N138" s="100" t="e">
        <f t="shared" si="10"/>
        <v>#N/A</v>
      </c>
      <c r="Q138" s="70">
        <f t="shared" si="11"/>
        <v>0</v>
      </c>
      <c r="R138" s="87"/>
      <c r="S138" s="76" t="s">
        <v>454</v>
      </c>
    </row>
    <row r="139" spans="1:19">
      <c r="A139" s="66" t="str">
        <f t="shared" si="9"/>
        <v/>
      </c>
      <c r="N139" s="100" t="e">
        <f t="shared" si="10"/>
        <v>#N/A</v>
      </c>
      <c r="Q139" s="70">
        <f t="shared" si="11"/>
        <v>0</v>
      </c>
      <c r="R139" s="87"/>
      <c r="S139" s="76" t="s">
        <v>455</v>
      </c>
    </row>
    <row r="140" spans="1:19">
      <c r="A140" s="66" t="str">
        <f t="shared" si="9"/>
        <v/>
      </c>
      <c r="N140" s="100" t="e">
        <f t="shared" si="10"/>
        <v>#N/A</v>
      </c>
      <c r="Q140" s="70">
        <f t="shared" si="11"/>
        <v>0</v>
      </c>
      <c r="R140" s="87"/>
      <c r="S140" s="76" t="s">
        <v>456</v>
      </c>
    </row>
    <row r="141" spans="1:19">
      <c r="A141" s="66" t="str">
        <f t="shared" si="9"/>
        <v/>
      </c>
      <c r="N141" s="100" t="e">
        <f t="shared" si="10"/>
        <v>#N/A</v>
      </c>
      <c r="Q141" s="70">
        <f t="shared" si="11"/>
        <v>0</v>
      </c>
      <c r="R141" s="87"/>
      <c r="S141" s="76" t="s">
        <v>457</v>
      </c>
    </row>
    <row r="142" spans="1:19">
      <c r="A142" s="66" t="str">
        <f t="shared" si="9"/>
        <v/>
      </c>
      <c r="N142" s="100" t="e">
        <f t="shared" si="10"/>
        <v>#N/A</v>
      </c>
      <c r="Q142" s="70">
        <f t="shared" si="11"/>
        <v>0</v>
      </c>
      <c r="R142" s="87"/>
      <c r="S142" s="76" t="s">
        <v>458</v>
      </c>
    </row>
    <row r="143" spans="1:19">
      <c r="A143" s="66" t="str">
        <f t="shared" si="9"/>
        <v/>
      </c>
      <c r="N143" s="100" t="e">
        <f t="shared" si="10"/>
        <v>#N/A</v>
      </c>
      <c r="Q143" s="70">
        <f t="shared" si="11"/>
        <v>0</v>
      </c>
      <c r="R143" s="87"/>
      <c r="S143" s="76" t="s">
        <v>459</v>
      </c>
    </row>
    <row r="144" spans="1:19">
      <c r="A144" s="66" t="str">
        <f t="shared" si="9"/>
        <v/>
      </c>
      <c r="N144" s="100" t="e">
        <f t="shared" si="10"/>
        <v>#N/A</v>
      </c>
      <c r="Q144" s="70">
        <f t="shared" si="11"/>
        <v>1041</v>
      </c>
      <c r="R144" s="73">
        <v>1041</v>
      </c>
      <c r="S144" s="74" t="s">
        <v>460</v>
      </c>
    </row>
    <row r="145" spans="1:19">
      <c r="A145" s="66" t="str">
        <f t="shared" si="9"/>
        <v/>
      </c>
      <c r="N145" s="100" t="e">
        <f t="shared" si="10"/>
        <v>#N/A</v>
      </c>
      <c r="Q145" s="70">
        <f t="shared" si="11"/>
        <v>0</v>
      </c>
      <c r="R145" s="71"/>
      <c r="S145" s="72"/>
    </row>
    <row r="146" spans="1:19">
      <c r="A146" s="66" t="str">
        <f t="shared" si="9"/>
        <v/>
      </c>
      <c r="N146" s="100" t="e">
        <f t="shared" si="10"/>
        <v>#N/A</v>
      </c>
      <c r="Q146" s="70">
        <f t="shared" si="11"/>
        <v>1501</v>
      </c>
      <c r="R146" s="73">
        <v>1501</v>
      </c>
      <c r="S146" s="74" t="s">
        <v>461</v>
      </c>
    </row>
    <row r="147" spans="1:19">
      <c r="A147" s="66" t="str">
        <f t="shared" si="9"/>
        <v/>
      </c>
      <c r="N147" s="100" t="e">
        <f t="shared" si="10"/>
        <v>#N/A</v>
      </c>
      <c r="Q147" s="70">
        <f t="shared" si="11"/>
        <v>1502</v>
      </c>
      <c r="R147" s="73">
        <v>1502</v>
      </c>
      <c r="S147" s="74" t="s">
        <v>462</v>
      </c>
    </row>
    <row r="148" spans="1:19">
      <c r="A148" s="66" t="str">
        <f t="shared" si="9"/>
        <v/>
      </c>
      <c r="N148" s="100" t="e">
        <f t="shared" si="10"/>
        <v>#N/A</v>
      </c>
      <c r="Q148" s="70">
        <f t="shared" si="11"/>
        <v>1503</v>
      </c>
      <c r="R148" s="73">
        <v>1503</v>
      </c>
      <c r="S148" s="74" t="s">
        <v>463</v>
      </c>
    </row>
    <row r="149" spans="1:19">
      <c r="A149" s="66" t="str">
        <f t="shared" si="9"/>
        <v/>
      </c>
      <c r="N149" s="100" t="e">
        <f t="shared" si="10"/>
        <v>#N/A</v>
      </c>
      <c r="Q149" s="70">
        <f t="shared" si="11"/>
        <v>1504</v>
      </c>
      <c r="R149" s="73">
        <v>1504</v>
      </c>
      <c r="S149" s="74" t="s">
        <v>464</v>
      </c>
    </row>
    <row r="150" spans="1:19">
      <c r="A150" s="66" t="str">
        <f t="shared" si="9"/>
        <v/>
      </c>
      <c r="N150" s="100" t="e">
        <f t="shared" si="10"/>
        <v>#N/A</v>
      </c>
      <c r="Q150" s="70">
        <f t="shared" si="11"/>
        <v>1505</v>
      </c>
      <c r="R150" s="73">
        <v>1505</v>
      </c>
      <c r="S150" s="74" t="s">
        <v>465</v>
      </c>
    </row>
    <row r="151" spans="1:19">
      <c r="A151" s="66" t="str">
        <f t="shared" si="9"/>
        <v/>
      </c>
      <c r="N151" s="100" t="e">
        <f t="shared" si="10"/>
        <v>#N/A</v>
      </c>
      <c r="Q151" s="70">
        <f t="shared" si="11"/>
        <v>1506</v>
      </c>
      <c r="R151" s="73">
        <v>1506</v>
      </c>
      <c r="S151" s="74" t="s">
        <v>466</v>
      </c>
    </row>
    <row r="152" spans="1:19">
      <c r="A152" s="66" t="str">
        <f t="shared" si="9"/>
        <v/>
      </c>
      <c r="N152" s="100" t="e">
        <f t="shared" si="10"/>
        <v>#N/A</v>
      </c>
      <c r="Q152" s="70">
        <f t="shared" si="11"/>
        <v>1507</v>
      </c>
      <c r="R152" s="73">
        <v>1507</v>
      </c>
      <c r="S152" s="74" t="s">
        <v>467</v>
      </c>
    </row>
    <row r="153" spans="1:19">
      <c r="A153" s="66" t="str">
        <f t="shared" si="9"/>
        <v/>
      </c>
      <c r="N153" s="100" t="e">
        <f t="shared" si="10"/>
        <v>#N/A</v>
      </c>
      <c r="Q153" s="70">
        <f t="shared" si="11"/>
        <v>1508</v>
      </c>
      <c r="R153" s="73">
        <v>1508</v>
      </c>
      <c r="S153" s="74" t="s">
        <v>468</v>
      </c>
    </row>
    <row r="154" spans="1:19">
      <c r="A154" s="66" t="str">
        <f t="shared" si="9"/>
        <v/>
      </c>
      <c r="N154" s="100" t="e">
        <f t="shared" si="10"/>
        <v>#N/A</v>
      </c>
      <c r="Q154" s="70">
        <f t="shared" si="11"/>
        <v>1509</v>
      </c>
      <c r="R154" s="73">
        <v>1509</v>
      </c>
      <c r="S154" s="74" t="s">
        <v>469</v>
      </c>
    </row>
    <row r="155" spans="1:19">
      <c r="A155" s="66" t="str">
        <f t="shared" si="9"/>
        <v/>
      </c>
      <c r="N155" s="100" t="e">
        <f t="shared" si="10"/>
        <v>#N/A</v>
      </c>
      <c r="Q155" s="70">
        <f t="shared" si="11"/>
        <v>1510</v>
      </c>
      <c r="R155" s="73">
        <v>1510</v>
      </c>
      <c r="S155" s="74" t="s">
        <v>470</v>
      </c>
    </row>
    <row r="156" spans="1:19">
      <c r="A156" s="66" t="str">
        <f t="shared" si="9"/>
        <v/>
      </c>
      <c r="N156" s="100" t="e">
        <f t="shared" si="10"/>
        <v>#N/A</v>
      </c>
      <c r="Q156" s="70">
        <f t="shared" si="11"/>
        <v>1511</v>
      </c>
      <c r="R156" s="73">
        <v>1511</v>
      </c>
      <c r="S156" s="74" t="s">
        <v>471</v>
      </c>
    </row>
    <row r="157" spans="1:19">
      <c r="A157" s="66" t="str">
        <f t="shared" si="9"/>
        <v/>
      </c>
      <c r="N157" s="100" t="e">
        <f t="shared" si="10"/>
        <v>#N/A</v>
      </c>
      <c r="Q157" s="70">
        <f t="shared" si="11"/>
        <v>1512</v>
      </c>
      <c r="R157" s="73">
        <v>1512</v>
      </c>
      <c r="S157" s="74" t="s">
        <v>472</v>
      </c>
    </row>
    <row r="158" spans="1:19">
      <c r="A158" s="66" t="str">
        <f t="shared" si="9"/>
        <v/>
      </c>
      <c r="N158" s="100" t="e">
        <f t="shared" si="10"/>
        <v>#N/A</v>
      </c>
      <c r="Q158" s="70">
        <f t="shared" si="11"/>
        <v>1513</v>
      </c>
      <c r="R158" s="73">
        <v>1513</v>
      </c>
      <c r="S158" s="74" t="s">
        <v>473</v>
      </c>
    </row>
    <row r="159" spans="1:19">
      <c r="A159" s="66" t="str">
        <f t="shared" si="9"/>
        <v/>
      </c>
      <c r="N159" s="100" t="e">
        <f t="shared" si="10"/>
        <v>#N/A</v>
      </c>
      <c r="Q159" s="70">
        <f t="shared" si="11"/>
        <v>1514</v>
      </c>
      <c r="R159" s="73">
        <v>1514</v>
      </c>
      <c r="S159" s="74" t="s">
        <v>474</v>
      </c>
    </row>
    <row r="160" spans="1:19">
      <c r="A160" s="66" t="str">
        <f t="shared" si="9"/>
        <v/>
      </c>
      <c r="N160" s="100" t="e">
        <f t="shared" si="10"/>
        <v>#N/A</v>
      </c>
      <c r="Q160" s="70">
        <f t="shared" si="11"/>
        <v>1515</v>
      </c>
      <c r="R160" s="73">
        <v>1515</v>
      </c>
      <c r="S160" s="74" t="s">
        <v>475</v>
      </c>
    </row>
    <row r="161" spans="1:19">
      <c r="A161" s="66" t="str">
        <f t="shared" si="9"/>
        <v/>
      </c>
      <c r="N161" s="100" t="e">
        <f t="shared" si="10"/>
        <v>#N/A</v>
      </c>
      <c r="Q161" s="70">
        <f t="shared" si="11"/>
        <v>1517</v>
      </c>
      <c r="R161" s="73">
        <v>1517</v>
      </c>
      <c r="S161" s="74" t="s">
        <v>476</v>
      </c>
    </row>
    <row r="162" spans="1:19">
      <c r="A162" s="66" t="str">
        <f t="shared" si="9"/>
        <v/>
      </c>
      <c r="N162" s="100" t="e">
        <f t="shared" si="10"/>
        <v>#N/A</v>
      </c>
      <c r="Q162" s="70">
        <f t="shared" si="11"/>
        <v>1518</v>
      </c>
      <c r="R162" s="73">
        <v>1518</v>
      </c>
      <c r="S162" s="74" t="s">
        <v>477</v>
      </c>
    </row>
    <row r="163" spans="1:19">
      <c r="A163" s="66" t="str">
        <f t="shared" si="9"/>
        <v/>
      </c>
      <c r="N163" s="100" t="e">
        <f t="shared" si="10"/>
        <v>#N/A</v>
      </c>
      <c r="Q163" s="70">
        <f t="shared" si="11"/>
        <v>1519</v>
      </c>
      <c r="R163" s="73">
        <v>1519</v>
      </c>
      <c r="S163" s="74" t="s">
        <v>478</v>
      </c>
    </row>
    <row r="164" spans="1:19">
      <c r="A164" s="66" t="str">
        <f t="shared" si="9"/>
        <v/>
      </c>
      <c r="N164" s="100" t="e">
        <f t="shared" si="10"/>
        <v>#N/A</v>
      </c>
      <c r="Q164" s="70">
        <f t="shared" si="11"/>
        <v>1520</v>
      </c>
      <c r="R164" s="73">
        <v>1520</v>
      </c>
      <c r="S164" s="74" t="s">
        <v>479</v>
      </c>
    </row>
    <row r="165" spans="1:19">
      <c r="A165" s="66" t="str">
        <f t="shared" si="9"/>
        <v/>
      </c>
      <c r="N165" s="100" t="e">
        <f t="shared" si="10"/>
        <v>#N/A</v>
      </c>
      <c r="Q165" s="70">
        <f t="shared" si="11"/>
        <v>1521</v>
      </c>
      <c r="R165" s="73">
        <v>1521</v>
      </c>
      <c r="S165" s="74" t="s">
        <v>480</v>
      </c>
    </row>
    <row r="166" spans="1:19">
      <c r="A166" s="66" t="str">
        <f t="shared" si="9"/>
        <v/>
      </c>
      <c r="N166" s="100" t="e">
        <f t="shared" si="10"/>
        <v>#N/A</v>
      </c>
      <c r="Q166" s="70">
        <f t="shared" si="11"/>
        <v>1522</v>
      </c>
      <c r="R166" s="73">
        <v>1522</v>
      </c>
      <c r="S166" s="74" t="s">
        <v>481</v>
      </c>
    </row>
    <row r="167" spans="1:19">
      <c r="A167" s="66" t="str">
        <f t="shared" si="9"/>
        <v/>
      </c>
      <c r="N167" s="100" t="e">
        <f t="shared" si="10"/>
        <v>#N/A</v>
      </c>
      <c r="Q167" s="70">
        <f t="shared" si="11"/>
        <v>1523</v>
      </c>
      <c r="R167" s="73">
        <v>1523</v>
      </c>
      <c r="S167" s="74" t="s">
        <v>482</v>
      </c>
    </row>
    <row r="168" spans="1:19">
      <c r="A168" s="66" t="str">
        <f t="shared" si="9"/>
        <v/>
      </c>
      <c r="N168" s="100" t="e">
        <f t="shared" si="10"/>
        <v>#N/A</v>
      </c>
      <c r="Q168" s="70">
        <f t="shared" si="11"/>
        <v>1524</v>
      </c>
      <c r="R168" s="73">
        <v>1524</v>
      </c>
      <c r="S168" s="74" t="s">
        <v>483</v>
      </c>
    </row>
    <row r="169" spans="1:19">
      <c r="A169" s="66" t="str">
        <f t="shared" si="9"/>
        <v/>
      </c>
      <c r="N169" s="100" t="e">
        <f t="shared" si="10"/>
        <v>#N/A</v>
      </c>
      <c r="Q169" s="70">
        <f t="shared" si="11"/>
        <v>0</v>
      </c>
      <c r="R169" s="71"/>
      <c r="S169" s="72"/>
    </row>
    <row r="170" spans="1:19">
      <c r="A170" s="66" t="str">
        <f t="shared" si="9"/>
        <v/>
      </c>
      <c r="N170" s="100" t="e">
        <f t="shared" si="10"/>
        <v>#N/A</v>
      </c>
      <c r="Q170" s="70">
        <f t="shared" si="11"/>
        <v>1701</v>
      </c>
      <c r="R170" s="73">
        <v>1701</v>
      </c>
      <c r="S170" s="74" t="s">
        <v>484</v>
      </c>
    </row>
    <row r="171" spans="1:19">
      <c r="A171" s="66" t="str">
        <f t="shared" si="9"/>
        <v/>
      </c>
      <c r="N171" s="100" t="e">
        <f t="shared" si="10"/>
        <v>#N/A</v>
      </c>
      <c r="Q171" s="70">
        <f t="shared" si="11"/>
        <v>1702</v>
      </c>
      <c r="R171" s="73">
        <v>1702</v>
      </c>
      <c r="S171" s="74" t="s">
        <v>485</v>
      </c>
    </row>
    <row r="172" spans="1:19">
      <c r="A172" s="66" t="str">
        <f t="shared" si="9"/>
        <v/>
      </c>
      <c r="N172" s="100" t="e">
        <f t="shared" si="10"/>
        <v>#N/A</v>
      </c>
      <c r="Q172" s="70">
        <f t="shared" si="11"/>
        <v>1703</v>
      </c>
      <c r="R172" s="73">
        <v>1703</v>
      </c>
      <c r="S172" s="74" t="s">
        <v>486</v>
      </c>
    </row>
    <row r="173" spans="1:19">
      <c r="A173" s="66" t="str">
        <f t="shared" si="9"/>
        <v/>
      </c>
      <c r="N173" s="100" t="e">
        <f t="shared" si="10"/>
        <v>#N/A</v>
      </c>
      <c r="Q173" s="70">
        <f t="shared" si="11"/>
        <v>1704</v>
      </c>
      <c r="R173" s="73">
        <v>1704</v>
      </c>
      <c r="S173" s="74" t="s">
        <v>487</v>
      </c>
    </row>
    <row r="174" spans="1:19">
      <c r="A174" s="66" t="str">
        <f t="shared" si="9"/>
        <v/>
      </c>
      <c r="N174" s="100" t="e">
        <f t="shared" si="10"/>
        <v>#N/A</v>
      </c>
      <c r="Q174" s="70">
        <f t="shared" si="11"/>
        <v>1705</v>
      </c>
      <c r="R174" s="73">
        <v>1705</v>
      </c>
      <c r="S174" s="74" t="s">
        <v>488</v>
      </c>
    </row>
    <row r="175" spans="1:19">
      <c r="A175" s="66" t="str">
        <f t="shared" si="9"/>
        <v/>
      </c>
      <c r="N175" s="100" t="e">
        <f t="shared" si="10"/>
        <v>#N/A</v>
      </c>
      <c r="Q175" s="70">
        <f t="shared" si="11"/>
        <v>1706</v>
      </c>
      <c r="R175" s="73" t="s">
        <v>489</v>
      </c>
      <c r="S175" s="74" t="s">
        <v>490</v>
      </c>
    </row>
    <row r="176" spans="1:19">
      <c r="A176" s="66" t="str">
        <f t="shared" si="9"/>
        <v/>
      </c>
      <c r="N176" s="100" t="e">
        <f t="shared" si="10"/>
        <v>#N/A</v>
      </c>
      <c r="Q176" s="70">
        <f t="shared" si="11"/>
        <v>1707</v>
      </c>
      <c r="R176" s="73">
        <v>1707</v>
      </c>
      <c r="S176" s="74" t="s">
        <v>491</v>
      </c>
    </row>
    <row r="177" spans="1:19">
      <c r="A177" s="66" t="str">
        <f t="shared" si="9"/>
        <v/>
      </c>
      <c r="N177" s="100" t="e">
        <f t="shared" si="10"/>
        <v>#N/A</v>
      </c>
      <c r="Q177" s="70">
        <f t="shared" si="11"/>
        <v>1708</v>
      </c>
      <c r="R177" s="73">
        <v>1708</v>
      </c>
      <c r="S177" s="74" t="s">
        <v>492</v>
      </c>
    </row>
    <row r="178" spans="1:19">
      <c r="A178" s="66" t="str">
        <f t="shared" si="9"/>
        <v/>
      </c>
      <c r="N178" s="100" t="e">
        <f t="shared" si="10"/>
        <v>#N/A</v>
      </c>
      <c r="Q178" s="70">
        <f t="shared" si="11"/>
        <v>0</v>
      </c>
      <c r="R178" s="71"/>
      <c r="S178" s="72"/>
    </row>
    <row r="179" spans="1:19">
      <c r="A179" s="66" t="str">
        <f t="shared" si="9"/>
        <v/>
      </c>
      <c r="N179" s="100" t="e">
        <f t="shared" si="10"/>
        <v>#N/A</v>
      </c>
      <c r="Q179" s="70">
        <f t="shared" si="11"/>
        <v>2101</v>
      </c>
      <c r="R179" s="73">
        <v>2101</v>
      </c>
      <c r="S179" s="74" t="s">
        <v>493</v>
      </c>
    </row>
    <row r="180" spans="1:19">
      <c r="A180" s="66" t="str">
        <f t="shared" si="9"/>
        <v/>
      </c>
      <c r="N180" s="100" t="e">
        <f t="shared" si="10"/>
        <v>#N/A</v>
      </c>
      <c r="Q180" s="70">
        <f t="shared" si="11"/>
        <v>2102</v>
      </c>
      <c r="R180" s="73">
        <v>2102</v>
      </c>
      <c r="S180" s="74" t="s">
        <v>494</v>
      </c>
    </row>
    <row r="181" spans="1:19">
      <c r="A181" s="66" t="str">
        <f t="shared" si="9"/>
        <v/>
      </c>
      <c r="N181" s="100" t="e">
        <f t="shared" si="10"/>
        <v>#N/A</v>
      </c>
      <c r="Q181" s="70">
        <f t="shared" si="11"/>
        <v>0</v>
      </c>
      <c r="R181" s="71"/>
      <c r="S181" s="72"/>
    </row>
    <row r="182" spans="1:19">
      <c r="A182" s="66" t="str">
        <f t="shared" si="9"/>
        <v/>
      </c>
      <c r="N182" s="100" t="e">
        <f t="shared" si="10"/>
        <v>#N/A</v>
      </c>
      <c r="Q182" s="70">
        <f t="shared" si="11"/>
        <v>2111</v>
      </c>
      <c r="R182" s="73">
        <v>2111</v>
      </c>
      <c r="S182" s="74" t="s">
        <v>495</v>
      </c>
    </row>
    <row r="183" spans="1:19">
      <c r="A183" s="66" t="str">
        <f t="shared" si="9"/>
        <v/>
      </c>
      <c r="N183" s="100" t="e">
        <f t="shared" si="10"/>
        <v>#N/A</v>
      </c>
      <c r="Q183" s="70">
        <f t="shared" si="11"/>
        <v>2112</v>
      </c>
      <c r="R183" s="73">
        <v>2112</v>
      </c>
      <c r="S183" s="74" t="s">
        <v>496</v>
      </c>
    </row>
    <row r="184" spans="1:19">
      <c r="A184" s="66" t="str">
        <f t="shared" si="9"/>
        <v/>
      </c>
      <c r="N184" s="100" t="e">
        <f t="shared" si="10"/>
        <v>#N/A</v>
      </c>
      <c r="Q184" s="70">
        <f t="shared" si="11"/>
        <v>0</v>
      </c>
      <c r="R184" s="71"/>
      <c r="S184" s="72"/>
    </row>
    <row r="185" spans="1:19">
      <c r="A185" s="66" t="str">
        <f t="shared" si="9"/>
        <v/>
      </c>
      <c r="N185" s="100" t="e">
        <f t="shared" si="10"/>
        <v>#N/A</v>
      </c>
      <c r="Q185" s="70">
        <f t="shared" si="11"/>
        <v>2401</v>
      </c>
      <c r="R185" s="73">
        <v>2401</v>
      </c>
      <c r="S185" s="74" t="s">
        <v>497</v>
      </c>
    </row>
    <row r="186" spans="1:19">
      <c r="A186" s="66" t="str">
        <f t="shared" si="9"/>
        <v/>
      </c>
      <c r="N186" s="100" t="e">
        <f t="shared" si="10"/>
        <v>#N/A</v>
      </c>
      <c r="Q186" s="70">
        <f t="shared" si="11"/>
        <v>2402</v>
      </c>
      <c r="R186" s="73">
        <v>2402</v>
      </c>
      <c r="S186" s="74" t="s">
        <v>498</v>
      </c>
    </row>
    <row r="187" spans="1:19">
      <c r="A187" s="66" t="str">
        <f t="shared" si="9"/>
        <v/>
      </c>
      <c r="N187" s="100" t="e">
        <f t="shared" si="10"/>
        <v>#N/A</v>
      </c>
      <c r="Q187" s="70">
        <f t="shared" si="11"/>
        <v>2403</v>
      </c>
      <c r="R187" s="73">
        <v>2403</v>
      </c>
      <c r="S187" s="74" t="s">
        <v>499</v>
      </c>
    </row>
    <row r="188" spans="1:19">
      <c r="A188" s="66" t="str">
        <f t="shared" si="9"/>
        <v/>
      </c>
      <c r="N188" s="100" t="e">
        <f t="shared" si="10"/>
        <v>#N/A</v>
      </c>
      <c r="Q188" s="70">
        <f t="shared" si="11"/>
        <v>2404</v>
      </c>
      <c r="R188" s="73">
        <v>2404</v>
      </c>
      <c r="S188" s="74" t="s">
        <v>500</v>
      </c>
    </row>
    <row r="189" spans="1:19">
      <c r="A189" s="66" t="str">
        <f t="shared" si="9"/>
        <v/>
      </c>
      <c r="N189" s="100" t="e">
        <f t="shared" si="10"/>
        <v>#N/A</v>
      </c>
      <c r="Q189" s="70">
        <f t="shared" si="11"/>
        <v>2411</v>
      </c>
      <c r="R189" s="73">
        <v>2411</v>
      </c>
      <c r="S189" s="74" t="s">
        <v>501</v>
      </c>
    </row>
    <row r="190" spans="1:19">
      <c r="A190" s="66" t="str">
        <f t="shared" si="9"/>
        <v/>
      </c>
      <c r="N190" s="100" t="e">
        <f t="shared" si="10"/>
        <v>#N/A</v>
      </c>
      <c r="Q190" s="70">
        <f t="shared" si="11"/>
        <v>2412</v>
      </c>
      <c r="R190" s="73">
        <v>2412</v>
      </c>
      <c r="S190" s="74" t="s">
        <v>502</v>
      </c>
    </row>
    <row r="191" spans="1:19">
      <c r="A191" s="66" t="str">
        <f t="shared" si="9"/>
        <v/>
      </c>
      <c r="N191" s="100" t="e">
        <f t="shared" si="10"/>
        <v>#N/A</v>
      </c>
      <c r="Q191" s="70">
        <f t="shared" si="11"/>
        <v>2413</v>
      </c>
      <c r="R191" s="73">
        <v>2413</v>
      </c>
      <c r="S191" s="74" t="s">
        <v>503</v>
      </c>
    </row>
    <row r="192" spans="1:19">
      <c r="A192" s="66" t="str">
        <f t="shared" si="9"/>
        <v/>
      </c>
      <c r="N192" s="100" t="e">
        <f t="shared" si="10"/>
        <v>#N/A</v>
      </c>
      <c r="Q192" s="70">
        <f t="shared" si="11"/>
        <v>2414</v>
      </c>
      <c r="R192" s="73">
        <v>2414</v>
      </c>
      <c r="S192" s="74" t="s">
        <v>504</v>
      </c>
    </row>
    <row r="193" spans="1:19">
      <c r="A193" s="66" t="str">
        <f t="shared" si="9"/>
        <v/>
      </c>
      <c r="N193" s="100" t="e">
        <f t="shared" si="10"/>
        <v>#N/A</v>
      </c>
      <c r="Q193" s="70">
        <f t="shared" si="11"/>
        <v>0</v>
      </c>
      <c r="R193" s="71"/>
      <c r="S193" s="72"/>
    </row>
    <row r="194" spans="1:19">
      <c r="A194" s="66" t="str">
        <f t="shared" si="9"/>
        <v/>
      </c>
      <c r="N194" s="100" t="e">
        <f t="shared" si="10"/>
        <v>#N/A</v>
      </c>
      <c r="Q194" s="70">
        <f t="shared" si="11"/>
        <v>2501</v>
      </c>
      <c r="R194" s="73">
        <v>2501</v>
      </c>
      <c r="S194" s="74" t="s">
        <v>505</v>
      </c>
    </row>
    <row r="195" spans="1:19">
      <c r="A195" s="66" t="str">
        <f t="shared" ref="A195:A258" si="12">IF(E195&lt;&gt;"","鑄造材料：{1}個"&amp;VLOOKUP(VALUE(E195),Q:S,3,),"")&amp;IF(H195&lt;&gt;"",CHAR(10)&amp;"{2}個"&amp;VLOOKUP(VALUE(H195),Q:S,3,FALSE),"")&amp;IF(K195&lt;&gt;"",CHAR(10)&amp;"{3}個"&amp;VLOOKUP(VALUE(K195),Q:S,3,FALSE),"")&amp;IF(C195&lt;&gt;"",CHAR(10)&amp;"工匠費用：{0}銀幣鑄造裝備","")</f>
        <v/>
      </c>
      <c r="N195" s="100" t="e">
        <f t="shared" ref="N195:N220" si="13">VLOOKUP(VALUE(E195),W:X,2,FALSE)*F195+VLOOKUP(VALUE(H195),W:X,2,FALSE)*I195++VLOOKUP(VALUE(K195),W:X,2,FALSE)*L195</f>
        <v>#N/A</v>
      </c>
      <c r="Q195" s="70">
        <f t="shared" si="11"/>
        <v>2502</v>
      </c>
      <c r="R195" s="73">
        <v>2502</v>
      </c>
      <c r="S195" s="74" t="s">
        <v>506</v>
      </c>
    </row>
    <row r="196" spans="1:19">
      <c r="A196" s="66" t="str">
        <f t="shared" si="12"/>
        <v/>
      </c>
      <c r="N196" s="100" t="e">
        <f t="shared" si="13"/>
        <v>#N/A</v>
      </c>
      <c r="Q196" s="70">
        <f t="shared" ref="Q196:Q259" si="14">VALUE(R196)</f>
        <v>0</v>
      </c>
      <c r="R196" s="71"/>
      <c r="S196" s="72"/>
    </row>
    <row r="197" spans="1:19">
      <c r="A197" s="66" t="str">
        <f t="shared" si="12"/>
        <v/>
      </c>
      <c r="N197" s="100" t="e">
        <f t="shared" si="13"/>
        <v>#N/A</v>
      </c>
      <c r="Q197" s="70">
        <f t="shared" si="14"/>
        <v>2601</v>
      </c>
      <c r="R197" s="73">
        <v>2601</v>
      </c>
      <c r="S197" s="74" t="s">
        <v>507</v>
      </c>
    </row>
    <row r="198" spans="1:19">
      <c r="A198" s="66" t="str">
        <f t="shared" si="12"/>
        <v/>
      </c>
      <c r="N198" s="100" t="e">
        <f t="shared" si="13"/>
        <v>#N/A</v>
      </c>
      <c r="Q198" s="70">
        <f t="shared" si="14"/>
        <v>0</v>
      </c>
      <c r="R198" s="71"/>
      <c r="S198" s="72" t="s">
        <v>508</v>
      </c>
    </row>
    <row r="199" spans="1:19">
      <c r="A199" s="66" t="str">
        <f t="shared" si="12"/>
        <v/>
      </c>
      <c r="N199" s="100" t="e">
        <f t="shared" si="13"/>
        <v>#N/A</v>
      </c>
      <c r="Q199" s="70">
        <f t="shared" si="14"/>
        <v>3001</v>
      </c>
      <c r="R199" s="73">
        <v>3001</v>
      </c>
      <c r="S199" s="74" t="s">
        <v>509</v>
      </c>
    </row>
    <row r="200" spans="1:19">
      <c r="A200" s="66" t="str">
        <f t="shared" si="12"/>
        <v/>
      </c>
      <c r="N200" s="100" t="e">
        <f t="shared" si="13"/>
        <v>#N/A</v>
      </c>
      <c r="Q200" s="70">
        <f t="shared" si="14"/>
        <v>3002</v>
      </c>
      <c r="R200" s="73">
        <v>3002</v>
      </c>
      <c r="S200" s="74" t="s">
        <v>510</v>
      </c>
    </row>
    <row r="201" spans="1:19">
      <c r="A201" s="66" t="str">
        <f t="shared" si="12"/>
        <v/>
      </c>
      <c r="N201" s="100" t="e">
        <f t="shared" si="13"/>
        <v>#N/A</v>
      </c>
      <c r="Q201" s="70">
        <f t="shared" si="14"/>
        <v>3003</v>
      </c>
      <c r="R201" s="73">
        <v>3003</v>
      </c>
      <c r="S201" s="74" t="s">
        <v>511</v>
      </c>
    </row>
    <row r="202" spans="1:19">
      <c r="A202" s="66" t="str">
        <f t="shared" si="12"/>
        <v/>
      </c>
      <c r="N202" s="100" t="e">
        <f t="shared" si="13"/>
        <v>#N/A</v>
      </c>
      <c r="Q202" s="70">
        <f t="shared" si="14"/>
        <v>3004</v>
      </c>
      <c r="R202" s="73">
        <v>3004</v>
      </c>
      <c r="S202" s="74" t="s">
        <v>512</v>
      </c>
    </row>
    <row r="203" spans="1:19">
      <c r="A203" s="66" t="str">
        <f t="shared" si="12"/>
        <v/>
      </c>
      <c r="N203" s="100" t="e">
        <f t="shared" si="13"/>
        <v>#N/A</v>
      </c>
      <c r="Q203" s="70">
        <f t="shared" si="14"/>
        <v>3005</v>
      </c>
      <c r="R203" s="73">
        <v>3005</v>
      </c>
      <c r="S203" s="74" t="s">
        <v>513</v>
      </c>
    </row>
    <row r="204" spans="1:19">
      <c r="A204" s="66" t="str">
        <f t="shared" si="12"/>
        <v/>
      </c>
      <c r="N204" s="100" t="e">
        <f t="shared" si="13"/>
        <v>#N/A</v>
      </c>
      <c r="Q204" s="70">
        <f t="shared" si="14"/>
        <v>3006</v>
      </c>
      <c r="R204" s="73">
        <v>3006</v>
      </c>
      <c r="S204" s="74" t="s">
        <v>514</v>
      </c>
    </row>
    <row r="205" spans="1:19">
      <c r="A205" s="66" t="str">
        <f t="shared" si="12"/>
        <v/>
      </c>
      <c r="N205" s="100" t="e">
        <f t="shared" si="13"/>
        <v>#N/A</v>
      </c>
      <c r="Q205" s="70">
        <f t="shared" si="14"/>
        <v>3011</v>
      </c>
      <c r="R205" s="73">
        <v>3011</v>
      </c>
      <c r="S205" s="74" t="s">
        <v>515</v>
      </c>
    </row>
    <row r="206" spans="1:19">
      <c r="A206" s="66" t="str">
        <f t="shared" si="12"/>
        <v/>
      </c>
      <c r="N206" s="100" t="e">
        <f t="shared" si="13"/>
        <v>#N/A</v>
      </c>
      <c r="Q206" s="70">
        <f t="shared" si="14"/>
        <v>3012</v>
      </c>
      <c r="R206" s="73">
        <v>3012</v>
      </c>
      <c r="S206" s="74" t="s">
        <v>516</v>
      </c>
    </row>
    <row r="207" spans="1:19">
      <c r="A207" s="66" t="str">
        <f t="shared" si="12"/>
        <v/>
      </c>
      <c r="N207" s="100" t="e">
        <f t="shared" si="13"/>
        <v>#N/A</v>
      </c>
      <c r="Q207" s="70">
        <f t="shared" si="14"/>
        <v>3013</v>
      </c>
      <c r="R207" s="73">
        <v>3013</v>
      </c>
      <c r="S207" s="74" t="s">
        <v>517</v>
      </c>
    </row>
    <row r="208" spans="1:19">
      <c r="A208" s="66" t="str">
        <f t="shared" si="12"/>
        <v/>
      </c>
      <c r="N208" s="100" t="e">
        <f t="shared" si="13"/>
        <v>#N/A</v>
      </c>
      <c r="Q208" s="70">
        <f t="shared" si="14"/>
        <v>3014</v>
      </c>
      <c r="R208" s="73">
        <v>3014</v>
      </c>
      <c r="S208" s="74" t="s">
        <v>518</v>
      </c>
    </row>
    <row r="209" spans="1:19">
      <c r="A209" s="66" t="str">
        <f t="shared" si="12"/>
        <v/>
      </c>
      <c r="N209" s="100" t="e">
        <f t="shared" si="13"/>
        <v>#N/A</v>
      </c>
      <c r="Q209" s="70">
        <f t="shared" si="14"/>
        <v>3015</v>
      </c>
      <c r="R209" s="73">
        <v>3015</v>
      </c>
      <c r="S209" s="74" t="s">
        <v>519</v>
      </c>
    </row>
    <row r="210" spans="1:19">
      <c r="A210" s="66" t="str">
        <f t="shared" si="12"/>
        <v/>
      </c>
      <c r="N210" s="100" t="e">
        <f t="shared" si="13"/>
        <v>#N/A</v>
      </c>
      <c r="Q210" s="70">
        <f t="shared" si="14"/>
        <v>3016</v>
      </c>
      <c r="R210" s="73">
        <v>3016</v>
      </c>
      <c r="S210" s="74" t="s">
        <v>520</v>
      </c>
    </row>
    <row r="211" spans="1:19">
      <c r="A211" s="66" t="str">
        <f t="shared" si="12"/>
        <v/>
      </c>
      <c r="N211" s="100" t="e">
        <f t="shared" si="13"/>
        <v>#N/A</v>
      </c>
      <c r="Q211" s="70">
        <f t="shared" si="14"/>
        <v>3021</v>
      </c>
      <c r="R211" s="73">
        <v>3021</v>
      </c>
      <c r="S211" s="74" t="s">
        <v>521</v>
      </c>
    </row>
    <row r="212" spans="1:19">
      <c r="A212" s="66" t="str">
        <f t="shared" si="12"/>
        <v/>
      </c>
      <c r="N212" s="100" t="e">
        <f t="shared" si="13"/>
        <v>#N/A</v>
      </c>
      <c r="Q212" s="70">
        <f t="shared" si="14"/>
        <v>3022</v>
      </c>
      <c r="R212" s="73">
        <v>3022</v>
      </c>
      <c r="S212" s="74" t="s">
        <v>522</v>
      </c>
    </row>
    <row r="213" spans="1:19">
      <c r="A213" s="66" t="str">
        <f t="shared" si="12"/>
        <v/>
      </c>
      <c r="N213" s="100" t="e">
        <f t="shared" si="13"/>
        <v>#N/A</v>
      </c>
      <c r="Q213" s="70">
        <f t="shared" si="14"/>
        <v>3023</v>
      </c>
      <c r="R213" s="73">
        <v>3023</v>
      </c>
      <c r="S213" s="74" t="s">
        <v>523</v>
      </c>
    </row>
    <row r="214" spans="1:19">
      <c r="A214" s="66" t="str">
        <f t="shared" si="12"/>
        <v/>
      </c>
      <c r="N214" s="100" t="e">
        <f t="shared" si="13"/>
        <v>#N/A</v>
      </c>
      <c r="Q214" s="70">
        <f t="shared" si="14"/>
        <v>3024</v>
      </c>
      <c r="R214" s="73">
        <v>3024</v>
      </c>
      <c r="S214" s="74" t="s">
        <v>524</v>
      </c>
    </row>
    <row r="215" spans="1:19">
      <c r="A215" s="66" t="str">
        <f t="shared" si="12"/>
        <v/>
      </c>
      <c r="N215" s="100" t="e">
        <f t="shared" si="13"/>
        <v>#N/A</v>
      </c>
      <c r="Q215" s="70">
        <f t="shared" si="14"/>
        <v>3025</v>
      </c>
      <c r="R215" s="73">
        <v>3025</v>
      </c>
      <c r="S215" s="74" t="s">
        <v>525</v>
      </c>
    </row>
    <row r="216" spans="1:19">
      <c r="A216" s="66" t="str">
        <f t="shared" si="12"/>
        <v/>
      </c>
      <c r="N216" s="100" t="e">
        <f t="shared" si="13"/>
        <v>#N/A</v>
      </c>
      <c r="Q216" s="70">
        <f t="shared" si="14"/>
        <v>3026</v>
      </c>
      <c r="R216" s="73">
        <v>3026</v>
      </c>
      <c r="S216" s="74" t="s">
        <v>526</v>
      </c>
    </row>
    <row r="217" spans="1:19">
      <c r="A217" s="66" t="str">
        <f t="shared" si="12"/>
        <v/>
      </c>
      <c r="N217" s="100" t="e">
        <f t="shared" si="13"/>
        <v>#N/A</v>
      </c>
      <c r="Q217" s="70">
        <f t="shared" si="14"/>
        <v>3031</v>
      </c>
      <c r="R217" s="73">
        <v>3031</v>
      </c>
      <c r="S217" s="74" t="s">
        <v>527</v>
      </c>
    </row>
    <row r="218" spans="1:19">
      <c r="A218" s="66" t="str">
        <f t="shared" si="12"/>
        <v/>
      </c>
      <c r="N218" s="100" t="e">
        <f t="shared" si="13"/>
        <v>#N/A</v>
      </c>
      <c r="Q218" s="70">
        <f t="shared" si="14"/>
        <v>3032</v>
      </c>
      <c r="R218" s="73">
        <v>3032</v>
      </c>
      <c r="S218" s="74" t="s">
        <v>528</v>
      </c>
    </row>
    <row r="219" spans="1:19">
      <c r="A219" s="66" t="str">
        <f t="shared" si="12"/>
        <v/>
      </c>
      <c r="N219" s="100" t="e">
        <f t="shared" si="13"/>
        <v>#N/A</v>
      </c>
      <c r="Q219" s="70">
        <f t="shared" si="14"/>
        <v>3033</v>
      </c>
      <c r="R219" s="73">
        <v>3033</v>
      </c>
      <c r="S219" s="74" t="s">
        <v>529</v>
      </c>
    </row>
    <row r="220" spans="1:19">
      <c r="A220" s="66" t="str">
        <f t="shared" si="12"/>
        <v/>
      </c>
      <c r="N220" s="100" t="e">
        <f t="shared" si="13"/>
        <v>#N/A</v>
      </c>
      <c r="Q220" s="70">
        <f t="shared" si="14"/>
        <v>0</v>
      </c>
      <c r="R220" s="71"/>
      <c r="S220" s="72" t="s">
        <v>530</v>
      </c>
    </row>
    <row r="221" spans="1:19">
      <c r="A221" s="66" t="str">
        <f t="shared" si="12"/>
        <v/>
      </c>
      <c r="Q221" s="70">
        <f t="shared" si="14"/>
        <v>4001</v>
      </c>
      <c r="R221" s="82">
        <v>4001</v>
      </c>
      <c r="S221" s="83" t="s">
        <v>531</v>
      </c>
    </row>
    <row r="222" spans="1:19">
      <c r="A222" s="66" t="str">
        <f t="shared" si="12"/>
        <v/>
      </c>
      <c r="Q222" s="70">
        <f t="shared" si="14"/>
        <v>4002</v>
      </c>
      <c r="R222" s="82">
        <v>4002</v>
      </c>
      <c r="S222" s="83" t="s">
        <v>532</v>
      </c>
    </row>
    <row r="223" spans="1:19">
      <c r="A223" s="66" t="str">
        <f t="shared" si="12"/>
        <v/>
      </c>
      <c r="Q223" s="70">
        <f t="shared" si="14"/>
        <v>0</v>
      </c>
      <c r="R223" s="71"/>
      <c r="S223" s="72" t="s">
        <v>533</v>
      </c>
    </row>
    <row r="224" spans="1:19">
      <c r="A224" s="66" t="str">
        <f t="shared" si="12"/>
        <v/>
      </c>
      <c r="Q224" s="70">
        <f t="shared" si="14"/>
        <v>5001</v>
      </c>
      <c r="R224" s="91">
        <v>5001</v>
      </c>
      <c r="S224" s="92" t="s">
        <v>534</v>
      </c>
    </row>
    <row r="225" spans="1:19">
      <c r="A225" s="66" t="str">
        <f t="shared" si="12"/>
        <v/>
      </c>
      <c r="Q225" s="70">
        <f t="shared" si="14"/>
        <v>0</v>
      </c>
      <c r="R225" s="71"/>
      <c r="S225" s="72" t="s">
        <v>535</v>
      </c>
    </row>
    <row r="226" spans="1:19">
      <c r="A226" s="66" t="str">
        <f t="shared" si="12"/>
        <v/>
      </c>
      <c r="Q226" s="70">
        <f t="shared" si="14"/>
        <v>6001</v>
      </c>
      <c r="R226" s="91">
        <v>6001</v>
      </c>
      <c r="S226" s="92" t="s">
        <v>536</v>
      </c>
    </row>
    <row r="227" spans="1:19">
      <c r="A227" s="66" t="str">
        <f t="shared" si="12"/>
        <v/>
      </c>
      <c r="Q227" s="70">
        <f t="shared" si="14"/>
        <v>6002</v>
      </c>
      <c r="R227" s="91">
        <v>6002</v>
      </c>
      <c r="S227" s="92" t="s">
        <v>537</v>
      </c>
    </row>
    <row r="228" spans="1:19">
      <c r="A228" s="66" t="str">
        <f t="shared" si="12"/>
        <v/>
      </c>
      <c r="Q228" s="70">
        <f t="shared" si="14"/>
        <v>0</v>
      </c>
      <c r="R228" s="71"/>
      <c r="S228" s="72" t="s">
        <v>538</v>
      </c>
    </row>
    <row r="229" spans="1:19">
      <c r="A229" s="66" t="str">
        <f t="shared" si="12"/>
        <v/>
      </c>
      <c r="Q229" s="70">
        <f t="shared" si="14"/>
        <v>8001</v>
      </c>
      <c r="R229" s="91">
        <v>8001</v>
      </c>
      <c r="S229" s="92" t="s">
        <v>539</v>
      </c>
    </row>
    <row r="230" spans="1:19">
      <c r="A230" s="66" t="str">
        <f t="shared" si="12"/>
        <v/>
      </c>
      <c r="Q230" s="70">
        <f t="shared" si="14"/>
        <v>8002</v>
      </c>
      <c r="R230" s="91">
        <v>8002</v>
      </c>
      <c r="S230" s="92" t="s">
        <v>540</v>
      </c>
    </row>
    <row r="231" spans="1:19">
      <c r="A231" s="66" t="str">
        <f t="shared" si="12"/>
        <v/>
      </c>
      <c r="Q231" s="70">
        <f t="shared" si="14"/>
        <v>8003</v>
      </c>
      <c r="R231" s="91">
        <v>8003</v>
      </c>
      <c r="S231" s="92" t="s">
        <v>541</v>
      </c>
    </row>
    <row r="232" spans="1:19">
      <c r="A232" s="66" t="str">
        <f t="shared" si="12"/>
        <v/>
      </c>
      <c r="Q232" s="70">
        <f t="shared" si="14"/>
        <v>8004</v>
      </c>
      <c r="R232" s="91">
        <v>8004</v>
      </c>
      <c r="S232" s="92" t="s">
        <v>542</v>
      </c>
    </row>
    <row r="233" spans="1:19">
      <c r="A233" s="66" t="str">
        <f t="shared" si="12"/>
        <v/>
      </c>
      <c r="Q233" s="70">
        <f t="shared" si="14"/>
        <v>8005</v>
      </c>
      <c r="R233" s="91">
        <v>8005</v>
      </c>
      <c r="S233" s="92" t="s">
        <v>543</v>
      </c>
    </row>
    <row r="234" spans="1:19">
      <c r="A234" s="66" t="str">
        <f t="shared" si="12"/>
        <v/>
      </c>
      <c r="Q234" s="70">
        <f t="shared" si="14"/>
        <v>0</v>
      </c>
      <c r="R234" s="71"/>
      <c r="S234" s="72" t="s">
        <v>544</v>
      </c>
    </row>
    <row r="235" spans="1:19">
      <c r="A235" s="66" t="str">
        <f t="shared" si="12"/>
        <v/>
      </c>
      <c r="Q235" s="70">
        <f t="shared" si="14"/>
        <v>8501</v>
      </c>
      <c r="R235" s="93">
        <v>8501</v>
      </c>
      <c r="S235" s="57" t="s">
        <v>545</v>
      </c>
    </row>
    <row r="236" spans="1:19">
      <c r="A236" s="66" t="str">
        <f t="shared" si="12"/>
        <v/>
      </c>
      <c r="Q236" s="70">
        <f t="shared" si="14"/>
        <v>8502</v>
      </c>
      <c r="R236" s="93">
        <v>8502</v>
      </c>
      <c r="S236" s="57" t="s">
        <v>546</v>
      </c>
    </row>
    <row r="237" spans="1:19">
      <c r="A237" s="66" t="str">
        <f t="shared" si="12"/>
        <v/>
      </c>
      <c r="Q237" s="70">
        <f t="shared" si="14"/>
        <v>8503</v>
      </c>
      <c r="R237" s="93">
        <v>8503</v>
      </c>
      <c r="S237" s="57" t="s">
        <v>547</v>
      </c>
    </row>
    <row r="238" spans="1:19">
      <c r="A238" s="66" t="str">
        <f t="shared" si="12"/>
        <v/>
      </c>
      <c r="Q238" s="70">
        <f t="shared" si="14"/>
        <v>8504</v>
      </c>
      <c r="R238" s="93">
        <v>8504</v>
      </c>
      <c r="S238" s="57" t="s">
        <v>548</v>
      </c>
    </row>
    <row r="239" spans="1:19">
      <c r="A239" s="66" t="str">
        <f t="shared" si="12"/>
        <v/>
      </c>
      <c r="Q239" s="70">
        <f t="shared" si="14"/>
        <v>8505</v>
      </c>
      <c r="R239" s="93">
        <v>8505</v>
      </c>
      <c r="S239" s="57" t="s">
        <v>549</v>
      </c>
    </row>
    <row r="240" spans="1:19">
      <c r="A240" s="66" t="str">
        <f t="shared" si="12"/>
        <v/>
      </c>
      <c r="Q240" s="70">
        <f t="shared" si="14"/>
        <v>8506</v>
      </c>
      <c r="R240" s="93">
        <v>8506</v>
      </c>
      <c r="S240" s="57" t="s">
        <v>550</v>
      </c>
    </row>
    <row r="241" spans="1:19">
      <c r="A241" s="66" t="str">
        <f t="shared" si="12"/>
        <v/>
      </c>
      <c r="Q241" s="70">
        <f t="shared" si="14"/>
        <v>8507</v>
      </c>
      <c r="R241" s="93">
        <v>8507</v>
      </c>
      <c r="S241" s="57" t="s">
        <v>551</v>
      </c>
    </row>
    <row r="242" spans="1:19">
      <c r="A242" s="66" t="str">
        <f t="shared" si="12"/>
        <v/>
      </c>
      <c r="Q242" s="70">
        <f t="shared" si="14"/>
        <v>8508</v>
      </c>
      <c r="R242" s="93">
        <v>8508</v>
      </c>
      <c r="S242" s="57" t="s">
        <v>552</v>
      </c>
    </row>
    <row r="243" spans="1:19">
      <c r="A243" s="66" t="str">
        <f t="shared" si="12"/>
        <v/>
      </c>
      <c r="Q243" s="70">
        <f t="shared" si="14"/>
        <v>8509</v>
      </c>
      <c r="R243" s="94">
        <v>8509</v>
      </c>
      <c r="S243" s="57" t="s">
        <v>553</v>
      </c>
    </row>
    <row r="244" spans="1:19">
      <c r="A244" s="66" t="str">
        <f t="shared" si="12"/>
        <v/>
      </c>
      <c r="Q244" s="70">
        <f t="shared" si="14"/>
        <v>8510</v>
      </c>
      <c r="R244" s="94">
        <v>8510</v>
      </c>
      <c r="S244" s="57" t="s">
        <v>554</v>
      </c>
    </row>
    <row r="245" spans="1:19">
      <c r="A245" s="66" t="str">
        <f t="shared" si="12"/>
        <v/>
      </c>
      <c r="Q245" s="70">
        <f t="shared" si="14"/>
        <v>8511</v>
      </c>
      <c r="R245" s="94">
        <v>8511</v>
      </c>
      <c r="S245" s="57" t="s">
        <v>555</v>
      </c>
    </row>
    <row r="246" spans="1:19">
      <c r="A246" s="66" t="str">
        <f t="shared" si="12"/>
        <v/>
      </c>
      <c r="Q246" s="70">
        <f t="shared" si="14"/>
        <v>8512</v>
      </c>
      <c r="R246" s="94">
        <v>8512</v>
      </c>
      <c r="S246" s="57" t="s">
        <v>556</v>
      </c>
    </row>
    <row r="247" spans="1:19">
      <c r="A247" s="66" t="str">
        <f t="shared" si="12"/>
        <v/>
      </c>
      <c r="Q247" s="70">
        <f t="shared" si="14"/>
        <v>0</v>
      </c>
      <c r="R247" s="71"/>
      <c r="S247" s="72" t="s">
        <v>557</v>
      </c>
    </row>
    <row r="248" spans="1:19">
      <c r="A248" s="66" t="str">
        <f t="shared" si="12"/>
        <v/>
      </c>
      <c r="Q248" s="70">
        <f t="shared" si="14"/>
        <v>101001</v>
      </c>
      <c r="R248" s="58">
        <v>101001</v>
      </c>
      <c r="S248" s="57" t="s">
        <v>558</v>
      </c>
    </row>
    <row r="249" spans="1:19">
      <c r="A249" s="66" t="str">
        <f t="shared" si="12"/>
        <v/>
      </c>
      <c r="Q249" s="70">
        <f t="shared" si="14"/>
        <v>101002</v>
      </c>
      <c r="R249" s="95">
        <v>101002</v>
      </c>
      <c r="S249" s="96" t="s">
        <v>559</v>
      </c>
    </row>
    <row r="250" spans="1:19">
      <c r="A250" s="66" t="str">
        <f t="shared" si="12"/>
        <v/>
      </c>
      <c r="Q250" s="70">
        <f t="shared" si="14"/>
        <v>101003</v>
      </c>
      <c r="R250" s="58">
        <v>101003</v>
      </c>
      <c r="S250" s="57" t="s">
        <v>560</v>
      </c>
    </row>
    <row r="251" spans="1:19">
      <c r="A251" s="66" t="str">
        <f t="shared" si="12"/>
        <v/>
      </c>
      <c r="Q251" s="70">
        <f t="shared" si="14"/>
        <v>101004</v>
      </c>
      <c r="R251" s="95">
        <v>101004</v>
      </c>
      <c r="S251" s="96" t="s">
        <v>561</v>
      </c>
    </row>
    <row r="252" spans="1:19">
      <c r="A252" s="66" t="str">
        <f t="shared" si="12"/>
        <v/>
      </c>
      <c r="Q252" s="70">
        <f t="shared" si="14"/>
        <v>101005</v>
      </c>
      <c r="R252" s="95">
        <v>101005</v>
      </c>
      <c r="S252" s="96" t="s">
        <v>562</v>
      </c>
    </row>
    <row r="253" spans="1:19">
      <c r="A253" s="66" t="str">
        <f t="shared" si="12"/>
        <v/>
      </c>
      <c r="Q253" s="70">
        <f t="shared" si="14"/>
        <v>101006</v>
      </c>
      <c r="R253" s="58">
        <v>101006</v>
      </c>
      <c r="S253" s="57" t="s">
        <v>563</v>
      </c>
    </row>
    <row r="254" spans="1:19">
      <c r="A254" s="66" t="str">
        <f t="shared" si="12"/>
        <v/>
      </c>
      <c r="Q254" s="70">
        <f t="shared" si="14"/>
        <v>101007</v>
      </c>
      <c r="R254" s="58">
        <v>101007</v>
      </c>
      <c r="S254" s="57" t="s">
        <v>564</v>
      </c>
    </row>
    <row r="255" spans="1:19">
      <c r="A255" s="66" t="str">
        <f t="shared" si="12"/>
        <v/>
      </c>
      <c r="Q255" s="70">
        <f t="shared" si="14"/>
        <v>101008</v>
      </c>
      <c r="R255" s="58">
        <v>101008</v>
      </c>
      <c r="S255" s="57" t="s">
        <v>57</v>
      </c>
    </row>
    <row r="256" spans="1:19">
      <c r="A256" s="66" t="str">
        <f t="shared" si="12"/>
        <v/>
      </c>
      <c r="Q256" s="70">
        <f t="shared" si="14"/>
        <v>101009</v>
      </c>
      <c r="R256" s="58">
        <v>101009</v>
      </c>
      <c r="S256" s="57" t="s">
        <v>565</v>
      </c>
    </row>
    <row r="257" spans="1:19">
      <c r="A257" s="66" t="str">
        <f t="shared" si="12"/>
        <v/>
      </c>
      <c r="Q257" s="70">
        <f t="shared" si="14"/>
        <v>101010</v>
      </c>
      <c r="R257" s="58">
        <v>101010</v>
      </c>
      <c r="S257" s="57" t="s">
        <v>566</v>
      </c>
    </row>
    <row r="258" spans="1:19">
      <c r="A258" s="66" t="str">
        <f t="shared" si="12"/>
        <v/>
      </c>
      <c r="Q258" s="70">
        <f t="shared" si="14"/>
        <v>101011</v>
      </c>
      <c r="R258" s="58">
        <v>101011</v>
      </c>
      <c r="S258" s="57" t="s">
        <v>567</v>
      </c>
    </row>
    <row r="259" spans="1:19">
      <c r="A259" s="66" t="str">
        <f t="shared" ref="A259:A319" si="15">IF(E259&lt;&gt;"","鑄造材料：{1}個"&amp;VLOOKUP(VALUE(E259),Q:S,3,),"")&amp;IF(H259&lt;&gt;"",CHAR(10)&amp;"{2}個"&amp;VLOOKUP(VALUE(H259),Q:S,3,FALSE),"")&amp;IF(K259&lt;&gt;"",CHAR(10)&amp;"{3}個"&amp;VLOOKUP(VALUE(K259),Q:S,3,FALSE),"")&amp;IF(C259&lt;&gt;"",CHAR(10)&amp;"工匠費用：{0}銀幣鑄造裝備","")</f>
        <v/>
      </c>
      <c r="Q259" s="70">
        <f t="shared" si="14"/>
        <v>101012</v>
      </c>
      <c r="R259" s="58">
        <v>101012</v>
      </c>
      <c r="S259" s="57" t="s">
        <v>568</v>
      </c>
    </row>
    <row r="260" spans="1:19">
      <c r="A260" s="66" t="str">
        <f t="shared" si="15"/>
        <v/>
      </c>
      <c r="Q260" s="70">
        <f t="shared" ref="Q260:Q323" si="16">VALUE(R260)</f>
        <v>101013</v>
      </c>
      <c r="R260" s="58">
        <v>101013</v>
      </c>
      <c r="S260" s="57" t="s">
        <v>569</v>
      </c>
    </row>
    <row r="261" spans="1:19">
      <c r="A261" s="66" t="str">
        <f t="shared" si="15"/>
        <v/>
      </c>
      <c r="Q261" s="70">
        <f t="shared" si="16"/>
        <v>101014</v>
      </c>
      <c r="R261" s="58">
        <v>101014</v>
      </c>
      <c r="S261" s="57" t="s">
        <v>570</v>
      </c>
    </row>
    <row r="262" spans="1:19">
      <c r="A262" s="66" t="str">
        <f t="shared" si="15"/>
        <v/>
      </c>
      <c r="Q262" s="70">
        <f t="shared" si="16"/>
        <v>0</v>
      </c>
      <c r="R262" s="71"/>
      <c r="S262" s="72" t="s">
        <v>571</v>
      </c>
    </row>
    <row r="263" spans="1:19">
      <c r="A263" s="66" t="str">
        <f t="shared" si="15"/>
        <v/>
      </c>
      <c r="Q263" s="70">
        <f t="shared" si="16"/>
        <v>101051</v>
      </c>
      <c r="R263" s="58">
        <v>101051</v>
      </c>
      <c r="S263" s="57" t="s">
        <v>572</v>
      </c>
    </row>
    <row r="264" spans="1:19">
      <c r="A264" s="66" t="str">
        <f t="shared" si="15"/>
        <v/>
      </c>
      <c r="Q264" s="70">
        <f t="shared" si="16"/>
        <v>0</v>
      </c>
      <c r="R264" s="71"/>
      <c r="S264" s="72" t="s">
        <v>573</v>
      </c>
    </row>
    <row r="265" spans="1:19">
      <c r="A265" s="66" t="str">
        <f t="shared" si="15"/>
        <v/>
      </c>
      <c r="Q265" s="70">
        <f t="shared" si="16"/>
        <v>101101</v>
      </c>
      <c r="R265" s="58">
        <v>101101</v>
      </c>
      <c r="S265" s="57" t="s">
        <v>139</v>
      </c>
    </row>
    <row r="266" spans="1:19">
      <c r="A266" s="66" t="str">
        <f t="shared" si="15"/>
        <v/>
      </c>
      <c r="Q266" s="70">
        <f t="shared" si="16"/>
        <v>101102</v>
      </c>
      <c r="R266" s="58">
        <v>101102</v>
      </c>
      <c r="S266" s="57" t="s">
        <v>62</v>
      </c>
    </row>
    <row r="267" spans="1:19">
      <c r="A267" s="66" t="str">
        <f t="shared" si="15"/>
        <v/>
      </c>
      <c r="Q267" s="70">
        <f t="shared" si="16"/>
        <v>101103</v>
      </c>
      <c r="R267" s="58">
        <v>101103</v>
      </c>
      <c r="S267" s="57" t="s">
        <v>78</v>
      </c>
    </row>
    <row r="268" spans="1:19">
      <c r="A268" s="66" t="str">
        <f t="shared" si="15"/>
        <v/>
      </c>
      <c r="Q268" s="70">
        <f t="shared" si="16"/>
        <v>101104</v>
      </c>
      <c r="R268" s="58">
        <v>101104</v>
      </c>
      <c r="S268" s="57" t="s">
        <v>60</v>
      </c>
    </row>
    <row r="269" spans="1:19">
      <c r="A269" s="66" t="str">
        <f t="shared" si="15"/>
        <v/>
      </c>
      <c r="Q269" s="70">
        <f t="shared" si="16"/>
        <v>101105</v>
      </c>
      <c r="R269" s="58">
        <v>101105</v>
      </c>
      <c r="S269" s="57" t="s">
        <v>79</v>
      </c>
    </row>
    <row r="270" spans="1:19">
      <c r="A270" s="66" t="str">
        <f t="shared" si="15"/>
        <v/>
      </c>
      <c r="Q270" s="70">
        <f t="shared" si="16"/>
        <v>101106</v>
      </c>
      <c r="R270" s="58">
        <v>101106</v>
      </c>
      <c r="S270" s="57" t="s">
        <v>80</v>
      </c>
    </row>
    <row r="271" spans="1:19">
      <c r="A271" s="66" t="str">
        <f t="shared" si="15"/>
        <v/>
      </c>
      <c r="Q271" s="70">
        <f t="shared" si="16"/>
        <v>101107</v>
      </c>
      <c r="R271" s="58">
        <v>101107</v>
      </c>
      <c r="S271" s="57" t="s">
        <v>81</v>
      </c>
    </row>
    <row r="272" spans="1:19">
      <c r="A272" s="66" t="str">
        <f t="shared" si="15"/>
        <v/>
      </c>
      <c r="Q272" s="70">
        <f t="shared" si="16"/>
        <v>101108</v>
      </c>
      <c r="R272" s="58">
        <v>101108</v>
      </c>
      <c r="S272" s="57" t="s">
        <v>82</v>
      </c>
    </row>
    <row r="273" spans="1:19">
      <c r="A273" s="66" t="str">
        <f t="shared" si="15"/>
        <v/>
      </c>
      <c r="Q273" s="70">
        <f t="shared" si="16"/>
        <v>101109</v>
      </c>
      <c r="R273" s="58">
        <v>101109</v>
      </c>
      <c r="S273" s="57" t="s">
        <v>83</v>
      </c>
    </row>
    <row r="274" spans="1:19">
      <c r="A274" s="66" t="str">
        <f t="shared" si="15"/>
        <v/>
      </c>
      <c r="Q274" s="70">
        <f t="shared" si="16"/>
        <v>101110</v>
      </c>
      <c r="R274" s="58">
        <v>101110</v>
      </c>
      <c r="S274" s="57" t="s">
        <v>84</v>
      </c>
    </row>
    <row r="275" spans="1:19">
      <c r="A275" s="66" t="str">
        <f t="shared" si="15"/>
        <v/>
      </c>
      <c r="Q275" s="70">
        <f t="shared" si="16"/>
        <v>101111</v>
      </c>
      <c r="R275" s="58">
        <v>101111</v>
      </c>
      <c r="S275" s="57" t="s">
        <v>85</v>
      </c>
    </row>
    <row r="276" spans="1:19">
      <c r="A276" s="66" t="str">
        <f t="shared" si="15"/>
        <v/>
      </c>
      <c r="Q276" s="70">
        <f t="shared" si="16"/>
        <v>101112</v>
      </c>
      <c r="R276" s="58">
        <v>101112</v>
      </c>
      <c r="S276" s="57" t="s">
        <v>59</v>
      </c>
    </row>
    <row r="277" spans="1:19">
      <c r="A277" s="66" t="str">
        <f t="shared" si="15"/>
        <v/>
      </c>
      <c r="Q277" s="70">
        <f t="shared" si="16"/>
        <v>101113</v>
      </c>
      <c r="R277" s="58">
        <v>101113</v>
      </c>
      <c r="S277" s="57" t="s">
        <v>86</v>
      </c>
    </row>
    <row r="278" spans="1:19">
      <c r="A278" s="66" t="str">
        <f t="shared" si="15"/>
        <v/>
      </c>
      <c r="Q278" s="70">
        <f t="shared" si="16"/>
        <v>101114</v>
      </c>
      <c r="R278" s="58">
        <v>101114</v>
      </c>
      <c r="S278" s="57" t="s">
        <v>52</v>
      </c>
    </row>
    <row r="279" spans="1:19">
      <c r="A279" s="66" t="str">
        <f t="shared" si="15"/>
        <v/>
      </c>
      <c r="Q279" s="70">
        <f t="shared" si="16"/>
        <v>101115</v>
      </c>
      <c r="R279" s="58">
        <v>101115</v>
      </c>
      <c r="S279" s="57" t="s">
        <v>87</v>
      </c>
    </row>
    <row r="280" spans="1:19">
      <c r="A280" s="66" t="str">
        <f t="shared" si="15"/>
        <v/>
      </c>
      <c r="Q280" s="70">
        <f t="shared" si="16"/>
        <v>101116</v>
      </c>
      <c r="R280" s="58">
        <v>101116</v>
      </c>
      <c r="S280" s="57" t="s">
        <v>88</v>
      </c>
    </row>
    <row r="281" spans="1:19">
      <c r="A281" s="66" t="str">
        <f t="shared" si="15"/>
        <v/>
      </c>
      <c r="Q281" s="70">
        <f t="shared" si="16"/>
        <v>101117</v>
      </c>
      <c r="R281" s="58">
        <v>101117</v>
      </c>
      <c r="S281" s="57" t="s">
        <v>89</v>
      </c>
    </row>
    <row r="282" spans="1:19">
      <c r="A282" s="66" t="str">
        <f t="shared" si="15"/>
        <v/>
      </c>
      <c r="Q282" s="70">
        <f t="shared" si="16"/>
        <v>101118</v>
      </c>
      <c r="R282" s="58">
        <v>101118</v>
      </c>
      <c r="S282" s="57" t="s">
        <v>58</v>
      </c>
    </row>
    <row r="283" spans="1:19">
      <c r="A283" s="66" t="str">
        <f t="shared" si="15"/>
        <v/>
      </c>
      <c r="Q283" s="70">
        <f t="shared" si="16"/>
        <v>101119</v>
      </c>
      <c r="R283" s="58">
        <v>101119</v>
      </c>
      <c r="S283" s="57" t="s">
        <v>61</v>
      </c>
    </row>
    <row r="284" spans="1:19">
      <c r="A284" s="66" t="str">
        <f t="shared" si="15"/>
        <v/>
      </c>
      <c r="Q284" s="70">
        <f t="shared" si="16"/>
        <v>101120</v>
      </c>
      <c r="R284" s="58">
        <v>101120</v>
      </c>
      <c r="S284" s="57" t="s">
        <v>90</v>
      </c>
    </row>
    <row r="285" spans="1:19">
      <c r="A285" s="66" t="str">
        <f t="shared" si="15"/>
        <v/>
      </c>
      <c r="Q285" s="70">
        <f t="shared" si="16"/>
        <v>101121</v>
      </c>
      <c r="R285" s="58">
        <v>101121</v>
      </c>
      <c r="S285" s="57" t="s">
        <v>91</v>
      </c>
    </row>
    <row r="286" spans="1:19">
      <c r="A286" s="66" t="str">
        <f t="shared" si="15"/>
        <v/>
      </c>
      <c r="Q286" s="70">
        <f t="shared" si="16"/>
        <v>101122</v>
      </c>
      <c r="R286" s="58">
        <v>101122</v>
      </c>
      <c r="S286" s="57" t="s">
        <v>92</v>
      </c>
    </row>
    <row r="287" spans="1:19">
      <c r="A287" s="66" t="str">
        <f t="shared" si="15"/>
        <v/>
      </c>
      <c r="Q287" s="70">
        <f t="shared" si="16"/>
        <v>101123</v>
      </c>
      <c r="R287" s="58">
        <v>101123</v>
      </c>
      <c r="S287" s="57" t="s">
        <v>93</v>
      </c>
    </row>
    <row r="288" spans="1:19">
      <c r="A288" s="66" t="str">
        <f t="shared" si="15"/>
        <v/>
      </c>
      <c r="Q288" s="70">
        <f t="shared" si="16"/>
        <v>101124</v>
      </c>
      <c r="R288" s="58">
        <v>101124</v>
      </c>
      <c r="S288" s="57" t="s">
        <v>94</v>
      </c>
    </row>
    <row r="289" spans="1:19">
      <c r="A289" s="66" t="str">
        <f t="shared" si="15"/>
        <v/>
      </c>
      <c r="Q289" s="70">
        <f t="shared" si="16"/>
        <v>101125</v>
      </c>
      <c r="R289" s="58">
        <v>101125</v>
      </c>
      <c r="S289" s="57" t="s">
        <v>140</v>
      </c>
    </row>
    <row r="290" spans="1:19">
      <c r="A290" s="66" t="str">
        <f t="shared" si="15"/>
        <v/>
      </c>
      <c r="Q290" s="70">
        <f t="shared" si="16"/>
        <v>101126</v>
      </c>
      <c r="R290" s="58">
        <v>101126</v>
      </c>
      <c r="S290" s="57" t="s">
        <v>574</v>
      </c>
    </row>
    <row r="291" spans="1:19">
      <c r="A291" s="66" t="str">
        <f t="shared" si="15"/>
        <v/>
      </c>
      <c r="Q291" s="70">
        <f t="shared" si="16"/>
        <v>101127</v>
      </c>
      <c r="R291" s="58">
        <v>101127</v>
      </c>
      <c r="S291" s="57" t="s">
        <v>95</v>
      </c>
    </row>
    <row r="292" spans="1:19">
      <c r="A292" s="66" t="str">
        <f t="shared" si="15"/>
        <v/>
      </c>
      <c r="Q292" s="70">
        <f t="shared" si="16"/>
        <v>101128</v>
      </c>
      <c r="R292" s="58">
        <v>101128</v>
      </c>
      <c r="S292" s="57" t="s">
        <v>575</v>
      </c>
    </row>
    <row r="293" spans="1:19">
      <c r="A293" s="66" t="str">
        <f t="shared" si="15"/>
        <v/>
      </c>
      <c r="Q293" s="70">
        <f t="shared" si="16"/>
        <v>101129</v>
      </c>
      <c r="R293" s="58">
        <v>101129</v>
      </c>
      <c r="S293" s="57" t="s">
        <v>96</v>
      </c>
    </row>
    <row r="294" spans="1:19">
      <c r="A294" s="66" t="str">
        <f t="shared" si="15"/>
        <v/>
      </c>
      <c r="Q294" s="70">
        <f t="shared" si="16"/>
        <v>101130</v>
      </c>
      <c r="R294" s="58">
        <v>101130</v>
      </c>
      <c r="S294" s="57" t="s">
        <v>576</v>
      </c>
    </row>
    <row r="295" spans="1:19">
      <c r="A295" s="66" t="str">
        <f t="shared" si="15"/>
        <v/>
      </c>
      <c r="Q295" s="70">
        <f t="shared" si="16"/>
        <v>101131</v>
      </c>
      <c r="R295" s="58">
        <v>101131</v>
      </c>
      <c r="S295" s="57" t="s">
        <v>577</v>
      </c>
    </row>
    <row r="296" spans="1:19">
      <c r="A296" s="66" t="str">
        <f t="shared" si="15"/>
        <v/>
      </c>
      <c r="Q296" s="70">
        <f t="shared" si="16"/>
        <v>101132</v>
      </c>
      <c r="R296" s="58">
        <v>101132</v>
      </c>
      <c r="S296" s="57" t="s">
        <v>98</v>
      </c>
    </row>
    <row r="297" spans="1:19">
      <c r="A297" s="66" t="str">
        <f t="shared" si="15"/>
        <v/>
      </c>
      <c r="Q297" s="70">
        <f t="shared" si="16"/>
        <v>101133</v>
      </c>
      <c r="R297" s="58">
        <v>101133</v>
      </c>
      <c r="S297" s="57" t="s">
        <v>99</v>
      </c>
    </row>
    <row r="298" spans="1:19">
      <c r="A298" s="66" t="str">
        <f t="shared" si="15"/>
        <v/>
      </c>
      <c r="Q298" s="70">
        <f t="shared" si="16"/>
        <v>101134</v>
      </c>
      <c r="R298" s="58">
        <v>101134</v>
      </c>
      <c r="S298" s="57" t="s">
        <v>100</v>
      </c>
    </row>
    <row r="299" spans="1:19">
      <c r="A299" s="66" t="str">
        <f t="shared" si="15"/>
        <v/>
      </c>
      <c r="Q299" s="70">
        <f t="shared" si="16"/>
        <v>101135</v>
      </c>
      <c r="R299" s="58">
        <v>101135</v>
      </c>
      <c r="S299" s="57" t="s">
        <v>101</v>
      </c>
    </row>
    <row r="300" spans="1:19">
      <c r="A300" s="66" t="str">
        <f t="shared" si="15"/>
        <v/>
      </c>
      <c r="Q300" s="70">
        <f t="shared" si="16"/>
        <v>0</v>
      </c>
      <c r="R300" s="71"/>
      <c r="S300" s="72" t="s">
        <v>578</v>
      </c>
    </row>
    <row r="301" spans="1:19">
      <c r="A301" s="66" t="str">
        <f t="shared" si="15"/>
        <v/>
      </c>
      <c r="Q301" s="70">
        <f t="shared" si="16"/>
        <v>101201</v>
      </c>
      <c r="R301" s="58">
        <v>101201</v>
      </c>
      <c r="S301" s="57" t="s">
        <v>579</v>
      </c>
    </row>
    <row r="302" spans="1:19">
      <c r="A302" s="66" t="str">
        <f t="shared" si="15"/>
        <v/>
      </c>
      <c r="Q302" s="70">
        <f t="shared" si="16"/>
        <v>101202</v>
      </c>
      <c r="R302" s="58">
        <v>101202</v>
      </c>
      <c r="S302" s="57" t="s">
        <v>580</v>
      </c>
    </row>
    <row r="303" spans="1:19">
      <c r="A303" s="66" t="str">
        <f t="shared" si="15"/>
        <v/>
      </c>
      <c r="Q303" s="70">
        <f t="shared" si="16"/>
        <v>101203</v>
      </c>
      <c r="R303" s="58">
        <v>101203</v>
      </c>
      <c r="S303" s="57" t="s">
        <v>581</v>
      </c>
    </row>
    <row r="304" spans="1:19">
      <c r="A304" s="66" t="str">
        <f t="shared" si="15"/>
        <v/>
      </c>
      <c r="Q304" s="70">
        <f t="shared" si="16"/>
        <v>101204</v>
      </c>
      <c r="R304" s="58">
        <v>101204</v>
      </c>
      <c r="S304" s="57" t="s">
        <v>582</v>
      </c>
    </row>
    <row r="305" spans="1:19">
      <c r="A305" s="66" t="str">
        <f t="shared" si="15"/>
        <v/>
      </c>
      <c r="Q305" s="70">
        <f t="shared" si="16"/>
        <v>101205</v>
      </c>
      <c r="R305" s="58">
        <v>101205</v>
      </c>
      <c r="S305" s="57" t="s">
        <v>583</v>
      </c>
    </row>
    <row r="306" spans="1:19">
      <c r="A306" s="66" t="str">
        <f t="shared" si="15"/>
        <v/>
      </c>
      <c r="Q306" s="70">
        <f t="shared" si="16"/>
        <v>101206</v>
      </c>
      <c r="R306" s="58">
        <v>101206</v>
      </c>
      <c r="S306" s="57" t="s">
        <v>584</v>
      </c>
    </row>
    <row r="307" spans="1:19">
      <c r="A307" s="66" t="str">
        <f t="shared" si="15"/>
        <v/>
      </c>
      <c r="Q307" s="70">
        <f t="shared" si="16"/>
        <v>101207</v>
      </c>
      <c r="R307" s="58">
        <v>101207</v>
      </c>
      <c r="S307" s="57" t="s">
        <v>585</v>
      </c>
    </row>
    <row r="308" spans="1:19">
      <c r="A308" s="66" t="str">
        <f t="shared" si="15"/>
        <v/>
      </c>
      <c r="Q308" s="70">
        <f t="shared" si="16"/>
        <v>101208</v>
      </c>
      <c r="R308" s="58">
        <v>101208</v>
      </c>
      <c r="S308" s="57" t="s">
        <v>586</v>
      </c>
    </row>
    <row r="309" spans="1:19">
      <c r="A309" s="66" t="str">
        <f t="shared" si="15"/>
        <v/>
      </c>
      <c r="Q309" s="70">
        <f t="shared" si="16"/>
        <v>101209</v>
      </c>
      <c r="R309" s="58">
        <v>101209</v>
      </c>
      <c r="S309" s="57" t="s">
        <v>587</v>
      </c>
    </row>
    <row r="310" spans="1:19">
      <c r="A310" s="66" t="str">
        <f t="shared" si="15"/>
        <v/>
      </c>
      <c r="Q310" s="70">
        <f t="shared" si="16"/>
        <v>101210</v>
      </c>
      <c r="R310" s="58">
        <v>101210</v>
      </c>
      <c r="S310" s="57" t="s">
        <v>588</v>
      </c>
    </row>
    <row r="311" spans="1:19">
      <c r="A311" s="66" t="str">
        <f t="shared" si="15"/>
        <v/>
      </c>
      <c r="Q311" s="70">
        <f t="shared" si="16"/>
        <v>101211</v>
      </c>
      <c r="R311" s="58">
        <v>101211</v>
      </c>
      <c r="S311" s="57" t="s">
        <v>589</v>
      </c>
    </row>
    <row r="312" spans="1:19">
      <c r="A312" s="66" t="str">
        <f t="shared" si="15"/>
        <v/>
      </c>
      <c r="Q312" s="70">
        <f t="shared" si="16"/>
        <v>101212</v>
      </c>
      <c r="R312" s="58">
        <v>101212</v>
      </c>
      <c r="S312" s="57" t="s">
        <v>590</v>
      </c>
    </row>
    <row r="313" spans="1:19">
      <c r="A313" s="66" t="str">
        <f t="shared" si="15"/>
        <v/>
      </c>
      <c r="Q313" s="70">
        <f t="shared" si="16"/>
        <v>101213</v>
      </c>
      <c r="R313" s="58">
        <v>101213</v>
      </c>
      <c r="S313" s="57" t="s">
        <v>591</v>
      </c>
    </row>
    <row r="314" spans="1:19">
      <c r="A314" s="66" t="str">
        <f t="shared" si="15"/>
        <v/>
      </c>
      <c r="Q314" s="70">
        <f t="shared" si="16"/>
        <v>101214</v>
      </c>
      <c r="R314" s="58">
        <v>101214</v>
      </c>
      <c r="S314" s="57" t="s">
        <v>592</v>
      </c>
    </row>
    <row r="315" spans="1:19">
      <c r="A315" s="66" t="str">
        <f t="shared" si="15"/>
        <v/>
      </c>
      <c r="Q315" s="70">
        <f t="shared" si="16"/>
        <v>101215</v>
      </c>
      <c r="R315" s="58">
        <v>101215</v>
      </c>
      <c r="S315" s="57" t="s">
        <v>593</v>
      </c>
    </row>
    <row r="316" spans="1:19">
      <c r="A316" s="66" t="str">
        <f t="shared" si="15"/>
        <v/>
      </c>
      <c r="Q316" s="70">
        <f t="shared" si="16"/>
        <v>101216</v>
      </c>
      <c r="R316" s="58">
        <v>101216</v>
      </c>
      <c r="S316" s="57" t="s">
        <v>594</v>
      </c>
    </row>
    <row r="317" spans="1:19">
      <c r="A317" s="66" t="str">
        <f t="shared" si="15"/>
        <v/>
      </c>
      <c r="Q317" s="70">
        <f t="shared" si="16"/>
        <v>101217</v>
      </c>
      <c r="R317" s="58">
        <v>101217</v>
      </c>
      <c r="S317" s="57" t="s">
        <v>595</v>
      </c>
    </row>
    <row r="318" spans="1:19">
      <c r="A318" s="66" t="str">
        <f t="shared" si="15"/>
        <v/>
      </c>
      <c r="Q318" s="70">
        <f t="shared" si="16"/>
        <v>101218</v>
      </c>
      <c r="R318" s="58">
        <v>101218</v>
      </c>
      <c r="S318" s="57" t="s">
        <v>596</v>
      </c>
    </row>
    <row r="319" spans="1:19">
      <c r="A319" s="66" t="str">
        <f t="shared" si="15"/>
        <v/>
      </c>
      <c r="Q319" s="70">
        <f t="shared" si="16"/>
        <v>101219</v>
      </c>
      <c r="R319" s="58">
        <v>101219</v>
      </c>
      <c r="S319" s="57" t="s">
        <v>174</v>
      </c>
    </row>
    <row r="320" spans="1:19">
      <c r="Q320" s="70">
        <f t="shared" si="16"/>
        <v>101220</v>
      </c>
      <c r="R320" s="58">
        <v>101220</v>
      </c>
      <c r="S320" s="57" t="s">
        <v>597</v>
      </c>
    </row>
    <row r="321" spans="17:19">
      <c r="Q321" s="70">
        <f t="shared" si="16"/>
        <v>101221</v>
      </c>
      <c r="R321" s="58">
        <v>101221</v>
      </c>
      <c r="S321" s="57" t="s">
        <v>598</v>
      </c>
    </row>
    <row r="322" spans="17:19">
      <c r="Q322" s="70">
        <f t="shared" si="16"/>
        <v>101222</v>
      </c>
      <c r="R322" s="58">
        <v>101222</v>
      </c>
      <c r="S322" s="57" t="s">
        <v>599</v>
      </c>
    </row>
    <row r="323" spans="17:19">
      <c r="Q323" s="70">
        <f t="shared" si="16"/>
        <v>101223</v>
      </c>
      <c r="R323" s="58">
        <v>101223</v>
      </c>
      <c r="S323" s="57" t="s">
        <v>600</v>
      </c>
    </row>
    <row r="324" spans="17:19">
      <c r="Q324" s="70">
        <f t="shared" ref="Q324:Q387" si="17">VALUE(R324)</f>
        <v>101224</v>
      </c>
      <c r="R324" s="58">
        <v>101224</v>
      </c>
      <c r="S324" s="57" t="s">
        <v>601</v>
      </c>
    </row>
    <row r="325" spans="17:19">
      <c r="Q325" s="70">
        <f t="shared" si="17"/>
        <v>101225</v>
      </c>
      <c r="R325" s="58">
        <v>101225</v>
      </c>
      <c r="S325" s="57" t="s">
        <v>602</v>
      </c>
    </row>
    <row r="326" spans="17:19">
      <c r="Q326" s="70">
        <f t="shared" si="17"/>
        <v>101226</v>
      </c>
      <c r="R326" s="58">
        <v>101226</v>
      </c>
      <c r="S326" s="57" t="s">
        <v>603</v>
      </c>
    </row>
    <row r="327" spans="17:19">
      <c r="Q327" s="70">
        <f t="shared" si="17"/>
        <v>101227</v>
      </c>
      <c r="R327" s="58">
        <v>101227</v>
      </c>
      <c r="S327" s="57" t="s">
        <v>604</v>
      </c>
    </row>
    <row r="328" spans="17:19">
      <c r="Q328" s="70">
        <f t="shared" si="17"/>
        <v>101228</v>
      </c>
      <c r="R328" s="58">
        <v>101228</v>
      </c>
      <c r="S328" s="57" t="s">
        <v>605</v>
      </c>
    </row>
    <row r="329" spans="17:19">
      <c r="Q329" s="70">
        <f t="shared" si="17"/>
        <v>101229</v>
      </c>
      <c r="R329" s="58">
        <v>101229</v>
      </c>
      <c r="S329" s="57" t="s">
        <v>606</v>
      </c>
    </row>
    <row r="330" spans="17:19">
      <c r="Q330" s="70">
        <f t="shared" si="17"/>
        <v>101230</v>
      </c>
      <c r="R330" s="58">
        <v>101230</v>
      </c>
      <c r="S330" s="57" t="s">
        <v>607</v>
      </c>
    </row>
    <row r="331" spans="17:19">
      <c r="Q331" s="70">
        <f t="shared" si="17"/>
        <v>101231</v>
      </c>
      <c r="R331" s="58">
        <v>101231</v>
      </c>
      <c r="S331" s="57" t="s">
        <v>608</v>
      </c>
    </row>
    <row r="332" spans="17:19">
      <c r="Q332" s="70">
        <f t="shared" si="17"/>
        <v>101232</v>
      </c>
      <c r="R332" s="58">
        <v>101232</v>
      </c>
      <c r="S332" s="57" t="s">
        <v>609</v>
      </c>
    </row>
    <row r="333" spans="17:19">
      <c r="Q333" s="70">
        <f t="shared" si="17"/>
        <v>101233</v>
      </c>
      <c r="R333" s="58">
        <v>101233</v>
      </c>
      <c r="S333" s="57" t="s">
        <v>610</v>
      </c>
    </row>
    <row r="334" spans="17:19">
      <c r="Q334" s="70">
        <f t="shared" si="17"/>
        <v>101234</v>
      </c>
      <c r="R334" s="58">
        <v>101234</v>
      </c>
      <c r="S334" s="57" t="s">
        <v>611</v>
      </c>
    </row>
    <row r="335" spans="17:19">
      <c r="Q335" s="70">
        <f t="shared" si="17"/>
        <v>101235</v>
      </c>
      <c r="R335" s="58">
        <v>101235</v>
      </c>
      <c r="S335" s="57" t="s">
        <v>612</v>
      </c>
    </row>
    <row r="336" spans="17:19">
      <c r="Q336" s="70">
        <f t="shared" si="17"/>
        <v>0</v>
      </c>
      <c r="R336" s="71"/>
      <c r="S336" s="72" t="s">
        <v>613</v>
      </c>
    </row>
    <row r="337" spans="17:19">
      <c r="Q337" s="70">
        <f t="shared" si="17"/>
        <v>101401</v>
      </c>
      <c r="R337" s="58">
        <v>101401</v>
      </c>
      <c r="S337" s="57" t="s">
        <v>614</v>
      </c>
    </row>
    <row r="338" spans="17:19">
      <c r="Q338" s="70">
        <f t="shared" si="17"/>
        <v>101402</v>
      </c>
      <c r="R338" s="58">
        <v>101402</v>
      </c>
      <c r="S338" s="57" t="s">
        <v>615</v>
      </c>
    </row>
    <row r="339" spans="17:19">
      <c r="Q339" s="70">
        <f t="shared" si="17"/>
        <v>101403</v>
      </c>
      <c r="R339" s="58">
        <v>101403</v>
      </c>
      <c r="S339" s="57" t="s">
        <v>616</v>
      </c>
    </row>
    <row r="340" spans="17:19">
      <c r="Q340" s="70">
        <f t="shared" si="17"/>
        <v>101404</v>
      </c>
      <c r="R340" s="58">
        <v>101404</v>
      </c>
      <c r="S340" s="57" t="s">
        <v>617</v>
      </c>
    </row>
    <row r="341" spans="17:19">
      <c r="Q341" s="70">
        <f t="shared" si="17"/>
        <v>0</v>
      </c>
      <c r="R341" s="71"/>
      <c r="S341" s="72"/>
    </row>
    <row r="342" spans="17:19">
      <c r="Q342" s="70">
        <f t="shared" si="17"/>
        <v>101501</v>
      </c>
      <c r="R342" s="58">
        <v>101501</v>
      </c>
      <c r="S342" s="57" t="s">
        <v>618</v>
      </c>
    </row>
    <row r="343" spans="17:19">
      <c r="Q343" s="70">
        <f t="shared" si="17"/>
        <v>101502</v>
      </c>
      <c r="R343" s="58">
        <v>101502</v>
      </c>
      <c r="S343" s="57" t="s">
        <v>619</v>
      </c>
    </row>
    <row r="344" spans="17:19">
      <c r="Q344" s="70">
        <f t="shared" si="17"/>
        <v>101503</v>
      </c>
      <c r="R344" s="58">
        <v>101503</v>
      </c>
      <c r="S344" s="57" t="s">
        <v>620</v>
      </c>
    </row>
    <row r="345" spans="17:19">
      <c r="Q345" s="70">
        <f t="shared" si="17"/>
        <v>101504</v>
      </c>
      <c r="R345" s="58">
        <v>101504</v>
      </c>
      <c r="S345" s="57" t="s">
        <v>621</v>
      </c>
    </row>
    <row r="346" spans="17:19">
      <c r="Q346" s="70">
        <f t="shared" si="17"/>
        <v>101505</v>
      </c>
      <c r="R346" s="58">
        <v>101505</v>
      </c>
      <c r="S346" s="57" t="s">
        <v>622</v>
      </c>
    </row>
    <row r="347" spans="17:19">
      <c r="Q347" s="70">
        <f t="shared" si="17"/>
        <v>101506</v>
      </c>
      <c r="R347" s="58">
        <v>101506</v>
      </c>
      <c r="S347" s="57" t="s">
        <v>623</v>
      </c>
    </row>
    <row r="348" spans="17:19">
      <c r="Q348" s="70">
        <f t="shared" si="17"/>
        <v>0</v>
      </c>
      <c r="R348" s="71"/>
      <c r="S348" s="72"/>
    </row>
    <row r="349" spans="17:19">
      <c r="Q349" s="70">
        <f t="shared" si="17"/>
        <v>101601</v>
      </c>
      <c r="R349" s="58">
        <v>101601</v>
      </c>
      <c r="S349" s="57" t="s">
        <v>624</v>
      </c>
    </row>
    <row r="350" spans="17:19">
      <c r="Q350" s="70">
        <f t="shared" si="17"/>
        <v>101602</v>
      </c>
      <c r="R350" s="58">
        <v>101602</v>
      </c>
      <c r="S350" s="57" t="s">
        <v>625</v>
      </c>
    </row>
    <row r="351" spans="17:19">
      <c r="Q351" s="70">
        <f t="shared" si="17"/>
        <v>101603</v>
      </c>
      <c r="R351" s="58">
        <v>101603</v>
      </c>
      <c r="S351" s="57" t="s">
        <v>626</v>
      </c>
    </row>
    <row r="352" spans="17:19">
      <c r="Q352" s="70">
        <f t="shared" si="17"/>
        <v>101604</v>
      </c>
      <c r="R352" s="58">
        <v>101604</v>
      </c>
      <c r="S352" s="57" t="s">
        <v>627</v>
      </c>
    </row>
    <row r="353" spans="17:19">
      <c r="Q353" s="70">
        <f t="shared" si="17"/>
        <v>101605</v>
      </c>
      <c r="R353" s="58">
        <v>101605</v>
      </c>
      <c r="S353" s="57" t="s">
        <v>628</v>
      </c>
    </row>
    <row r="354" spans="17:19">
      <c r="Q354" s="70">
        <f t="shared" si="17"/>
        <v>101606</v>
      </c>
      <c r="R354" s="58">
        <v>101606</v>
      </c>
      <c r="S354" s="57" t="s">
        <v>629</v>
      </c>
    </row>
    <row r="355" spans="17:19">
      <c r="Q355" s="70">
        <f t="shared" si="17"/>
        <v>0</v>
      </c>
      <c r="R355" s="71"/>
      <c r="S355" s="72" t="s">
        <v>630</v>
      </c>
    </row>
    <row r="356" spans="17:19">
      <c r="Q356" s="70">
        <f t="shared" si="17"/>
        <v>101901</v>
      </c>
      <c r="R356" s="91">
        <v>101901</v>
      </c>
      <c r="S356" s="92" t="s">
        <v>631</v>
      </c>
    </row>
    <row r="357" spans="17:19">
      <c r="Q357" s="70">
        <f t="shared" si="17"/>
        <v>0</v>
      </c>
      <c r="R357" s="71"/>
      <c r="S357" s="72" t="s">
        <v>632</v>
      </c>
    </row>
    <row r="358" spans="17:19">
      <c r="Q358" s="70">
        <f t="shared" si="17"/>
        <v>102001</v>
      </c>
      <c r="R358" s="58">
        <v>102001</v>
      </c>
      <c r="S358" s="57" t="s">
        <v>633</v>
      </c>
    </row>
    <row r="359" spans="17:19">
      <c r="Q359" s="70">
        <f t="shared" si="17"/>
        <v>102002</v>
      </c>
      <c r="R359" s="58">
        <v>102002</v>
      </c>
      <c r="S359" s="57" t="s">
        <v>634</v>
      </c>
    </row>
    <row r="360" spans="17:19">
      <c r="Q360" s="70">
        <f t="shared" si="17"/>
        <v>102003</v>
      </c>
      <c r="R360" s="58">
        <v>102003</v>
      </c>
      <c r="S360" s="57" t="s">
        <v>635</v>
      </c>
    </row>
    <row r="361" spans="17:19">
      <c r="Q361" s="70">
        <f t="shared" si="17"/>
        <v>102004</v>
      </c>
      <c r="R361" s="58">
        <v>102004</v>
      </c>
      <c r="S361" s="57" t="s">
        <v>636</v>
      </c>
    </row>
    <row r="362" spans="17:19">
      <c r="Q362" s="70">
        <f t="shared" si="17"/>
        <v>102005</v>
      </c>
      <c r="R362" s="58">
        <v>102005</v>
      </c>
      <c r="S362" s="57" t="s">
        <v>637</v>
      </c>
    </row>
    <row r="363" spans="17:19">
      <c r="Q363" s="70">
        <f t="shared" si="17"/>
        <v>102006</v>
      </c>
      <c r="R363" s="58">
        <v>102006</v>
      </c>
      <c r="S363" s="57" t="s">
        <v>638</v>
      </c>
    </row>
    <row r="364" spans="17:19">
      <c r="Q364" s="70">
        <f t="shared" si="17"/>
        <v>102007</v>
      </c>
      <c r="R364" s="58">
        <v>102007</v>
      </c>
      <c r="S364" s="57" t="s">
        <v>639</v>
      </c>
    </row>
    <row r="365" spans="17:19">
      <c r="Q365" s="70">
        <f t="shared" si="17"/>
        <v>102008</v>
      </c>
      <c r="R365" s="58">
        <v>102008</v>
      </c>
      <c r="S365" s="57" t="s">
        <v>640</v>
      </c>
    </row>
    <row r="366" spans="17:19">
      <c r="Q366" s="70">
        <f t="shared" si="17"/>
        <v>102009</v>
      </c>
      <c r="R366" s="58">
        <v>102009</v>
      </c>
      <c r="S366" s="57" t="s">
        <v>641</v>
      </c>
    </row>
    <row r="367" spans="17:19">
      <c r="Q367" s="70">
        <f t="shared" si="17"/>
        <v>102010</v>
      </c>
      <c r="R367" s="58">
        <v>102010</v>
      </c>
      <c r="S367" s="57" t="s">
        <v>642</v>
      </c>
    </row>
    <row r="368" spans="17:19">
      <c r="Q368" s="70">
        <f t="shared" si="17"/>
        <v>102011</v>
      </c>
      <c r="R368" s="58">
        <v>102011</v>
      </c>
      <c r="S368" s="57" t="s">
        <v>643</v>
      </c>
    </row>
    <row r="369" spans="17:19">
      <c r="Q369" s="70">
        <f t="shared" si="17"/>
        <v>102012</v>
      </c>
      <c r="R369" s="58">
        <v>102012</v>
      </c>
      <c r="S369" s="57" t="s">
        <v>644</v>
      </c>
    </row>
    <row r="370" spans="17:19">
      <c r="Q370" s="70">
        <f t="shared" si="17"/>
        <v>0</v>
      </c>
      <c r="R370" s="71"/>
      <c r="S370" s="72" t="s">
        <v>645</v>
      </c>
    </row>
    <row r="371" spans="17:19">
      <c r="Q371" s="70">
        <f t="shared" si="17"/>
        <v>103001</v>
      </c>
      <c r="R371" s="58">
        <v>103001</v>
      </c>
      <c r="S371" s="57" t="s">
        <v>646</v>
      </c>
    </row>
    <row r="372" spans="17:19">
      <c r="Q372" s="70">
        <f t="shared" si="17"/>
        <v>103002</v>
      </c>
      <c r="R372" s="58">
        <v>103002</v>
      </c>
      <c r="S372" s="57" t="s">
        <v>647</v>
      </c>
    </row>
    <row r="373" spans="17:19">
      <c r="Q373" s="70">
        <f t="shared" si="17"/>
        <v>103003</v>
      </c>
      <c r="R373" s="58">
        <v>103003</v>
      </c>
      <c r="S373" s="57" t="s">
        <v>648</v>
      </c>
    </row>
    <row r="374" spans="17:19">
      <c r="Q374" s="70">
        <f t="shared" si="17"/>
        <v>103004</v>
      </c>
      <c r="R374" s="58">
        <v>103004</v>
      </c>
      <c r="S374" s="57" t="s">
        <v>649</v>
      </c>
    </row>
    <row r="375" spans="17:19">
      <c r="Q375" s="70">
        <f t="shared" si="17"/>
        <v>103005</v>
      </c>
      <c r="R375" s="58">
        <v>103005</v>
      </c>
      <c r="S375" s="57" t="s">
        <v>650</v>
      </c>
    </row>
    <row r="376" spans="17:19">
      <c r="Q376" s="70">
        <f t="shared" si="17"/>
        <v>103006</v>
      </c>
      <c r="R376" s="58">
        <v>103006</v>
      </c>
      <c r="S376" s="57" t="s">
        <v>651</v>
      </c>
    </row>
    <row r="377" spans="17:19">
      <c r="Q377" s="70">
        <f t="shared" si="17"/>
        <v>103007</v>
      </c>
      <c r="R377" s="58">
        <v>103007</v>
      </c>
      <c r="S377" s="57" t="s">
        <v>652</v>
      </c>
    </row>
    <row r="378" spans="17:19">
      <c r="Q378" s="70">
        <f t="shared" si="17"/>
        <v>103008</v>
      </c>
      <c r="R378" s="58">
        <v>103008</v>
      </c>
      <c r="S378" s="57" t="s">
        <v>653</v>
      </c>
    </row>
    <row r="379" spans="17:19">
      <c r="Q379" s="70">
        <f t="shared" si="17"/>
        <v>103009</v>
      </c>
      <c r="R379" s="58">
        <v>103009</v>
      </c>
      <c r="S379" s="57" t="s">
        <v>654</v>
      </c>
    </row>
    <row r="380" spans="17:19">
      <c r="Q380" s="70">
        <f t="shared" si="17"/>
        <v>103010</v>
      </c>
      <c r="R380" s="58">
        <v>103010</v>
      </c>
      <c r="S380" s="57" t="s">
        <v>655</v>
      </c>
    </row>
    <row r="381" spans="17:19">
      <c r="Q381" s="70">
        <f t="shared" si="17"/>
        <v>103011</v>
      </c>
      <c r="R381" s="58">
        <v>103011</v>
      </c>
      <c r="S381" s="57" t="s">
        <v>656</v>
      </c>
    </row>
    <row r="382" spans="17:19">
      <c r="Q382" s="70">
        <f t="shared" si="17"/>
        <v>103012</v>
      </c>
      <c r="R382" s="58">
        <v>103012</v>
      </c>
      <c r="S382" s="57" t="s">
        <v>657</v>
      </c>
    </row>
    <row r="383" spans="17:19">
      <c r="Q383" s="70">
        <f t="shared" si="17"/>
        <v>0</v>
      </c>
      <c r="R383" s="71"/>
      <c r="S383" s="72" t="s">
        <v>658</v>
      </c>
    </row>
    <row r="384" spans="17:19">
      <c r="Q384" s="70">
        <f t="shared" si="17"/>
        <v>103051</v>
      </c>
      <c r="R384" s="58">
        <v>103051</v>
      </c>
      <c r="S384" s="57" t="s">
        <v>659</v>
      </c>
    </row>
    <row r="385" spans="17:19">
      <c r="Q385" s="70">
        <f t="shared" si="17"/>
        <v>0</v>
      </c>
      <c r="R385" s="71"/>
      <c r="S385" s="72" t="s">
        <v>660</v>
      </c>
    </row>
    <row r="386" spans="17:19">
      <c r="Q386" s="70">
        <f t="shared" si="17"/>
        <v>103101</v>
      </c>
      <c r="R386" s="58">
        <v>103101</v>
      </c>
      <c r="S386" s="57" t="s">
        <v>68</v>
      </c>
    </row>
    <row r="387" spans="17:19">
      <c r="Q387" s="70">
        <f t="shared" si="17"/>
        <v>103102</v>
      </c>
      <c r="R387" s="58">
        <v>103102</v>
      </c>
      <c r="S387" s="57" t="s">
        <v>661</v>
      </c>
    </row>
    <row r="388" spans="17:19">
      <c r="Q388" s="70">
        <f t="shared" ref="Q388:Q451" si="18">VALUE(R388)</f>
        <v>103103</v>
      </c>
      <c r="R388" s="58">
        <v>103103</v>
      </c>
      <c r="S388" s="57" t="s">
        <v>69</v>
      </c>
    </row>
    <row r="389" spans="17:19">
      <c r="Q389" s="70">
        <f t="shared" si="18"/>
        <v>103104</v>
      </c>
      <c r="R389" s="58">
        <v>103104</v>
      </c>
      <c r="S389" s="57" t="s">
        <v>70</v>
      </c>
    </row>
    <row r="390" spans="17:19">
      <c r="Q390" s="70">
        <f t="shared" si="18"/>
        <v>103105</v>
      </c>
      <c r="R390" s="58">
        <v>103105</v>
      </c>
      <c r="S390" s="57" t="s">
        <v>71</v>
      </c>
    </row>
    <row r="391" spans="17:19">
      <c r="Q391" s="70">
        <f t="shared" si="18"/>
        <v>103106</v>
      </c>
      <c r="R391" s="58">
        <v>103106</v>
      </c>
      <c r="S391" s="57" t="s">
        <v>72</v>
      </c>
    </row>
    <row r="392" spans="17:19">
      <c r="Q392" s="70">
        <f t="shared" si="18"/>
        <v>103107</v>
      </c>
      <c r="R392" s="58">
        <v>103107</v>
      </c>
      <c r="S392" s="57" t="s">
        <v>73</v>
      </c>
    </row>
    <row r="393" spans="17:19">
      <c r="Q393" s="70">
        <f t="shared" si="18"/>
        <v>103108</v>
      </c>
      <c r="R393" s="58">
        <v>103108</v>
      </c>
      <c r="S393" s="57" t="s">
        <v>662</v>
      </c>
    </row>
    <row r="394" spans="17:19">
      <c r="Q394" s="70">
        <f t="shared" si="18"/>
        <v>103109</v>
      </c>
      <c r="R394" s="58">
        <v>103109</v>
      </c>
      <c r="S394" s="57" t="s">
        <v>74</v>
      </c>
    </row>
    <row r="395" spans="17:19">
      <c r="Q395" s="70">
        <f t="shared" si="18"/>
        <v>103110</v>
      </c>
      <c r="R395" s="58">
        <v>103110</v>
      </c>
      <c r="S395" s="57" t="s">
        <v>663</v>
      </c>
    </row>
    <row r="396" spans="17:19">
      <c r="Q396" s="70">
        <f t="shared" si="18"/>
        <v>103111</v>
      </c>
      <c r="R396" s="58">
        <v>103111</v>
      </c>
      <c r="S396" s="57" t="s">
        <v>67</v>
      </c>
    </row>
    <row r="397" spans="17:19">
      <c r="Q397" s="70">
        <f t="shared" si="18"/>
        <v>103112</v>
      </c>
      <c r="R397" s="58">
        <v>103112</v>
      </c>
      <c r="S397" s="57" t="s">
        <v>108</v>
      </c>
    </row>
    <row r="398" spans="17:19">
      <c r="Q398" s="70">
        <f t="shared" si="18"/>
        <v>103113</v>
      </c>
      <c r="R398" s="58">
        <v>103113</v>
      </c>
      <c r="S398" s="57" t="s">
        <v>111</v>
      </c>
    </row>
    <row r="399" spans="17:19">
      <c r="Q399" s="70">
        <f t="shared" si="18"/>
        <v>103114</v>
      </c>
      <c r="R399" s="58">
        <v>103114</v>
      </c>
      <c r="S399" s="57" t="s">
        <v>112</v>
      </c>
    </row>
    <row r="400" spans="17:19">
      <c r="Q400" s="70">
        <f t="shared" si="18"/>
        <v>103115</v>
      </c>
      <c r="R400" s="58">
        <v>103115</v>
      </c>
      <c r="S400" s="57" t="s">
        <v>113</v>
      </c>
    </row>
    <row r="401" spans="17:19">
      <c r="Q401" s="70">
        <f t="shared" si="18"/>
        <v>103116</v>
      </c>
      <c r="R401" s="58">
        <v>103116</v>
      </c>
      <c r="S401" s="57" t="s">
        <v>114</v>
      </c>
    </row>
    <row r="402" spans="17:19">
      <c r="Q402" s="70">
        <f t="shared" si="18"/>
        <v>103117</v>
      </c>
      <c r="R402" s="58">
        <v>103117</v>
      </c>
      <c r="S402" s="57" t="s">
        <v>664</v>
      </c>
    </row>
    <row r="403" spans="17:19">
      <c r="Q403" s="70">
        <f t="shared" si="18"/>
        <v>103118</v>
      </c>
      <c r="R403" s="58">
        <v>103118</v>
      </c>
      <c r="S403" s="57" t="s">
        <v>110</v>
      </c>
    </row>
    <row r="404" spans="17:19">
      <c r="Q404" s="70">
        <f t="shared" si="18"/>
        <v>103119</v>
      </c>
      <c r="R404" s="58">
        <v>103119</v>
      </c>
      <c r="S404" s="57" t="s">
        <v>115</v>
      </c>
    </row>
    <row r="405" spans="17:19">
      <c r="Q405" s="70">
        <f t="shared" si="18"/>
        <v>103120</v>
      </c>
      <c r="R405" s="58">
        <v>103120</v>
      </c>
      <c r="S405" s="57" t="s">
        <v>109</v>
      </c>
    </row>
    <row r="406" spans="17:19">
      <c r="Q406" s="70">
        <f t="shared" si="18"/>
        <v>103121</v>
      </c>
      <c r="R406" s="58">
        <v>103121</v>
      </c>
      <c r="S406" s="57" t="s">
        <v>116</v>
      </c>
    </row>
    <row r="407" spans="17:19">
      <c r="Q407" s="70">
        <f t="shared" si="18"/>
        <v>103122</v>
      </c>
      <c r="R407" s="58">
        <v>103122</v>
      </c>
      <c r="S407" s="57" t="s">
        <v>117</v>
      </c>
    </row>
    <row r="408" spans="17:19">
      <c r="Q408" s="70">
        <f t="shared" si="18"/>
        <v>103123</v>
      </c>
      <c r="R408" s="58">
        <v>103123</v>
      </c>
      <c r="S408" s="57" t="s">
        <v>665</v>
      </c>
    </row>
    <row r="409" spans="17:19">
      <c r="Q409" s="70">
        <f t="shared" si="18"/>
        <v>0</v>
      </c>
      <c r="R409" s="71"/>
      <c r="S409" s="72" t="s">
        <v>666</v>
      </c>
    </row>
    <row r="410" spans="17:19">
      <c r="Q410" s="70">
        <f t="shared" si="18"/>
        <v>104001</v>
      </c>
      <c r="R410" s="58">
        <v>104001</v>
      </c>
      <c r="S410" s="57" t="s">
        <v>667</v>
      </c>
    </row>
    <row r="411" spans="17:19">
      <c r="Q411" s="70">
        <f t="shared" si="18"/>
        <v>104002</v>
      </c>
      <c r="R411" s="58">
        <v>104002</v>
      </c>
      <c r="S411" s="57" t="s">
        <v>668</v>
      </c>
    </row>
    <row r="412" spans="17:19">
      <c r="Q412" s="70">
        <f t="shared" si="18"/>
        <v>104003</v>
      </c>
      <c r="R412" s="58">
        <v>104003</v>
      </c>
      <c r="S412" s="57" t="s">
        <v>669</v>
      </c>
    </row>
    <row r="413" spans="17:19">
      <c r="Q413" s="70">
        <f t="shared" si="18"/>
        <v>104004</v>
      </c>
      <c r="R413" s="58">
        <v>104004</v>
      </c>
      <c r="S413" s="57" t="s">
        <v>670</v>
      </c>
    </row>
    <row r="414" spans="17:19">
      <c r="Q414" s="70">
        <f t="shared" si="18"/>
        <v>104005</v>
      </c>
      <c r="R414" s="58">
        <v>104005</v>
      </c>
      <c r="S414" s="57" t="s">
        <v>671</v>
      </c>
    </row>
    <row r="415" spans="17:19">
      <c r="Q415" s="70">
        <f t="shared" si="18"/>
        <v>104006</v>
      </c>
      <c r="R415" s="58">
        <v>104006</v>
      </c>
      <c r="S415" s="57" t="s">
        <v>672</v>
      </c>
    </row>
    <row r="416" spans="17:19">
      <c r="Q416" s="70">
        <f t="shared" si="18"/>
        <v>104007</v>
      </c>
      <c r="R416" s="58">
        <v>104007</v>
      </c>
      <c r="S416" s="57" t="s">
        <v>673</v>
      </c>
    </row>
    <row r="417" spans="17:19">
      <c r="Q417" s="70">
        <f t="shared" si="18"/>
        <v>104008</v>
      </c>
      <c r="R417" s="58">
        <v>104008</v>
      </c>
      <c r="S417" s="57" t="s">
        <v>674</v>
      </c>
    </row>
    <row r="418" spans="17:19">
      <c r="Q418" s="70">
        <f t="shared" si="18"/>
        <v>104009</v>
      </c>
      <c r="R418" s="58">
        <v>104009</v>
      </c>
      <c r="S418" s="57" t="s">
        <v>675</v>
      </c>
    </row>
    <row r="419" spans="17:19">
      <c r="Q419" s="70">
        <f t="shared" si="18"/>
        <v>104010</v>
      </c>
      <c r="R419" s="58">
        <v>104010</v>
      </c>
      <c r="S419" s="57" t="s">
        <v>676</v>
      </c>
    </row>
    <row r="420" spans="17:19">
      <c r="Q420" s="70">
        <f t="shared" si="18"/>
        <v>104011</v>
      </c>
      <c r="R420" s="58">
        <v>104011</v>
      </c>
      <c r="S420" s="57" t="s">
        <v>677</v>
      </c>
    </row>
    <row r="421" spans="17:19">
      <c r="Q421" s="70">
        <f t="shared" si="18"/>
        <v>104012</v>
      </c>
      <c r="R421" s="58">
        <v>104012</v>
      </c>
      <c r="S421" s="57" t="s">
        <v>678</v>
      </c>
    </row>
    <row r="422" spans="17:19">
      <c r="Q422" s="70">
        <f t="shared" si="18"/>
        <v>0</v>
      </c>
      <c r="R422" s="71"/>
      <c r="S422" s="72" t="s">
        <v>679</v>
      </c>
    </row>
    <row r="423" spans="17:19">
      <c r="Q423" s="70">
        <f t="shared" si="18"/>
        <v>104101</v>
      </c>
      <c r="R423" s="58">
        <v>104101</v>
      </c>
      <c r="S423" s="57" t="s">
        <v>680</v>
      </c>
    </row>
    <row r="424" spans="17:19">
      <c r="Q424" s="70">
        <f t="shared" si="18"/>
        <v>104102</v>
      </c>
      <c r="R424" s="58">
        <v>104102</v>
      </c>
      <c r="S424" s="57" t="s">
        <v>681</v>
      </c>
    </row>
    <row r="425" spans="17:19">
      <c r="Q425" s="70">
        <f t="shared" si="18"/>
        <v>104103</v>
      </c>
      <c r="R425" s="58">
        <v>104103</v>
      </c>
      <c r="S425" s="57" t="s">
        <v>682</v>
      </c>
    </row>
    <row r="426" spans="17:19">
      <c r="Q426" s="70">
        <f t="shared" si="18"/>
        <v>104104</v>
      </c>
      <c r="R426" s="95">
        <v>104104</v>
      </c>
      <c r="S426" s="96" t="s">
        <v>683</v>
      </c>
    </row>
    <row r="427" spans="17:19">
      <c r="Q427" s="70">
        <f t="shared" si="18"/>
        <v>104105</v>
      </c>
      <c r="R427" s="95">
        <v>104105</v>
      </c>
      <c r="S427" s="96" t="s">
        <v>684</v>
      </c>
    </row>
    <row r="428" spans="17:19">
      <c r="Q428" s="70">
        <f t="shared" si="18"/>
        <v>0</v>
      </c>
      <c r="R428" s="71"/>
      <c r="S428" s="72" t="s">
        <v>685</v>
      </c>
    </row>
    <row r="429" spans="17:19">
      <c r="Q429" s="70">
        <f t="shared" si="18"/>
        <v>105001</v>
      </c>
      <c r="R429" s="91">
        <v>105001</v>
      </c>
      <c r="S429" s="92" t="s">
        <v>686</v>
      </c>
    </row>
    <row r="430" spans="17:19">
      <c r="Q430" s="70">
        <f t="shared" si="18"/>
        <v>105002</v>
      </c>
      <c r="R430" s="58">
        <v>105002</v>
      </c>
      <c r="S430" s="57" t="s">
        <v>687</v>
      </c>
    </row>
    <row r="431" spans="17:19">
      <c r="Q431" s="70">
        <f t="shared" si="18"/>
        <v>105003</v>
      </c>
      <c r="R431" s="58">
        <v>105003</v>
      </c>
      <c r="S431" s="57" t="s">
        <v>688</v>
      </c>
    </row>
    <row r="432" spans="17:19">
      <c r="Q432" s="70">
        <f t="shared" si="18"/>
        <v>105004</v>
      </c>
      <c r="R432" s="58">
        <v>105004</v>
      </c>
      <c r="S432" s="57" t="s">
        <v>689</v>
      </c>
    </row>
    <row r="433" spans="17:19">
      <c r="Q433" s="70">
        <f t="shared" si="18"/>
        <v>105005</v>
      </c>
      <c r="R433" s="58">
        <v>105005</v>
      </c>
      <c r="S433" s="57" t="s">
        <v>690</v>
      </c>
    </row>
    <row r="434" spans="17:19">
      <c r="Q434" s="70">
        <f t="shared" si="18"/>
        <v>0</v>
      </c>
      <c r="R434" s="71"/>
      <c r="S434" s="72" t="s">
        <v>691</v>
      </c>
    </row>
    <row r="435" spans="17:19">
      <c r="Q435" s="70">
        <f t="shared" si="18"/>
        <v>0</v>
      </c>
      <c r="R435" s="71"/>
      <c r="S435" s="72" t="s">
        <v>692</v>
      </c>
    </row>
    <row r="436" spans="17:19">
      <c r="Q436" s="70">
        <f t="shared" si="18"/>
        <v>114001</v>
      </c>
      <c r="R436" s="58">
        <v>114001</v>
      </c>
      <c r="S436" s="57" t="s">
        <v>693</v>
      </c>
    </row>
    <row r="437" spans="17:19">
      <c r="Q437" s="70">
        <f t="shared" si="18"/>
        <v>114002</v>
      </c>
      <c r="R437" s="58">
        <v>114002</v>
      </c>
      <c r="S437" s="57" t="s">
        <v>694</v>
      </c>
    </row>
    <row r="438" spans="17:19">
      <c r="Q438" s="70">
        <f t="shared" si="18"/>
        <v>114003</v>
      </c>
      <c r="R438" s="58">
        <v>114003</v>
      </c>
      <c r="S438" s="57" t="s">
        <v>695</v>
      </c>
    </row>
    <row r="439" spans="17:19">
      <c r="Q439" s="70">
        <f t="shared" si="18"/>
        <v>114004</v>
      </c>
      <c r="R439" s="58">
        <v>114004</v>
      </c>
      <c r="S439" s="57" t="s">
        <v>696</v>
      </c>
    </row>
    <row r="440" spans="17:19">
      <c r="Q440" s="70">
        <f t="shared" si="18"/>
        <v>114005</v>
      </c>
      <c r="R440" s="58">
        <v>114005</v>
      </c>
      <c r="S440" s="57" t="s">
        <v>697</v>
      </c>
    </row>
    <row r="441" spans="17:19">
      <c r="Q441" s="70">
        <f t="shared" si="18"/>
        <v>114006</v>
      </c>
      <c r="R441" s="58">
        <v>114006</v>
      </c>
      <c r="S441" s="57" t="s">
        <v>697</v>
      </c>
    </row>
    <row r="442" spans="17:19">
      <c r="Q442" s="70">
        <f t="shared" si="18"/>
        <v>114007</v>
      </c>
      <c r="R442" s="58">
        <v>114007</v>
      </c>
      <c r="S442" s="57" t="s">
        <v>698</v>
      </c>
    </row>
    <row r="443" spans="17:19">
      <c r="Q443" s="70">
        <f t="shared" si="18"/>
        <v>114008</v>
      </c>
      <c r="R443" s="58">
        <v>114008</v>
      </c>
      <c r="S443" s="57" t="s">
        <v>699</v>
      </c>
    </row>
    <row r="444" spans="17:19">
      <c r="Q444" s="70">
        <f t="shared" si="18"/>
        <v>114009</v>
      </c>
      <c r="R444" s="58">
        <v>114009</v>
      </c>
      <c r="S444" s="57" t="s">
        <v>700</v>
      </c>
    </row>
    <row r="445" spans="17:19">
      <c r="Q445" s="70">
        <f t="shared" si="18"/>
        <v>114010</v>
      </c>
      <c r="R445" s="58">
        <v>114010</v>
      </c>
      <c r="S445" s="57" t="s">
        <v>701</v>
      </c>
    </row>
    <row r="446" spans="17:19">
      <c r="Q446" s="70">
        <f t="shared" si="18"/>
        <v>114011</v>
      </c>
      <c r="R446" s="58">
        <v>114011</v>
      </c>
      <c r="S446" s="57" t="s">
        <v>702</v>
      </c>
    </row>
    <row r="447" spans="17:19">
      <c r="Q447" s="70">
        <f t="shared" si="18"/>
        <v>114012</v>
      </c>
      <c r="R447" s="58">
        <v>114012</v>
      </c>
      <c r="S447" s="57" t="s">
        <v>703</v>
      </c>
    </row>
    <row r="448" spans="17:19">
      <c r="Q448" s="70">
        <f t="shared" si="18"/>
        <v>0</v>
      </c>
      <c r="R448" s="71"/>
      <c r="S448" s="72" t="s">
        <v>704</v>
      </c>
    </row>
    <row r="449" spans="17:19">
      <c r="Q449" s="70">
        <f t="shared" si="18"/>
        <v>114021</v>
      </c>
      <c r="R449" s="58">
        <v>114021</v>
      </c>
      <c r="S449" s="57" t="s">
        <v>705</v>
      </c>
    </row>
    <row r="450" spans="17:19">
      <c r="Q450" s="70">
        <f t="shared" si="18"/>
        <v>114022</v>
      </c>
      <c r="R450" s="58">
        <v>114022</v>
      </c>
      <c r="S450" s="57" t="s">
        <v>706</v>
      </c>
    </row>
    <row r="451" spans="17:19">
      <c r="Q451" s="70">
        <f t="shared" si="18"/>
        <v>114023</v>
      </c>
      <c r="R451" s="58">
        <v>114023</v>
      </c>
      <c r="S451" s="57" t="s">
        <v>707</v>
      </c>
    </row>
    <row r="452" spans="17:19">
      <c r="Q452" s="70">
        <f t="shared" ref="Q452:Q515" si="19">VALUE(R452)</f>
        <v>114024</v>
      </c>
      <c r="R452" s="58">
        <v>114024</v>
      </c>
      <c r="S452" s="57" t="s">
        <v>708</v>
      </c>
    </row>
    <row r="453" spans="17:19">
      <c r="Q453" s="70">
        <f t="shared" si="19"/>
        <v>114025</v>
      </c>
      <c r="R453" s="58">
        <v>114025</v>
      </c>
      <c r="S453" s="57" t="s">
        <v>709</v>
      </c>
    </row>
    <row r="454" spans="17:19">
      <c r="Q454" s="70">
        <f t="shared" si="19"/>
        <v>114026</v>
      </c>
      <c r="R454" s="58">
        <v>114026</v>
      </c>
      <c r="S454" s="57" t="s">
        <v>710</v>
      </c>
    </row>
    <row r="455" spans="17:19">
      <c r="Q455" s="70">
        <f t="shared" si="19"/>
        <v>0</v>
      </c>
      <c r="R455" s="71"/>
      <c r="S455" s="72" t="s">
        <v>711</v>
      </c>
    </row>
    <row r="456" spans="17:19">
      <c r="Q456" s="70">
        <f t="shared" si="19"/>
        <v>114031</v>
      </c>
      <c r="R456" s="58">
        <v>114031</v>
      </c>
      <c r="S456" s="57" t="s">
        <v>712</v>
      </c>
    </row>
    <row r="457" spans="17:19">
      <c r="Q457" s="70">
        <f t="shared" si="19"/>
        <v>114032</v>
      </c>
      <c r="R457" s="58">
        <v>114032</v>
      </c>
      <c r="S457" s="57" t="s">
        <v>713</v>
      </c>
    </row>
    <row r="458" spans="17:19">
      <c r="Q458" s="70">
        <f t="shared" si="19"/>
        <v>114033</v>
      </c>
      <c r="R458" s="58">
        <v>114033</v>
      </c>
      <c r="S458" s="57" t="s">
        <v>714</v>
      </c>
    </row>
    <row r="459" spans="17:19">
      <c r="Q459" s="70">
        <f t="shared" si="19"/>
        <v>114034</v>
      </c>
      <c r="R459" s="58">
        <v>114034</v>
      </c>
      <c r="S459" s="57" t="s">
        <v>715</v>
      </c>
    </row>
    <row r="460" spans="17:19">
      <c r="Q460" s="70">
        <f t="shared" si="19"/>
        <v>114035</v>
      </c>
      <c r="R460" s="58">
        <v>114035</v>
      </c>
      <c r="S460" s="57" t="s">
        <v>716</v>
      </c>
    </row>
    <row r="461" spans="17:19">
      <c r="Q461" s="70">
        <f t="shared" si="19"/>
        <v>114036</v>
      </c>
      <c r="R461" s="58">
        <v>114036</v>
      </c>
      <c r="S461" s="57" t="s">
        <v>717</v>
      </c>
    </row>
    <row r="462" spans="17:19">
      <c r="Q462" s="70">
        <f t="shared" si="19"/>
        <v>0</v>
      </c>
      <c r="R462" s="71"/>
      <c r="S462" s="72" t="s">
        <v>718</v>
      </c>
    </row>
    <row r="463" spans="17:19">
      <c r="Q463" s="70">
        <f t="shared" si="19"/>
        <v>114041</v>
      </c>
      <c r="R463" s="58">
        <v>114041</v>
      </c>
      <c r="S463" s="57" t="s">
        <v>719</v>
      </c>
    </row>
    <row r="464" spans="17:19">
      <c r="Q464" s="70">
        <f t="shared" si="19"/>
        <v>114042</v>
      </c>
      <c r="R464" s="58">
        <v>114042</v>
      </c>
      <c r="S464" s="57" t="s">
        <v>720</v>
      </c>
    </row>
    <row r="465" spans="17:19">
      <c r="Q465" s="70">
        <f t="shared" si="19"/>
        <v>114043</v>
      </c>
      <c r="R465" s="58">
        <v>114043</v>
      </c>
      <c r="S465" s="57" t="s">
        <v>721</v>
      </c>
    </row>
    <row r="466" spans="17:19">
      <c r="Q466" s="70">
        <f t="shared" si="19"/>
        <v>114044</v>
      </c>
      <c r="R466" s="58">
        <v>114044</v>
      </c>
      <c r="S466" s="57" t="s">
        <v>722</v>
      </c>
    </row>
    <row r="467" spans="17:19">
      <c r="Q467" s="70">
        <f t="shared" si="19"/>
        <v>114045</v>
      </c>
      <c r="R467" s="58">
        <v>114045</v>
      </c>
      <c r="S467" s="57" t="s">
        <v>723</v>
      </c>
    </row>
    <row r="468" spans="17:19">
      <c r="Q468" s="70">
        <f t="shared" si="19"/>
        <v>114046</v>
      </c>
      <c r="R468" s="58">
        <v>114046</v>
      </c>
      <c r="S468" s="57" t="s">
        <v>724</v>
      </c>
    </row>
    <row r="469" spans="17:19">
      <c r="Q469" s="70">
        <f t="shared" si="19"/>
        <v>0</v>
      </c>
      <c r="R469" s="71"/>
      <c r="S469" s="72" t="s">
        <v>725</v>
      </c>
    </row>
    <row r="470" spans="17:19">
      <c r="Q470" s="70">
        <f t="shared" si="19"/>
        <v>114051</v>
      </c>
      <c r="R470" s="58">
        <v>114051</v>
      </c>
      <c r="S470" s="57" t="s">
        <v>726</v>
      </c>
    </row>
    <row r="471" spans="17:19">
      <c r="Q471" s="70">
        <f t="shared" si="19"/>
        <v>114052</v>
      </c>
      <c r="R471" s="58">
        <v>114052</v>
      </c>
      <c r="S471" s="57" t="s">
        <v>700</v>
      </c>
    </row>
    <row r="472" spans="17:19">
      <c r="Q472" s="70">
        <f t="shared" si="19"/>
        <v>114053</v>
      </c>
      <c r="R472" s="58">
        <v>114053</v>
      </c>
      <c r="S472" s="57" t="s">
        <v>727</v>
      </c>
    </row>
    <row r="473" spans="17:19">
      <c r="Q473" s="70">
        <f t="shared" si="19"/>
        <v>114054</v>
      </c>
      <c r="R473" s="58">
        <v>114054</v>
      </c>
      <c r="S473" s="57" t="s">
        <v>702</v>
      </c>
    </row>
    <row r="474" spans="17:19">
      <c r="Q474" s="70">
        <f t="shared" si="19"/>
        <v>114055</v>
      </c>
      <c r="R474" s="58">
        <v>114055</v>
      </c>
      <c r="S474" s="57" t="s">
        <v>728</v>
      </c>
    </row>
    <row r="475" spans="17:19">
      <c r="Q475" s="70">
        <f t="shared" si="19"/>
        <v>114056</v>
      </c>
      <c r="R475" s="58">
        <v>114056</v>
      </c>
      <c r="S475" s="57" t="s">
        <v>729</v>
      </c>
    </row>
    <row r="476" spans="17:19">
      <c r="Q476" s="70">
        <f t="shared" si="19"/>
        <v>0</v>
      </c>
      <c r="R476" s="71"/>
      <c r="S476" s="72" t="s">
        <v>730</v>
      </c>
    </row>
    <row r="477" spans="17:19">
      <c r="Q477" s="70">
        <f t="shared" si="19"/>
        <v>210101</v>
      </c>
      <c r="R477" s="58">
        <v>210101</v>
      </c>
      <c r="S477" s="57" t="str">
        <f>AH477&amp;"契約書"&amp;AI477&amp;")"</f>
        <v>契約書)</v>
      </c>
    </row>
    <row r="478" spans="17:19">
      <c r="Q478" s="70">
        <f t="shared" si="19"/>
        <v>210102</v>
      </c>
      <c r="R478" s="58">
        <v>210102</v>
      </c>
      <c r="S478" s="57" t="str">
        <f>AH478&amp;"契約書"&amp;AI478&amp;")"</f>
        <v>契約書)</v>
      </c>
    </row>
    <row r="479" spans="17:19">
      <c r="Q479" s="70">
        <f t="shared" si="19"/>
        <v>210201</v>
      </c>
      <c r="R479" s="58">
        <v>210201</v>
      </c>
      <c r="S479" s="57" t="str">
        <f t="shared" ref="S479:S486" si="20">AH479&amp;"契約書"&amp;AI479&amp;")"</f>
        <v>契約書)</v>
      </c>
    </row>
    <row r="480" spans="17:19">
      <c r="Q480" s="70">
        <f t="shared" si="19"/>
        <v>210202</v>
      </c>
      <c r="R480" s="58">
        <v>210202</v>
      </c>
      <c r="S480" s="57" t="str">
        <f t="shared" si="20"/>
        <v>契約書)</v>
      </c>
    </row>
    <row r="481" spans="17:19">
      <c r="Q481" s="70">
        <f t="shared" si="19"/>
        <v>210301</v>
      </c>
      <c r="R481" s="58">
        <v>210301</v>
      </c>
      <c r="S481" s="57" t="str">
        <f t="shared" si="20"/>
        <v>契約書)</v>
      </c>
    </row>
    <row r="482" spans="17:19">
      <c r="Q482" s="70">
        <f t="shared" si="19"/>
        <v>210302</v>
      </c>
      <c r="R482" s="58">
        <v>210302</v>
      </c>
      <c r="S482" s="57" t="str">
        <f t="shared" si="20"/>
        <v>契約書)</v>
      </c>
    </row>
    <row r="483" spans="17:19">
      <c r="Q483" s="70">
        <f t="shared" si="19"/>
        <v>210401</v>
      </c>
      <c r="R483" s="58">
        <v>210401</v>
      </c>
      <c r="S483" s="57" t="str">
        <f t="shared" si="20"/>
        <v>契約書)</v>
      </c>
    </row>
    <row r="484" spans="17:19">
      <c r="Q484" s="70">
        <f t="shared" si="19"/>
        <v>210402</v>
      </c>
      <c r="R484" s="58">
        <v>210402</v>
      </c>
      <c r="S484" s="57" t="str">
        <f t="shared" si="20"/>
        <v>契約書)</v>
      </c>
    </row>
    <row r="485" spans="17:19">
      <c r="Q485" s="70">
        <f t="shared" si="19"/>
        <v>210501</v>
      </c>
      <c r="R485" s="58">
        <v>210501</v>
      </c>
      <c r="S485" s="57" t="str">
        <f t="shared" si="20"/>
        <v>契約書)</v>
      </c>
    </row>
    <row r="486" spans="17:19">
      <c r="Q486" s="70">
        <f t="shared" si="19"/>
        <v>210502</v>
      </c>
      <c r="R486" s="58">
        <v>210502</v>
      </c>
      <c r="S486" s="57" t="str">
        <f t="shared" si="20"/>
        <v>契約書)</v>
      </c>
    </row>
    <row r="487" spans="17:19">
      <c r="Q487" s="70">
        <f t="shared" si="19"/>
        <v>0</v>
      </c>
      <c r="R487" s="71"/>
      <c r="S487" s="72" t="s">
        <v>731</v>
      </c>
    </row>
    <row r="488" spans="17:19">
      <c r="Q488" s="70">
        <f t="shared" si="19"/>
        <v>210601</v>
      </c>
      <c r="R488" s="58">
        <v>210601</v>
      </c>
      <c r="S488" s="57" t="str">
        <f>AH488&amp;"契約書(N)"</f>
        <v>契約書(N)</v>
      </c>
    </row>
    <row r="489" spans="17:19">
      <c r="Q489" s="70">
        <f t="shared" si="19"/>
        <v>210701</v>
      </c>
      <c r="R489" s="58">
        <v>210701</v>
      </c>
      <c r="S489" s="57" t="str">
        <f t="shared" ref="S489:S527" si="21">AH489&amp;"契約書(N)"</f>
        <v>契約書(N)</v>
      </c>
    </row>
    <row r="490" spans="17:19">
      <c r="Q490" s="70">
        <f t="shared" si="19"/>
        <v>210801</v>
      </c>
      <c r="R490" s="58">
        <v>210801</v>
      </c>
      <c r="S490" s="57" t="str">
        <f t="shared" si="21"/>
        <v>契約書(N)</v>
      </c>
    </row>
    <row r="491" spans="17:19">
      <c r="Q491" s="70">
        <f t="shared" si="19"/>
        <v>210901</v>
      </c>
      <c r="R491" s="58">
        <v>210901</v>
      </c>
      <c r="S491" s="57" t="str">
        <f t="shared" si="21"/>
        <v>契約書(N)</v>
      </c>
    </row>
    <row r="492" spans="17:19">
      <c r="Q492" s="70">
        <f t="shared" si="19"/>
        <v>211001</v>
      </c>
      <c r="R492" s="58">
        <v>211001</v>
      </c>
      <c r="S492" s="57" t="str">
        <f t="shared" si="21"/>
        <v>契約書(N)</v>
      </c>
    </row>
    <row r="493" spans="17:19">
      <c r="Q493" s="70">
        <f t="shared" si="19"/>
        <v>211101</v>
      </c>
      <c r="R493" s="58">
        <v>211101</v>
      </c>
      <c r="S493" s="57" t="str">
        <f t="shared" si="21"/>
        <v>契約書(N)</v>
      </c>
    </row>
    <row r="494" spans="17:19">
      <c r="Q494" s="70">
        <f t="shared" si="19"/>
        <v>211201</v>
      </c>
      <c r="R494" s="58">
        <v>211201</v>
      </c>
      <c r="S494" s="57" t="str">
        <f t="shared" si="21"/>
        <v>契約書(N)</v>
      </c>
    </row>
    <row r="495" spans="17:19">
      <c r="Q495" s="70">
        <f t="shared" si="19"/>
        <v>211301</v>
      </c>
      <c r="R495" s="58">
        <v>211301</v>
      </c>
      <c r="S495" s="57" t="str">
        <f t="shared" si="21"/>
        <v>契約書(N)</v>
      </c>
    </row>
    <row r="496" spans="17:19">
      <c r="Q496" s="70">
        <f t="shared" si="19"/>
        <v>211401</v>
      </c>
      <c r="R496" s="58">
        <v>211401</v>
      </c>
      <c r="S496" s="57" t="str">
        <f t="shared" si="21"/>
        <v>契約書(N)</v>
      </c>
    </row>
    <row r="497" spans="17:19">
      <c r="Q497" s="70">
        <f t="shared" si="19"/>
        <v>211501</v>
      </c>
      <c r="R497" s="58">
        <v>211501</v>
      </c>
      <c r="S497" s="57" t="str">
        <f t="shared" si="21"/>
        <v>契約書(N)</v>
      </c>
    </row>
    <row r="498" spans="17:19">
      <c r="Q498" s="70">
        <f t="shared" si="19"/>
        <v>211601</v>
      </c>
      <c r="R498" s="58">
        <v>211601</v>
      </c>
      <c r="S498" s="57" t="str">
        <f t="shared" si="21"/>
        <v>契約書(N)</v>
      </c>
    </row>
    <row r="499" spans="17:19">
      <c r="Q499" s="70">
        <f t="shared" si="19"/>
        <v>211701</v>
      </c>
      <c r="R499" s="58">
        <v>211701</v>
      </c>
      <c r="S499" s="57" t="str">
        <f t="shared" si="21"/>
        <v>契約書(N)</v>
      </c>
    </row>
    <row r="500" spans="17:19">
      <c r="Q500" s="70">
        <f t="shared" si="19"/>
        <v>211801</v>
      </c>
      <c r="R500" s="58">
        <v>211801</v>
      </c>
      <c r="S500" s="57" t="str">
        <f t="shared" si="21"/>
        <v>契約書(N)</v>
      </c>
    </row>
    <row r="501" spans="17:19">
      <c r="Q501" s="70">
        <f t="shared" si="19"/>
        <v>211901</v>
      </c>
      <c r="R501" s="58">
        <v>211901</v>
      </c>
      <c r="S501" s="57" t="str">
        <f t="shared" si="21"/>
        <v>契約書(N)</v>
      </c>
    </row>
    <row r="502" spans="17:19">
      <c r="Q502" s="70">
        <f t="shared" si="19"/>
        <v>212001</v>
      </c>
      <c r="R502" s="58">
        <v>212001</v>
      </c>
      <c r="S502" s="57" t="str">
        <f t="shared" si="21"/>
        <v>契約書(N)</v>
      </c>
    </row>
    <row r="503" spans="17:19">
      <c r="Q503" s="70">
        <f t="shared" si="19"/>
        <v>212101</v>
      </c>
      <c r="R503" s="58">
        <v>212101</v>
      </c>
      <c r="S503" s="57" t="str">
        <f t="shared" si="21"/>
        <v>契約書(N)</v>
      </c>
    </row>
    <row r="504" spans="17:19">
      <c r="Q504" s="70">
        <f t="shared" si="19"/>
        <v>212201</v>
      </c>
      <c r="R504" s="58">
        <v>212201</v>
      </c>
      <c r="S504" s="57" t="str">
        <f t="shared" si="21"/>
        <v>契約書(N)</v>
      </c>
    </row>
    <row r="505" spans="17:19">
      <c r="Q505" s="70">
        <f t="shared" si="19"/>
        <v>230101</v>
      </c>
      <c r="R505" s="58">
        <v>230101</v>
      </c>
      <c r="S505" s="57" t="str">
        <f t="shared" si="21"/>
        <v>契約書(N)</v>
      </c>
    </row>
    <row r="506" spans="17:19">
      <c r="Q506" s="70">
        <f t="shared" si="19"/>
        <v>230201</v>
      </c>
      <c r="R506" s="58">
        <v>230201</v>
      </c>
      <c r="S506" s="57" t="str">
        <f t="shared" si="21"/>
        <v>契約書(N)</v>
      </c>
    </row>
    <row r="507" spans="17:19">
      <c r="Q507" s="70">
        <f t="shared" si="19"/>
        <v>230301</v>
      </c>
      <c r="R507" s="58">
        <v>230301</v>
      </c>
      <c r="S507" s="57" t="str">
        <f t="shared" si="21"/>
        <v>契約書(N)</v>
      </c>
    </row>
    <row r="508" spans="17:19">
      <c r="Q508" s="70">
        <f t="shared" si="19"/>
        <v>230401</v>
      </c>
      <c r="R508" s="58">
        <v>230401</v>
      </c>
      <c r="S508" s="57" t="str">
        <f t="shared" si="21"/>
        <v>契約書(N)</v>
      </c>
    </row>
    <row r="509" spans="17:19">
      <c r="Q509" s="70">
        <f t="shared" si="19"/>
        <v>230501</v>
      </c>
      <c r="R509" s="58">
        <v>230501</v>
      </c>
      <c r="S509" s="57" t="str">
        <f t="shared" si="21"/>
        <v>契約書(N)</v>
      </c>
    </row>
    <row r="510" spans="17:19">
      <c r="Q510" s="70">
        <f t="shared" si="19"/>
        <v>230601</v>
      </c>
      <c r="R510" s="58">
        <v>230601</v>
      </c>
      <c r="S510" s="57" t="str">
        <f t="shared" si="21"/>
        <v>契約書(N)</v>
      </c>
    </row>
    <row r="511" spans="17:19">
      <c r="Q511" s="70">
        <f t="shared" si="19"/>
        <v>230701</v>
      </c>
      <c r="R511" s="58">
        <v>230701</v>
      </c>
      <c r="S511" s="57" t="str">
        <f t="shared" si="21"/>
        <v>契約書(N)</v>
      </c>
    </row>
    <row r="512" spans="17:19">
      <c r="Q512" s="70">
        <f t="shared" si="19"/>
        <v>230801</v>
      </c>
      <c r="R512" s="58">
        <v>230801</v>
      </c>
      <c r="S512" s="57" t="str">
        <f t="shared" si="21"/>
        <v>契約書(N)</v>
      </c>
    </row>
    <row r="513" spans="17:19">
      <c r="Q513" s="70">
        <f t="shared" si="19"/>
        <v>230901</v>
      </c>
      <c r="R513" s="58">
        <v>230901</v>
      </c>
      <c r="S513" s="57" t="str">
        <f t="shared" si="21"/>
        <v>契約書(N)</v>
      </c>
    </row>
    <row r="514" spans="17:19">
      <c r="Q514" s="70">
        <f t="shared" si="19"/>
        <v>231001</v>
      </c>
      <c r="R514" s="58">
        <v>231001</v>
      </c>
      <c r="S514" s="57" t="str">
        <f t="shared" si="21"/>
        <v>契約書(N)</v>
      </c>
    </row>
    <row r="515" spans="17:19">
      <c r="Q515" s="70">
        <f t="shared" si="19"/>
        <v>231101</v>
      </c>
      <c r="R515" s="58">
        <v>231101</v>
      </c>
      <c r="S515" s="57" t="str">
        <f t="shared" si="21"/>
        <v>契約書(N)</v>
      </c>
    </row>
    <row r="516" spans="17:19">
      <c r="Q516" s="70">
        <f t="shared" ref="Q516:Q579" si="22">VALUE(R516)</f>
        <v>231201</v>
      </c>
      <c r="R516" s="58">
        <v>231201</v>
      </c>
      <c r="S516" s="57" t="str">
        <f t="shared" si="21"/>
        <v>契約書(N)</v>
      </c>
    </row>
    <row r="517" spans="17:19">
      <c r="Q517" s="70">
        <f t="shared" si="22"/>
        <v>231301</v>
      </c>
      <c r="R517" s="58">
        <v>231301</v>
      </c>
      <c r="S517" s="57" t="str">
        <f t="shared" si="21"/>
        <v>契約書(N)</v>
      </c>
    </row>
    <row r="518" spans="17:19">
      <c r="Q518" s="70">
        <f t="shared" si="22"/>
        <v>231401</v>
      </c>
      <c r="R518" s="58">
        <v>231401</v>
      </c>
      <c r="S518" s="57" t="str">
        <f t="shared" si="21"/>
        <v>契約書(N)</v>
      </c>
    </row>
    <row r="519" spans="17:19">
      <c r="Q519" s="70">
        <f t="shared" si="22"/>
        <v>231501</v>
      </c>
      <c r="R519" s="58">
        <v>231501</v>
      </c>
      <c r="S519" s="57" t="str">
        <f t="shared" si="21"/>
        <v>契約書(N)</v>
      </c>
    </row>
    <row r="520" spans="17:19">
      <c r="Q520" s="70">
        <f t="shared" si="22"/>
        <v>231601</v>
      </c>
      <c r="R520" s="58">
        <v>231601</v>
      </c>
      <c r="S520" s="57" t="str">
        <f t="shared" si="21"/>
        <v>契約書(N)</v>
      </c>
    </row>
    <row r="521" spans="17:19">
      <c r="Q521" s="70">
        <f t="shared" si="22"/>
        <v>231701</v>
      </c>
      <c r="R521" s="58">
        <v>231701</v>
      </c>
      <c r="S521" s="57" t="str">
        <f t="shared" si="21"/>
        <v>契約書(N)</v>
      </c>
    </row>
    <row r="522" spans="17:19">
      <c r="Q522" s="70">
        <f t="shared" si="22"/>
        <v>231801</v>
      </c>
      <c r="R522" s="58">
        <v>231801</v>
      </c>
      <c r="S522" s="57" t="str">
        <f t="shared" si="21"/>
        <v>契約書(N)</v>
      </c>
    </row>
    <row r="523" spans="17:19">
      <c r="Q523" s="70">
        <f t="shared" si="22"/>
        <v>231901</v>
      </c>
      <c r="R523" s="58">
        <v>231901</v>
      </c>
      <c r="S523" s="57" t="str">
        <f t="shared" si="21"/>
        <v>契約書(N)</v>
      </c>
    </row>
    <row r="524" spans="17:19">
      <c r="Q524" s="70">
        <f t="shared" si="22"/>
        <v>232001</v>
      </c>
      <c r="R524" s="58">
        <v>232001</v>
      </c>
      <c r="S524" s="57" t="str">
        <f t="shared" si="21"/>
        <v>契約書(N)</v>
      </c>
    </row>
    <row r="525" spans="17:19">
      <c r="Q525" s="70">
        <f t="shared" si="22"/>
        <v>232101</v>
      </c>
      <c r="R525" s="58">
        <v>232101</v>
      </c>
      <c r="S525" s="57" t="str">
        <f t="shared" si="21"/>
        <v>契約書(N)</v>
      </c>
    </row>
    <row r="526" spans="17:19">
      <c r="Q526" s="70">
        <f t="shared" si="22"/>
        <v>232201</v>
      </c>
      <c r="R526" s="58">
        <v>232201</v>
      </c>
      <c r="S526" s="57" t="str">
        <f t="shared" si="21"/>
        <v>契約書(N)</v>
      </c>
    </row>
    <row r="527" spans="17:19">
      <c r="Q527" s="70">
        <f t="shared" si="22"/>
        <v>232301</v>
      </c>
      <c r="R527" s="58">
        <v>232301</v>
      </c>
      <c r="S527" s="57" t="str">
        <f t="shared" si="21"/>
        <v>契約書(N)</v>
      </c>
    </row>
    <row r="528" spans="17:19">
      <c r="Q528" s="70">
        <f t="shared" si="22"/>
        <v>0</v>
      </c>
      <c r="R528" s="71"/>
      <c r="S528" s="72" t="s">
        <v>732</v>
      </c>
    </row>
    <row r="529" spans="17:19">
      <c r="Q529" s="70">
        <f t="shared" si="22"/>
        <v>310101</v>
      </c>
      <c r="R529" s="58">
        <v>310101</v>
      </c>
      <c r="S529" s="57" t="str">
        <f>AH529&amp;"的交涉權"</f>
        <v>的交涉權</v>
      </c>
    </row>
    <row r="530" spans="17:19">
      <c r="Q530" s="70">
        <f t="shared" si="22"/>
        <v>310201</v>
      </c>
      <c r="R530" s="58">
        <v>310201</v>
      </c>
      <c r="S530" s="57" t="str">
        <f t="shared" ref="S530:S573" si="23">AH530&amp;"的交涉權"</f>
        <v>的交涉權</v>
      </c>
    </row>
    <row r="531" spans="17:19">
      <c r="Q531" s="70">
        <f t="shared" si="22"/>
        <v>310301</v>
      </c>
      <c r="R531" s="58">
        <v>310301</v>
      </c>
      <c r="S531" s="57" t="str">
        <f t="shared" si="23"/>
        <v>的交涉權</v>
      </c>
    </row>
    <row r="532" spans="17:19">
      <c r="Q532" s="70">
        <f t="shared" si="22"/>
        <v>310401</v>
      </c>
      <c r="R532" s="58">
        <v>310401</v>
      </c>
      <c r="S532" s="57" t="str">
        <f t="shared" si="23"/>
        <v>的交涉權</v>
      </c>
    </row>
    <row r="533" spans="17:19">
      <c r="Q533" s="70">
        <f t="shared" si="22"/>
        <v>310501</v>
      </c>
      <c r="R533" s="58">
        <v>310501</v>
      </c>
      <c r="S533" s="57" t="str">
        <f t="shared" si="23"/>
        <v>的交涉權</v>
      </c>
    </row>
    <row r="534" spans="17:19">
      <c r="Q534" s="70">
        <f t="shared" si="22"/>
        <v>310601</v>
      </c>
      <c r="R534" s="58">
        <v>310601</v>
      </c>
      <c r="S534" s="57" t="str">
        <f t="shared" si="23"/>
        <v>的交涉權</v>
      </c>
    </row>
    <row r="535" spans="17:19">
      <c r="Q535" s="70">
        <f t="shared" si="22"/>
        <v>310701</v>
      </c>
      <c r="R535" s="58">
        <v>310701</v>
      </c>
      <c r="S535" s="57" t="str">
        <f t="shared" si="23"/>
        <v>的交涉權</v>
      </c>
    </row>
    <row r="536" spans="17:19">
      <c r="Q536" s="70">
        <f t="shared" si="22"/>
        <v>310801</v>
      </c>
      <c r="R536" s="58">
        <v>310801</v>
      </c>
      <c r="S536" s="57" t="str">
        <f t="shared" si="23"/>
        <v>的交涉權</v>
      </c>
    </row>
    <row r="537" spans="17:19">
      <c r="Q537" s="70">
        <f t="shared" si="22"/>
        <v>310901</v>
      </c>
      <c r="R537" s="58">
        <v>310901</v>
      </c>
      <c r="S537" s="57" t="str">
        <f t="shared" si="23"/>
        <v>的交涉權</v>
      </c>
    </row>
    <row r="538" spans="17:19">
      <c r="Q538" s="70">
        <f t="shared" si="22"/>
        <v>311001</v>
      </c>
      <c r="R538" s="58">
        <v>311001</v>
      </c>
      <c r="S538" s="57" t="str">
        <f t="shared" si="23"/>
        <v>的交涉權</v>
      </c>
    </row>
    <row r="539" spans="17:19">
      <c r="Q539" s="70">
        <f t="shared" si="22"/>
        <v>311101</v>
      </c>
      <c r="R539" s="58">
        <v>311101</v>
      </c>
      <c r="S539" s="57" t="str">
        <f t="shared" si="23"/>
        <v>的交涉權</v>
      </c>
    </row>
    <row r="540" spans="17:19">
      <c r="Q540" s="70">
        <f t="shared" si="22"/>
        <v>311201</v>
      </c>
      <c r="R540" s="58">
        <v>311201</v>
      </c>
      <c r="S540" s="57" t="str">
        <f t="shared" si="23"/>
        <v>的交涉權</v>
      </c>
    </row>
    <row r="541" spans="17:19">
      <c r="Q541" s="70">
        <f t="shared" si="22"/>
        <v>311301</v>
      </c>
      <c r="R541" s="58">
        <v>311301</v>
      </c>
      <c r="S541" s="57" t="str">
        <f t="shared" si="23"/>
        <v>的交涉權</v>
      </c>
    </row>
    <row r="542" spans="17:19">
      <c r="Q542" s="70">
        <f t="shared" si="22"/>
        <v>311401</v>
      </c>
      <c r="R542" s="58">
        <v>311401</v>
      </c>
      <c r="S542" s="57" t="str">
        <f t="shared" si="23"/>
        <v>的交涉權</v>
      </c>
    </row>
    <row r="543" spans="17:19">
      <c r="Q543" s="70">
        <f t="shared" si="22"/>
        <v>311501</v>
      </c>
      <c r="R543" s="58">
        <v>311501</v>
      </c>
      <c r="S543" s="57" t="str">
        <f t="shared" si="23"/>
        <v>的交涉權</v>
      </c>
    </row>
    <row r="544" spans="17:19">
      <c r="Q544" s="70">
        <f t="shared" si="22"/>
        <v>311601</v>
      </c>
      <c r="R544" s="58">
        <v>311601</v>
      </c>
      <c r="S544" s="57" t="str">
        <f t="shared" si="23"/>
        <v>的交涉權</v>
      </c>
    </row>
    <row r="545" spans="17:19">
      <c r="Q545" s="70">
        <f t="shared" si="22"/>
        <v>311701</v>
      </c>
      <c r="R545" s="58">
        <v>311701</v>
      </c>
      <c r="S545" s="57" t="str">
        <f t="shared" si="23"/>
        <v>的交涉權</v>
      </c>
    </row>
    <row r="546" spans="17:19">
      <c r="Q546" s="70">
        <f t="shared" si="22"/>
        <v>311801</v>
      </c>
      <c r="R546" s="58">
        <v>311801</v>
      </c>
      <c r="S546" s="57" t="str">
        <f t="shared" si="23"/>
        <v>的交涉權</v>
      </c>
    </row>
    <row r="547" spans="17:19">
      <c r="Q547" s="70">
        <f t="shared" si="22"/>
        <v>311901</v>
      </c>
      <c r="R547" s="58">
        <v>311901</v>
      </c>
      <c r="S547" s="57" t="str">
        <f t="shared" si="23"/>
        <v>的交涉權</v>
      </c>
    </row>
    <row r="548" spans="17:19">
      <c r="Q548" s="70">
        <f t="shared" si="22"/>
        <v>312001</v>
      </c>
      <c r="R548" s="58">
        <v>312001</v>
      </c>
      <c r="S548" s="57" t="str">
        <f t="shared" si="23"/>
        <v>的交涉權</v>
      </c>
    </row>
    <row r="549" spans="17:19">
      <c r="Q549" s="70">
        <f t="shared" si="22"/>
        <v>312101</v>
      </c>
      <c r="R549" s="58">
        <v>312101</v>
      </c>
      <c r="S549" s="57" t="str">
        <f t="shared" si="23"/>
        <v>的交涉權</v>
      </c>
    </row>
    <row r="550" spans="17:19">
      <c r="Q550" s="70">
        <f t="shared" si="22"/>
        <v>312201</v>
      </c>
      <c r="R550" s="58">
        <v>312201</v>
      </c>
      <c r="S550" s="57" t="str">
        <f t="shared" si="23"/>
        <v>的交涉權</v>
      </c>
    </row>
    <row r="551" spans="17:19">
      <c r="Q551" s="70">
        <f t="shared" si="22"/>
        <v>330101</v>
      </c>
      <c r="R551" s="58">
        <v>330101</v>
      </c>
      <c r="S551" s="57" t="str">
        <f t="shared" si="23"/>
        <v>的交涉權</v>
      </c>
    </row>
    <row r="552" spans="17:19">
      <c r="Q552" s="70">
        <f t="shared" si="22"/>
        <v>330201</v>
      </c>
      <c r="R552" s="58">
        <v>330201</v>
      </c>
      <c r="S552" s="57" t="str">
        <f t="shared" si="23"/>
        <v>的交涉權</v>
      </c>
    </row>
    <row r="553" spans="17:19">
      <c r="Q553" s="70">
        <f t="shared" si="22"/>
        <v>330301</v>
      </c>
      <c r="R553" s="58">
        <v>330301</v>
      </c>
      <c r="S553" s="57" t="str">
        <f t="shared" si="23"/>
        <v>的交涉權</v>
      </c>
    </row>
    <row r="554" spans="17:19">
      <c r="Q554" s="70">
        <f t="shared" si="22"/>
        <v>330401</v>
      </c>
      <c r="R554" s="58">
        <v>330401</v>
      </c>
      <c r="S554" s="57" t="str">
        <f t="shared" si="23"/>
        <v>的交涉權</v>
      </c>
    </row>
    <row r="555" spans="17:19">
      <c r="Q555" s="70">
        <f t="shared" si="22"/>
        <v>330501</v>
      </c>
      <c r="R555" s="58">
        <v>330501</v>
      </c>
      <c r="S555" s="57" t="str">
        <f t="shared" si="23"/>
        <v>的交涉權</v>
      </c>
    </row>
    <row r="556" spans="17:19">
      <c r="Q556" s="70">
        <f t="shared" si="22"/>
        <v>330601</v>
      </c>
      <c r="R556" s="58">
        <v>330601</v>
      </c>
      <c r="S556" s="57" t="str">
        <f t="shared" si="23"/>
        <v>的交涉權</v>
      </c>
    </row>
    <row r="557" spans="17:19">
      <c r="Q557" s="70">
        <f t="shared" si="22"/>
        <v>330701</v>
      </c>
      <c r="R557" s="58">
        <v>330701</v>
      </c>
      <c r="S557" s="57" t="str">
        <f t="shared" si="23"/>
        <v>的交涉權</v>
      </c>
    </row>
    <row r="558" spans="17:19">
      <c r="Q558" s="70">
        <f t="shared" si="22"/>
        <v>330801</v>
      </c>
      <c r="R558" s="58">
        <v>330801</v>
      </c>
      <c r="S558" s="57" t="str">
        <f t="shared" si="23"/>
        <v>的交涉權</v>
      </c>
    </row>
    <row r="559" spans="17:19">
      <c r="Q559" s="70">
        <f t="shared" si="22"/>
        <v>330901</v>
      </c>
      <c r="R559" s="58">
        <v>330901</v>
      </c>
      <c r="S559" s="57" t="str">
        <f t="shared" si="23"/>
        <v>的交涉權</v>
      </c>
    </row>
    <row r="560" spans="17:19">
      <c r="Q560" s="70">
        <f t="shared" si="22"/>
        <v>331001</v>
      </c>
      <c r="R560" s="58">
        <v>331001</v>
      </c>
      <c r="S560" s="57" t="str">
        <f t="shared" si="23"/>
        <v>的交涉權</v>
      </c>
    </row>
    <row r="561" spans="17:19">
      <c r="Q561" s="70">
        <f t="shared" si="22"/>
        <v>331101</v>
      </c>
      <c r="R561" s="58">
        <v>331101</v>
      </c>
      <c r="S561" s="57" t="str">
        <f t="shared" si="23"/>
        <v>的交涉權</v>
      </c>
    </row>
    <row r="562" spans="17:19">
      <c r="Q562" s="70">
        <f t="shared" si="22"/>
        <v>331201</v>
      </c>
      <c r="R562" s="58">
        <v>331201</v>
      </c>
      <c r="S562" s="57" t="str">
        <f t="shared" si="23"/>
        <v>的交涉權</v>
      </c>
    </row>
    <row r="563" spans="17:19">
      <c r="Q563" s="70">
        <f t="shared" si="22"/>
        <v>331301</v>
      </c>
      <c r="R563" s="58">
        <v>331301</v>
      </c>
      <c r="S563" s="57" t="str">
        <f t="shared" si="23"/>
        <v>的交涉權</v>
      </c>
    </row>
    <row r="564" spans="17:19">
      <c r="Q564" s="70">
        <f t="shared" si="22"/>
        <v>331401</v>
      </c>
      <c r="R564" s="58">
        <v>331401</v>
      </c>
      <c r="S564" s="57" t="str">
        <f t="shared" si="23"/>
        <v>的交涉權</v>
      </c>
    </row>
    <row r="565" spans="17:19">
      <c r="Q565" s="70">
        <f t="shared" si="22"/>
        <v>331501</v>
      </c>
      <c r="R565" s="58">
        <v>331501</v>
      </c>
      <c r="S565" s="57" t="str">
        <f t="shared" si="23"/>
        <v>的交涉權</v>
      </c>
    </row>
    <row r="566" spans="17:19">
      <c r="Q566" s="70">
        <f t="shared" si="22"/>
        <v>331601</v>
      </c>
      <c r="R566" s="58">
        <v>331601</v>
      </c>
      <c r="S566" s="57" t="str">
        <f t="shared" si="23"/>
        <v>的交涉權</v>
      </c>
    </row>
    <row r="567" spans="17:19">
      <c r="Q567" s="70">
        <f t="shared" si="22"/>
        <v>331701</v>
      </c>
      <c r="R567" s="58">
        <v>331701</v>
      </c>
      <c r="S567" s="57" t="str">
        <f t="shared" si="23"/>
        <v>的交涉權</v>
      </c>
    </row>
    <row r="568" spans="17:19">
      <c r="Q568" s="70">
        <f t="shared" si="22"/>
        <v>331801</v>
      </c>
      <c r="R568" s="58">
        <v>331801</v>
      </c>
      <c r="S568" s="57" t="str">
        <f t="shared" si="23"/>
        <v>的交涉權</v>
      </c>
    </row>
    <row r="569" spans="17:19">
      <c r="Q569" s="70">
        <f t="shared" si="22"/>
        <v>331901</v>
      </c>
      <c r="R569" s="58">
        <v>331901</v>
      </c>
      <c r="S569" s="57" t="str">
        <f t="shared" si="23"/>
        <v>的交涉權</v>
      </c>
    </row>
    <row r="570" spans="17:19">
      <c r="Q570" s="70">
        <f t="shared" si="22"/>
        <v>332001</v>
      </c>
      <c r="R570" s="58">
        <v>332001</v>
      </c>
      <c r="S570" s="57" t="str">
        <f t="shared" si="23"/>
        <v>的交涉權</v>
      </c>
    </row>
    <row r="571" spans="17:19">
      <c r="Q571" s="70">
        <f t="shared" si="22"/>
        <v>332101</v>
      </c>
      <c r="R571" s="58">
        <v>332101</v>
      </c>
      <c r="S571" s="57" t="str">
        <f t="shared" si="23"/>
        <v>的交涉權</v>
      </c>
    </row>
    <row r="572" spans="17:19">
      <c r="Q572" s="70">
        <f t="shared" si="22"/>
        <v>332201</v>
      </c>
      <c r="R572" s="58">
        <v>332201</v>
      </c>
      <c r="S572" s="57" t="str">
        <f t="shared" si="23"/>
        <v>的交涉權</v>
      </c>
    </row>
    <row r="573" spans="17:19">
      <c r="Q573" s="70">
        <f t="shared" si="22"/>
        <v>332301</v>
      </c>
      <c r="R573" s="58">
        <v>332301</v>
      </c>
      <c r="S573" s="57" t="str">
        <f t="shared" si="23"/>
        <v>的交涉權</v>
      </c>
    </row>
    <row r="574" spans="17:19">
      <c r="Q574" s="70">
        <f t="shared" si="22"/>
        <v>0</v>
      </c>
      <c r="R574" s="71"/>
      <c r="S574" s="72" t="s">
        <v>733</v>
      </c>
    </row>
    <row r="575" spans="17:19">
      <c r="Q575" s="70">
        <f t="shared" si="22"/>
        <v>400001</v>
      </c>
      <c r="R575" s="91">
        <v>400001</v>
      </c>
      <c r="S575" s="92" t="s">
        <v>734</v>
      </c>
    </row>
    <row r="576" spans="17:19">
      <c r="Q576" s="70">
        <f t="shared" si="22"/>
        <v>0</v>
      </c>
      <c r="R576" s="71"/>
      <c r="S576" s="72" t="s">
        <v>735</v>
      </c>
    </row>
    <row r="577" spans="17:19">
      <c r="Q577" s="70">
        <f t="shared" si="22"/>
        <v>0</v>
      </c>
      <c r="R577" s="87"/>
      <c r="S577" s="88" t="s">
        <v>736</v>
      </c>
    </row>
    <row r="578" spans="17:19">
      <c r="Q578" s="70">
        <f t="shared" si="22"/>
        <v>0</v>
      </c>
      <c r="R578" s="87"/>
      <c r="S578" s="88" t="s">
        <v>737</v>
      </c>
    </row>
    <row r="579" spans="17:19">
      <c r="Q579" s="70">
        <f t="shared" si="22"/>
        <v>0</v>
      </c>
      <c r="R579" s="87"/>
      <c r="S579" s="88" t="s">
        <v>738</v>
      </c>
    </row>
    <row r="580" spans="17:19">
      <c r="Q580" s="70">
        <f t="shared" ref="Q580:Q643" si="24">VALUE(R580)</f>
        <v>0</v>
      </c>
      <c r="R580" s="87"/>
      <c r="S580" s="88" t="s">
        <v>739</v>
      </c>
    </row>
    <row r="581" spans="17:19">
      <c r="Q581" s="70">
        <f t="shared" si="24"/>
        <v>0</v>
      </c>
      <c r="R581" s="71"/>
      <c r="S581" s="72"/>
    </row>
    <row r="582" spans="17:19">
      <c r="Q582" s="70">
        <f t="shared" si="24"/>
        <v>0</v>
      </c>
      <c r="R582" s="75"/>
      <c r="S582" s="76" t="s">
        <v>740</v>
      </c>
    </row>
    <row r="583" spans="17:19">
      <c r="Q583" s="70">
        <f t="shared" si="24"/>
        <v>0</v>
      </c>
      <c r="R583" s="75"/>
      <c r="S583" s="76" t="s">
        <v>741</v>
      </c>
    </row>
    <row r="584" spans="17:19">
      <c r="Q584" s="70">
        <f t="shared" si="24"/>
        <v>0</v>
      </c>
      <c r="R584" s="75"/>
      <c r="S584" s="76" t="s">
        <v>742</v>
      </c>
    </row>
    <row r="585" spans="17:19">
      <c r="Q585" s="70">
        <f t="shared" si="24"/>
        <v>0</v>
      </c>
      <c r="R585" s="75"/>
      <c r="S585" s="76" t="s">
        <v>743</v>
      </c>
    </row>
    <row r="586" spans="17:19">
      <c r="Q586" s="70">
        <f t="shared" si="24"/>
        <v>0</v>
      </c>
      <c r="R586" s="71"/>
      <c r="S586" s="72"/>
    </row>
    <row r="587" spans="17:19">
      <c r="Q587" s="70">
        <f t="shared" si="24"/>
        <v>0</v>
      </c>
      <c r="R587" s="87"/>
      <c r="S587" s="88" t="s">
        <v>744</v>
      </c>
    </row>
    <row r="588" spans="17:19">
      <c r="Q588" s="70">
        <f t="shared" si="24"/>
        <v>0</v>
      </c>
      <c r="R588" s="87"/>
      <c r="S588" s="88" t="s">
        <v>745</v>
      </c>
    </row>
    <row r="589" spans="17:19">
      <c r="Q589" s="70">
        <f t="shared" si="24"/>
        <v>0</v>
      </c>
      <c r="R589" s="87"/>
      <c r="S589" s="88" t="s">
        <v>746</v>
      </c>
    </row>
    <row r="590" spans="17:19">
      <c r="Q590" s="70">
        <f t="shared" si="24"/>
        <v>0</v>
      </c>
      <c r="R590" s="87"/>
      <c r="S590" s="88" t="s">
        <v>747</v>
      </c>
    </row>
    <row r="591" spans="17:19">
      <c r="Q591" s="70">
        <f t="shared" si="24"/>
        <v>0</v>
      </c>
      <c r="R591" s="87"/>
      <c r="S591" s="88" t="s">
        <v>748</v>
      </c>
    </row>
    <row r="592" spans="17:19">
      <c r="Q592" s="70">
        <f t="shared" si="24"/>
        <v>0</v>
      </c>
      <c r="R592" s="87"/>
      <c r="S592" s="88" t="s">
        <v>749</v>
      </c>
    </row>
    <row r="593" spans="17:19">
      <c r="Q593" s="70">
        <f t="shared" si="24"/>
        <v>0</v>
      </c>
      <c r="R593" s="87"/>
      <c r="S593" s="88" t="s">
        <v>750</v>
      </c>
    </row>
    <row r="594" spans="17:19">
      <c r="Q594" s="70">
        <f t="shared" si="24"/>
        <v>0</v>
      </c>
      <c r="R594" s="87"/>
      <c r="S594" s="88" t="s">
        <v>751</v>
      </c>
    </row>
    <row r="595" spans="17:19">
      <c r="Q595" s="70">
        <f t="shared" si="24"/>
        <v>0</v>
      </c>
      <c r="R595" s="87"/>
      <c r="S595" s="88" t="s">
        <v>752</v>
      </c>
    </row>
    <row r="596" spans="17:19">
      <c r="Q596" s="70">
        <f t="shared" si="24"/>
        <v>0</v>
      </c>
      <c r="R596" s="87"/>
      <c r="S596" s="88" t="s">
        <v>753</v>
      </c>
    </row>
    <row r="597" spans="17:19">
      <c r="Q597" s="70">
        <f t="shared" si="24"/>
        <v>0</v>
      </c>
      <c r="R597" s="87"/>
      <c r="S597" s="88" t="s">
        <v>754</v>
      </c>
    </row>
    <row r="598" spans="17:19">
      <c r="Q598" s="70">
        <f t="shared" si="24"/>
        <v>0</v>
      </c>
      <c r="R598" s="87"/>
      <c r="S598" s="88" t="s">
        <v>755</v>
      </c>
    </row>
    <row r="599" spans="17:19">
      <c r="Q599" s="70">
        <f t="shared" si="24"/>
        <v>0</v>
      </c>
      <c r="R599" s="87"/>
      <c r="S599" s="88" t="s">
        <v>756</v>
      </c>
    </row>
    <row r="600" spans="17:19">
      <c r="Q600" s="70">
        <f t="shared" si="24"/>
        <v>0</v>
      </c>
      <c r="R600" s="97"/>
      <c r="S600" s="98"/>
    </row>
    <row r="601" spans="17:19">
      <c r="Q601" s="70">
        <f t="shared" si="24"/>
        <v>0</v>
      </c>
      <c r="R601" s="87"/>
      <c r="S601" s="88" t="s">
        <v>757</v>
      </c>
    </row>
    <row r="602" spans="17:19">
      <c r="Q602" s="70">
        <f t="shared" si="24"/>
        <v>0</v>
      </c>
      <c r="R602" s="87"/>
      <c r="S602" s="88" t="s">
        <v>758</v>
      </c>
    </row>
    <row r="603" spans="17:19">
      <c r="Q603" s="70">
        <f t="shared" si="24"/>
        <v>0</v>
      </c>
      <c r="R603" s="87"/>
      <c r="S603" s="88" t="s">
        <v>759</v>
      </c>
    </row>
    <row r="604" spans="17:19">
      <c r="Q604" s="70">
        <f t="shared" si="24"/>
        <v>0</v>
      </c>
      <c r="R604" s="87"/>
      <c r="S604" s="88" t="s">
        <v>760</v>
      </c>
    </row>
    <row r="605" spans="17:19">
      <c r="Q605" s="70">
        <f t="shared" si="24"/>
        <v>0</v>
      </c>
      <c r="R605" s="87"/>
      <c r="S605" s="88" t="s">
        <v>761</v>
      </c>
    </row>
    <row r="606" spans="17:19">
      <c r="Q606" s="70">
        <f t="shared" si="24"/>
        <v>0</v>
      </c>
      <c r="R606" s="87"/>
      <c r="S606" s="88" t="s">
        <v>762</v>
      </c>
    </row>
    <row r="607" spans="17:19">
      <c r="Q607" s="70">
        <f t="shared" si="24"/>
        <v>0</v>
      </c>
      <c r="R607" s="87"/>
      <c r="S607" s="88" t="s">
        <v>763</v>
      </c>
    </row>
    <row r="608" spans="17:19">
      <c r="Q608" s="70">
        <f t="shared" si="24"/>
        <v>0</v>
      </c>
      <c r="R608" s="87"/>
      <c r="S608" s="88" t="s">
        <v>764</v>
      </c>
    </row>
    <row r="609" spans="17:19">
      <c r="Q609" s="70">
        <f t="shared" si="24"/>
        <v>0</v>
      </c>
      <c r="R609" s="87"/>
      <c r="S609" s="88" t="s">
        <v>765</v>
      </c>
    </row>
    <row r="610" spans="17:19">
      <c r="Q610" s="70">
        <f t="shared" si="24"/>
        <v>0</v>
      </c>
      <c r="R610" s="87"/>
      <c r="S610" s="88" t="s">
        <v>766</v>
      </c>
    </row>
    <row r="611" spans="17:19">
      <c r="Q611" s="70">
        <f t="shared" si="24"/>
        <v>0</v>
      </c>
      <c r="R611" s="87"/>
      <c r="S611" s="88" t="s">
        <v>767</v>
      </c>
    </row>
    <row r="612" spans="17:19">
      <c r="Q612" s="70">
        <f t="shared" si="24"/>
        <v>0</v>
      </c>
      <c r="R612" s="87"/>
      <c r="S612" s="88" t="s">
        <v>768</v>
      </c>
    </row>
    <row r="613" spans="17:19">
      <c r="Q613" s="70">
        <f t="shared" si="24"/>
        <v>0</v>
      </c>
      <c r="R613" s="87"/>
      <c r="S613" s="88" t="s">
        <v>769</v>
      </c>
    </row>
    <row r="614" spans="17:19">
      <c r="Q614" s="70">
        <f t="shared" si="24"/>
        <v>0</v>
      </c>
      <c r="R614" s="87"/>
      <c r="S614" s="88" t="s">
        <v>770</v>
      </c>
    </row>
    <row r="615" spans="17:19">
      <c r="Q615" s="70">
        <f t="shared" si="24"/>
        <v>0</v>
      </c>
      <c r="R615" s="87"/>
      <c r="S615" s="88" t="s">
        <v>771</v>
      </c>
    </row>
    <row r="616" spans="17:19">
      <c r="Q616" s="70">
        <f t="shared" si="24"/>
        <v>0</v>
      </c>
      <c r="R616" s="87"/>
      <c r="S616" s="88" t="s">
        <v>772</v>
      </c>
    </row>
    <row r="617" spans="17:19">
      <c r="Q617" s="70">
        <f t="shared" si="24"/>
        <v>0</v>
      </c>
      <c r="R617" s="87"/>
      <c r="S617" s="88" t="s">
        <v>773</v>
      </c>
    </row>
    <row r="618" spans="17:19">
      <c r="Q618" s="70">
        <f t="shared" si="24"/>
        <v>0</v>
      </c>
      <c r="R618" s="87"/>
      <c r="S618" s="88" t="s">
        <v>774</v>
      </c>
    </row>
    <row r="619" spans="17:19">
      <c r="Q619" s="70">
        <f t="shared" si="24"/>
        <v>0</v>
      </c>
      <c r="R619" s="87"/>
      <c r="S619" s="88" t="s">
        <v>775</v>
      </c>
    </row>
    <row r="620" spans="17:19">
      <c r="Q620" s="70">
        <f t="shared" si="24"/>
        <v>0</v>
      </c>
      <c r="R620" s="87"/>
      <c r="S620" s="88" t="s">
        <v>776</v>
      </c>
    </row>
    <row r="621" spans="17:19">
      <c r="Q621" s="70">
        <f t="shared" si="24"/>
        <v>0</v>
      </c>
      <c r="R621" s="87"/>
      <c r="S621" s="88" t="s">
        <v>777</v>
      </c>
    </row>
    <row r="622" spans="17:19">
      <c r="Q622" s="70">
        <f t="shared" si="24"/>
        <v>0</v>
      </c>
      <c r="R622" s="87"/>
      <c r="S622" s="88" t="s">
        <v>778</v>
      </c>
    </row>
    <row r="623" spans="17:19">
      <c r="Q623" s="70">
        <f t="shared" si="24"/>
        <v>0</v>
      </c>
      <c r="R623" s="87"/>
      <c r="S623" s="88" t="s">
        <v>779</v>
      </c>
    </row>
    <row r="624" spans="17:19">
      <c r="Q624" s="70">
        <f t="shared" si="24"/>
        <v>0</v>
      </c>
      <c r="R624" s="87"/>
      <c r="S624" s="88" t="s">
        <v>780</v>
      </c>
    </row>
    <row r="625" spans="17:19">
      <c r="Q625" s="70">
        <f t="shared" si="24"/>
        <v>0</v>
      </c>
      <c r="R625" s="87"/>
      <c r="S625" s="88" t="s">
        <v>781</v>
      </c>
    </row>
    <row r="626" spans="17:19">
      <c r="Q626" s="70">
        <f t="shared" si="24"/>
        <v>0</v>
      </c>
      <c r="R626" s="87"/>
      <c r="S626" s="88" t="s">
        <v>782</v>
      </c>
    </row>
    <row r="627" spans="17:19">
      <c r="Q627" s="70">
        <f t="shared" si="24"/>
        <v>0</v>
      </c>
      <c r="R627" s="87"/>
      <c r="S627" s="88" t="s">
        <v>783</v>
      </c>
    </row>
    <row r="628" spans="17:19">
      <c r="Q628" s="70">
        <f t="shared" si="24"/>
        <v>0</v>
      </c>
      <c r="R628" s="87"/>
      <c r="S628" s="88" t="s">
        <v>784</v>
      </c>
    </row>
    <row r="629" spans="17:19">
      <c r="Q629" s="70">
        <f t="shared" si="24"/>
        <v>0</v>
      </c>
      <c r="R629" s="87"/>
      <c r="S629" s="88" t="s">
        <v>785</v>
      </c>
    </row>
    <row r="630" spans="17:19">
      <c r="Q630" s="70">
        <f t="shared" si="24"/>
        <v>0</v>
      </c>
      <c r="R630" s="87"/>
      <c r="S630" s="88" t="s">
        <v>786</v>
      </c>
    </row>
    <row r="631" spans="17:19">
      <c r="Q631" s="70">
        <f t="shared" si="24"/>
        <v>0</v>
      </c>
      <c r="R631" s="87"/>
      <c r="S631" s="88" t="s">
        <v>787</v>
      </c>
    </row>
    <row r="632" spans="17:19">
      <c r="Q632" s="70">
        <f t="shared" si="24"/>
        <v>0</v>
      </c>
      <c r="R632" s="87"/>
      <c r="S632" s="88" t="s">
        <v>788</v>
      </c>
    </row>
    <row r="633" spans="17:19">
      <c r="Q633" s="70">
        <f t="shared" si="24"/>
        <v>0</v>
      </c>
      <c r="R633" s="87"/>
      <c r="S633" s="88" t="s">
        <v>789</v>
      </c>
    </row>
    <row r="634" spans="17:19">
      <c r="Q634" s="70">
        <f t="shared" si="24"/>
        <v>0</v>
      </c>
      <c r="R634" s="87"/>
      <c r="S634" s="88" t="s">
        <v>790</v>
      </c>
    </row>
    <row r="635" spans="17:19">
      <c r="Q635" s="70">
        <f t="shared" si="24"/>
        <v>0</v>
      </c>
      <c r="R635" s="87"/>
      <c r="S635" s="88" t="s">
        <v>791</v>
      </c>
    </row>
    <row r="636" spans="17:19">
      <c r="Q636" s="70">
        <f t="shared" si="24"/>
        <v>0</v>
      </c>
      <c r="R636" s="87"/>
      <c r="S636" s="88" t="s">
        <v>792</v>
      </c>
    </row>
    <row r="637" spans="17:19">
      <c r="Q637" s="70">
        <f t="shared" si="24"/>
        <v>0</v>
      </c>
      <c r="R637" s="87"/>
      <c r="S637" s="88" t="s">
        <v>793</v>
      </c>
    </row>
    <row r="638" spans="17:19">
      <c r="Q638" s="70">
        <f t="shared" si="24"/>
        <v>0</v>
      </c>
      <c r="R638" s="87"/>
      <c r="S638" s="88" t="s">
        <v>794</v>
      </c>
    </row>
    <row r="639" spans="17:19">
      <c r="Q639" s="70">
        <f t="shared" si="24"/>
        <v>0</v>
      </c>
      <c r="R639" s="87"/>
      <c r="S639" s="88" t="s">
        <v>795</v>
      </c>
    </row>
    <row r="640" spans="17:19">
      <c r="Q640" s="70">
        <f t="shared" si="24"/>
        <v>0</v>
      </c>
      <c r="R640" s="87"/>
      <c r="S640" s="88" t="s">
        <v>796</v>
      </c>
    </row>
    <row r="641" spans="17:19">
      <c r="Q641" s="70">
        <f t="shared" si="24"/>
        <v>0</v>
      </c>
      <c r="R641" s="87"/>
      <c r="S641" s="88" t="s">
        <v>797</v>
      </c>
    </row>
    <row r="642" spans="17:19">
      <c r="Q642" s="70">
        <f t="shared" si="24"/>
        <v>0</v>
      </c>
      <c r="R642" s="87"/>
      <c r="S642" s="88" t="s">
        <v>798</v>
      </c>
    </row>
    <row r="643" spans="17:19">
      <c r="Q643" s="70">
        <f t="shared" si="24"/>
        <v>0</v>
      </c>
      <c r="R643" s="87"/>
      <c r="S643" s="88" t="s">
        <v>799</v>
      </c>
    </row>
    <row r="644" spans="17:19">
      <c r="Q644" s="70">
        <f t="shared" ref="Q644:Q707" si="25">VALUE(R644)</f>
        <v>0</v>
      </c>
      <c r="R644" s="87"/>
      <c r="S644" s="88" t="s">
        <v>800</v>
      </c>
    </row>
    <row r="645" spans="17:19">
      <c r="Q645" s="70">
        <f t="shared" si="25"/>
        <v>0</v>
      </c>
      <c r="R645" s="87"/>
      <c r="S645" s="88" t="s">
        <v>801</v>
      </c>
    </row>
    <row r="646" spans="17:19">
      <c r="Q646" s="70">
        <f t="shared" si="25"/>
        <v>0</v>
      </c>
      <c r="R646" s="87"/>
      <c r="S646" s="88" t="s">
        <v>802</v>
      </c>
    </row>
    <row r="647" spans="17:19">
      <c r="Q647" s="70">
        <f t="shared" si="25"/>
        <v>0</v>
      </c>
      <c r="R647" s="87"/>
      <c r="S647" s="88" t="s">
        <v>803</v>
      </c>
    </row>
    <row r="648" spans="17:19">
      <c r="Q648" s="70">
        <f t="shared" si="25"/>
        <v>0</v>
      </c>
      <c r="R648" s="87"/>
      <c r="S648" s="88" t="s">
        <v>804</v>
      </c>
    </row>
    <row r="649" spans="17:19">
      <c r="Q649" s="70">
        <f t="shared" si="25"/>
        <v>0</v>
      </c>
      <c r="R649" s="87"/>
      <c r="S649" s="88" t="s">
        <v>805</v>
      </c>
    </row>
    <row r="650" spans="17:19">
      <c r="Q650" s="70">
        <f t="shared" si="25"/>
        <v>0</v>
      </c>
      <c r="R650" s="87"/>
      <c r="S650" s="88" t="s">
        <v>806</v>
      </c>
    </row>
    <row r="651" spans="17:19">
      <c r="Q651" s="70">
        <f t="shared" si="25"/>
        <v>0</v>
      </c>
      <c r="R651" s="87"/>
      <c r="S651" s="88" t="s">
        <v>807</v>
      </c>
    </row>
    <row r="652" spans="17:19">
      <c r="Q652" s="70">
        <f t="shared" si="25"/>
        <v>0</v>
      </c>
      <c r="R652" s="87"/>
      <c r="S652" s="88" t="s">
        <v>808</v>
      </c>
    </row>
    <row r="653" spans="17:19">
      <c r="Q653" s="70">
        <f t="shared" si="25"/>
        <v>0</v>
      </c>
      <c r="R653" s="87"/>
      <c r="S653" s="88" t="s">
        <v>809</v>
      </c>
    </row>
    <row r="654" spans="17:19">
      <c r="Q654" s="70">
        <f t="shared" si="25"/>
        <v>0</v>
      </c>
      <c r="R654" s="87"/>
      <c r="S654" s="88" t="s">
        <v>810</v>
      </c>
    </row>
    <row r="655" spans="17:19">
      <c r="Q655" s="70">
        <f t="shared" si="25"/>
        <v>0</v>
      </c>
      <c r="R655" s="87"/>
      <c r="S655" s="88" t="s">
        <v>811</v>
      </c>
    </row>
    <row r="656" spans="17:19">
      <c r="Q656" s="70">
        <f t="shared" si="25"/>
        <v>0</v>
      </c>
      <c r="R656" s="87"/>
      <c r="S656" s="88" t="s">
        <v>812</v>
      </c>
    </row>
    <row r="657" spans="17:19">
      <c r="Q657" s="70">
        <f t="shared" si="25"/>
        <v>0</v>
      </c>
      <c r="R657" s="87"/>
      <c r="S657" s="88" t="s">
        <v>813</v>
      </c>
    </row>
    <row r="658" spans="17:19">
      <c r="Q658" s="70">
        <f t="shared" si="25"/>
        <v>0</v>
      </c>
      <c r="R658" s="87"/>
      <c r="S658" s="76" t="s">
        <v>757</v>
      </c>
    </row>
    <row r="659" spans="17:19">
      <c r="Q659" s="70">
        <f t="shared" si="25"/>
        <v>0</v>
      </c>
      <c r="R659" s="87"/>
      <c r="S659" s="76" t="s">
        <v>758</v>
      </c>
    </row>
    <row r="660" spans="17:19">
      <c r="Q660" s="70">
        <f t="shared" si="25"/>
        <v>0</v>
      </c>
      <c r="R660" s="87"/>
      <c r="S660" s="76" t="s">
        <v>759</v>
      </c>
    </row>
    <row r="661" spans="17:19">
      <c r="Q661" s="70">
        <f t="shared" si="25"/>
        <v>0</v>
      </c>
      <c r="R661" s="87"/>
      <c r="S661" s="76" t="s">
        <v>760</v>
      </c>
    </row>
    <row r="662" spans="17:19">
      <c r="Q662" s="70">
        <f t="shared" si="25"/>
        <v>0</v>
      </c>
      <c r="R662" s="87"/>
      <c r="S662" s="76" t="s">
        <v>761</v>
      </c>
    </row>
    <row r="663" spans="17:19">
      <c r="Q663" s="70">
        <f t="shared" si="25"/>
        <v>0</v>
      </c>
      <c r="R663" s="87"/>
      <c r="S663" s="76" t="s">
        <v>762</v>
      </c>
    </row>
    <row r="664" spans="17:19">
      <c r="Q664" s="70">
        <f t="shared" si="25"/>
        <v>0</v>
      </c>
      <c r="R664" s="87"/>
      <c r="S664" s="76" t="s">
        <v>763</v>
      </c>
    </row>
    <row r="665" spans="17:19">
      <c r="Q665" s="70">
        <f t="shared" si="25"/>
        <v>0</v>
      </c>
      <c r="R665" s="87"/>
      <c r="S665" s="76" t="s">
        <v>764</v>
      </c>
    </row>
    <row r="666" spans="17:19">
      <c r="Q666" s="70">
        <f t="shared" si="25"/>
        <v>0</v>
      </c>
      <c r="R666" s="87"/>
      <c r="S666" s="76" t="s">
        <v>765</v>
      </c>
    </row>
    <row r="667" spans="17:19">
      <c r="Q667" s="70">
        <f t="shared" si="25"/>
        <v>0</v>
      </c>
      <c r="R667" s="87"/>
      <c r="S667" s="76" t="s">
        <v>766</v>
      </c>
    </row>
    <row r="668" spans="17:19">
      <c r="Q668" s="70">
        <f t="shared" si="25"/>
        <v>0</v>
      </c>
      <c r="R668" s="87"/>
      <c r="S668" s="76" t="s">
        <v>767</v>
      </c>
    </row>
    <row r="669" spans="17:19">
      <c r="Q669" s="70">
        <f t="shared" si="25"/>
        <v>0</v>
      </c>
      <c r="R669" s="87"/>
      <c r="S669" s="76" t="s">
        <v>768</v>
      </c>
    </row>
    <row r="670" spans="17:19">
      <c r="Q670" s="70">
        <f t="shared" si="25"/>
        <v>0</v>
      </c>
      <c r="R670" s="87"/>
      <c r="S670" s="76" t="s">
        <v>769</v>
      </c>
    </row>
    <row r="671" spans="17:19">
      <c r="Q671" s="70">
        <f t="shared" si="25"/>
        <v>0</v>
      </c>
      <c r="R671" s="87"/>
      <c r="S671" s="76" t="s">
        <v>770</v>
      </c>
    </row>
    <row r="672" spans="17:19">
      <c r="Q672" s="70">
        <f t="shared" si="25"/>
        <v>0</v>
      </c>
      <c r="R672" s="87"/>
      <c r="S672" s="76" t="s">
        <v>771</v>
      </c>
    </row>
    <row r="673" spans="17:19">
      <c r="Q673" s="70">
        <f t="shared" si="25"/>
        <v>0</v>
      </c>
      <c r="R673" s="87"/>
      <c r="S673" s="76" t="s">
        <v>772</v>
      </c>
    </row>
    <row r="674" spans="17:19">
      <c r="Q674" s="70">
        <f t="shared" si="25"/>
        <v>0</v>
      </c>
      <c r="R674" s="87"/>
      <c r="S674" s="76" t="s">
        <v>773</v>
      </c>
    </row>
    <row r="675" spans="17:19">
      <c r="Q675" s="70">
        <f t="shared" si="25"/>
        <v>0</v>
      </c>
      <c r="R675" s="87"/>
      <c r="S675" s="76" t="s">
        <v>774</v>
      </c>
    </row>
    <row r="676" spans="17:19">
      <c r="Q676" s="70">
        <f t="shared" si="25"/>
        <v>0</v>
      </c>
      <c r="R676" s="87"/>
      <c r="S676" s="76" t="s">
        <v>775</v>
      </c>
    </row>
    <row r="677" spans="17:19">
      <c r="Q677" s="70">
        <f t="shared" si="25"/>
        <v>0</v>
      </c>
      <c r="R677" s="87"/>
      <c r="S677" s="76" t="s">
        <v>776</v>
      </c>
    </row>
    <row r="678" spans="17:19">
      <c r="Q678" s="70">
        <f t="shared" si="25"/>
        <v>0</v>
      </c>
      <c r="R678" s="87"/>
      <c r="S678" s="76" t="s">
        <v>777</v>
      </c>
    </row>
    <row r="679" spans="17:19">
      <c r="Q679" s="70">
        <f t="shared" si="25"/>
        <v>0</v>
      </c>
      <c r="R679" s="87"/>
      <c r="S679" s="76" t="s">
        <v>778</v>
      </c>
    </row>
    <row r="680" spans="17:19">
      <c r="Q680" s="70">
        <f t="shared" si="25"/>
        <v>0</v>
      </c>
      <c r="R680" s="87"/>
      <c r="S680" s="76" t="s">
        <v>779</v>
      </c>
    </row>
    <row r="681" spans="17:19">
      <c r="Q681" s="70">
        <f t="shared" si="25"/>
        <v>0</v>
      </c>
      <c r="R681" s="87"/>
      <c r="S681" s="76" t="s">
        <v>780</v>
      </c>
    </row>
    <row r="682" spans="17:19">
      <c r="Q682" s="70">
        <f t="shared" si="25"/>
        <v>0</v>
      </c>
      <c r="R682" s="87"/>
      <c r="S682" s="76" t="s">
        <v>781</v>
      </c>
    </row>
    <row r="683" spans="17:19">
      <c r="Q683" s="70">
        <f t="shared" si="25"/>
        <v>0</v>
      </c>
      <c r="R683" s="87"/>
      <c r="S683" s="76" t="s">
        <v>782</v>
      </c>
    </row>
    <row r="684" spans="17:19">
      <c r="Q684" s="70">
        <f t="shared" si="25"/>
        <v>0</v>
      </c>
      <c r="R684" s="87"/>
      <c r="S684" s="76" t="s">
        <v>783</v>
      </c>
    </row>
    <row r="685" spans="17:19">
      <c r="Q685" s="70">
        <f t="shared" si="25"/>
        <v>0</v>
      </c>
      <c r="R685" s="87"/>
      <c r="S685" s="76" t="s">
        <v>784</v>
      </c>
    </row>
    <row r="686" spans="17:19">
      <c r="Q686" s="70">
        <f t="shared" si="25"/>
        <v>0</v>
      </c>
      <c r="R686" s="87"/>
      <c r="S686" s="76" t="s">
        <v>785</v>
      </c>
    </row>
    <row r="687" spans="17:19">
      <c r="Q687" s="70">
        <f t="shared" si="25"/>
        <v>0</v>
      </c>
      <c r="R687" s="87"/>
      <c r="S687" s="76" t="s">
        <v>786</v>
      </c>
    </row>
    <row r="688" spans="17:19">
      <c r="Q688" s="70">
        <f t="shared" si="25"/>
        <v>0</v>
      </c>
      <c r="R688" s="87"/>
      <c r="S688" s="76" t="s">
        <v>787</v>
      </c>
    </row>
    <row r="689" spans="17:19">
      <c r="Q689" s="70">
        <f t="shared" si="25"/>
        <v>0</v>
      </c>
      <c r="R689" s="87"/>
      <c r="S689" s="76" t="s">
        <v>788</v>
      </c>
    </row>
    <row r="690" spans="17:19">
      <c r="Q690" s="70">
        <f t="shared" si="25"/>
        <v>0</v>
      </c>
      <c r="R690" s="87"/>
      <c r="S690" s="76" t="s">
        <v>789</v>
      </c>
    </row>
    <row r="691" spans="17:19">
      <c r="Q691" s="70">
        <f t="shared" si="25"/>
        <v>0</v>
      </c>
      <c r="R691" s="87"/>
      <c r="S691" s="76" t="s">
        <v>790</v>
      </c>
    </row>
    <row r="692" spans="17:19">
      <c r="Q692" s="70">
        <f t="shared" si="25"/>
        <v>0</v>
      </c>
      <c r="R692" s="87"/>
      <c r="S692" s="76" t="s">
        <v>791</v>
      </c>
    </row>
    <row r="693" spans="17:19">
      <c r="Q693" s="70">
        <f t="shared" si="25"/>
        <v>0</v>
      </c>
      <c r="R693" s="87"/>
      <c r="S693" s="76" t="s">
        <v>792</v>
      </c>
    </row>
    <row r="694" spans="17:19">
      <c r="Q694" s="70">
        <f t="shared" si="25"/>
        <v>0</v>
      </c>
      <c r="R694" s="87"/>
      <c r="S694" s="76" t="s">
        <v>793</v>
      </c>
    </row>
    <row r="695" spans="17:19">
      <c r="Q695" s="70">
        <f t="shared" si="25"/>
        <v>0</v>
      </c>
      <c r="R695" s="87"/>
      <c r="S695" s="76" t="s">
        <v>794</v>
      </c>
    </row>
    <row r="696" spans="17:19">
      <c r="Q696" s="70">
        <f t="shared" si="25"/>
        <v>0</v>
      </c>
      <c r="R696" s="87"/>
      <c r="S696" s="76" t="s">
        <v>795</v>
      </c>
    </row>
    <row r="697" spans="17:19">
      <c r="Q697" s="70">
        <f t="shared" si="25"/>
        <v>0</v>
      </c>
      <c r="R697" s="87"/>
      <c r="S697" s="76" t="s">
        <v>796</v>
      </c>
    </row>
    <row r="698" spans="17:19">
      <c r="Q698" s="70">
        <f t="shared" si="25"/>
        <v>0</v>
      </c>
      <c r="R698" s="87"/>
      <c r="S698" s="76" t="s">
        <v>797</v>
      </c>
    </row>
    <row r="699" spans="17:19">
      <c r="Q699" s="70">
        <f t="shared" si="25"/>
        <v>0</v>
      </c>
      <c r="R699" s="87"/>
      <c r="S699" s="76" t="s">
        <v>798</v>
      </c>
    </row>
    <row r="700" spans="17:19">
      <c r="Q700" s="70">
        <f t="shared" si="25"/>
        <v>0</v>
      </c>
      <c r="R700" s="87"/>
      <c r="S700" s="76" t="s">
        <v>799</v>
      </c>
    </row>
    <row r="701" spans="17:19">
      <c r="Q701" s="70">
        <f t="shared" si="25"/>
        <v>0</v>
      </c>
      <c r="R701" s="87"/>
      <c r="S701" s="76" t="s">
        <v>800</v>
      </c>
    </row>
    <row r="702" spans="17:19">
      <c r="Q702" s="70">
        <f t="shared" si="25"/>
        <v>0</v>
      </c>
      <c r="R702" s="87"/>
      <c r="S702" s="76" t="s">
        <v>801</v>
      </c>
    </row>
    <row r="703" spans="17:19">
      <c r="Q703" s="70">
        <f t="shared" si="25"/>
        <v>0</v>
      </c>
      <c r="R703" s="87"/>
      <c r="S703" s="76" t="s">
        <v>802</v>
      </c>
    </row>
    <row r="704" spans="17:19">
      <c r="Q704" s="70">
        <f t="shared" si="25"/>
        <v>0</v>
      </c>
      <c r="R704" s="87"/>
      <c r="S704" s="76" t="s">
        <v>803</v>
      </c>
    </row>
    <row r="705" spans="17:19">
      <c r="Q705" s="70">
        <f t="shared" si="25"/>
        <v>0</v>
      </c>
      <c r="R705" s="87"/>
      <c r="S705" s="76" t="s">
        <v>804</v>
      </c>
    </row>
    <row r="706" spans="17:19">
      <c r="Q706" s="70">
        <f t="shared" si="25"/>
        <v>0</v>
      </c>
      <c r="R706" s="87"/>
      <c r="S706" s="76" t="s">
        <v>805</v>
      </c>
    </row>
    <row r="707" spans="17:19">
      <c r="Q707" s="70">
        <f t="shared" si="25"/>
        <v>0</v>
      </c>
      <c r="R707" s="87"/>
      <c r="S707" s="76" t="s">
        <v>806</v>
      </c>
    </row>
    <row r="708" spans="17:19">
      <c r="Q708" s="70">
        <f t="shared" ref="Q708:Q751" si="26">VALUE(R708)</f>
        <v>0</v>
      </c>
      <c r="R708" s="87"/>
      <c r="S708" s="76" t="s">
        <v>807</v>
      </c>
    </row>
    <row r="709" spans="17:19">
      <c r="Q709" s="70">
        <f t="shared" si="26"/>
        <v>0</v>
      </c>
      <c r="R709" s="87"/>
      <c r="S709" s="76" t="s">
        <v>808</v>
      </c>
    </row>
    <row r="710" spans="17:19">
      <c r="Q710" s="70">
        <f t="shared" si="26"/>
        <v>0</v>
      </c>
      <c r="R710" s="87"/>
      <c r="S710" s="76" t="s">
        <v>809</v>
      </c>
    </row>
    <row r="711" spans="17:19">
      <c r="Q711" s="70">
        <f t="shared" si="26"/>
        <v>0</v>
      </c>
      <c r="R711" s="87"/>
      <c r="S711" s="76" t="s">
        <v>810</v>
      </c>
    </row>
    <row r="712" spans="17:19">
      <c r="Q712" s="70">
        <f t="shared" si="26"/>
        <v>0</v>
      </c>
      <c r="R712" s="87"/>
      <c r="S712" s="76" t="s">
        <v>811</v>
      </c>
    </row>
    <row r="713" spans="17:19">
      <c r="Q713" s="70">
        <f t="shared" si="26"/>
        <v>0</v>
      </c>
      <c r="R713" s="87"/>
      <c r="S713" s="76" t="s">
        <v>814</v>
      </c>
    </row>
    <row r="714" spans="17:19">
      <c r="Q714" s="70">
        <f t="shared" si="26"/>
        <v>0</v>
      </c>
      <c r="R714" s="87"/>
      <c r="S714" s="76" t="s">
        <v>815</v>
      </c>
    </row>
    <row r="715" spans="17:19">
      <c r="Q715" s="70">
        <f t="shared" si="26"/>
        <v>0</v>
      </c>
    </row>
    <row r="716" spans="17:19">
      <c r="Q716" s="70">
        <f t="shared" si="26"/>
        <v>0</v>
      </c>
    </row>
    <row r="717" spans="17:19">
      <c r="Q717" s="70">
        <f t="shared" si="26"/>
        <v>0</v>
      </c>
    </row>
    <row r="718" spans="17:19">
      <c r="Q718" s="70">
        <f t="shared" si="26"/>
        <v>0</v>
      </c>
    </row>
    <row r="719" spans="17:19">
      <c r="Q719" s="70">
        <f t="shared" si="26"/>
        <v>0</v>
      </c>
    </row>
    <row r="720" spans="17:19">
      <c r="Q720" s="70">
        <f t="shared" si="26"/>
        <v>0</v>
      </c>
    </row>
    <row r="721" spans="17:17">
      <c r="Q721" s="70">
        <f t="shared" si="26"/>
        <v>0</v>
      </c>
    </row>
    <row r="722" spans="17:17">
      <c r="Q722" s="70">
        <f t="shared" si="26"/>
        <v>0</v>
      </c>
    </row>
    <row r="723" spans="17:17">
      <c r="Q723" s="70">
        <f t="shared" si="26"/>
        <v>0</v>
      </c>
    </row>
    <row r="724" spans="17:17">
      <c r="Q724" s="70">
        <f t="shared" si="26"/>
        <v>0</v>
      </c>
    </row>
    <row r="725" spans="17:17">
      <c r="Q725" s="70">
        <f t="shared" si="26"/>
        <v>0</v>
      </c>
    </row>
    <row r="726" spans="17:17">
      <c r="Q726" s="70">
        <f t="shared" si="26"/>
        <v>0</v>
      </c>
    </row>
    <row r="727" spans="17:17">
      <c r="Q727" s="70">
        <f t="shared" si="26"/>
        <v>0</v>
      </c>
    </row>
    <row r="728" spans="17:17">
      <c r="Q728" s="70">
        <f t="shared" si="26"/>
        <v>0</v>
      </c>
    </row>
    <row r="729" spans="17:17">
      <c r="Q729" s="70">
        <f t="shared" si="26"/>
        <v>0</v>
      </c>
    </row>
    <row r="730" spans="17:17">
      <c r="Q730" s="70">
        <f t="shared" si="26"/>
        <v>0</v>
      </c>
    </row>
    <row r="731" spans="17:17">
      <c r="Q731" s="70">
        <f t="shared" si="26"/>
        <v>0</v>
      </c>
    </row>
    <row r="732" spans="17:17">
      <c r="Q732" s="70">
        <f t="shared" si="26"/>
        <v>0</v>
      </c>
    </row>
    <row r="733" spans="17:17">
      <c r="Q733" s="70">
        <f t="shared" si="26"/>
        <v>0</v>
      </c>
    </row>
    <row r="734" spans="17:17">
      <c r="Q734" s="70">
        <f t="shared" si="26"/>
        <v>0</v>
      </c>
    </row>
    <row r="735" spans="17:17">
      <c r="Q735" s="70">
        <f t="shared" si="26"/>
        <v>0</v>
      </c>
    </row>
    <row r="736" spans="17:17">
      <c r="Q736" s="70">
        <f t="shared" si="26"/>
        <v>0</v>
      </c>
    </row>
    <row r="737" spans="17:17">
      <c r="Q737" s="70">
        <f t="shared" si="26"/>
        <v>0</v>
      </c>
    </row>
    <row r="738" spans="17:17">
      <c r="Q738" s="70">
        <f t="shared" si="26"/>
        <v>0</v>
      </c>
    </row>
    <row r="739" spans="17:17">
      <c r="Q739" s="70">
        <f t="shared" si="26"/>
        <v>0</v>
      </c>
    </row>
    <row r="740" spans="17:17">
      <c r="Q740" s="70">
        <f t="shared" si="26"/>
        <v>0</v>
      </c>
    </row>
    <row r="741" spans="17:17">
      <c r="Q741" s="70">
        <f t="shared" si="26"/>
        <v>0</v>
      </c>
    </row>
    <row r="742" spans="17:17">
      <c r="Q742" s="70">
        <f t="shared" si="26"/>
        <v>0</v>
      </c>
    </row>
    <row r="743" spans="17:17">
      <c r="Q743" s="70">
        <f t="shared" si="26"/>
        <v>0</v>
      </c>
    </row>
    <row r="744" spans="17:17">
      <c r="Q744" s="70">
        <f t="shared" si="26"/>
        <v>0</v>
      </c>
    </row>
    <row r="745" spans="17:17">
      <c r="Q745" s="70">
        <f t="shared" si="26"/>
        <v>0</v>
      </c>
    </row>
    <row r="746" spans="17:17">
      <c r="Q746" s="70">
        <f t="shared" si="26"/>
        <v>0</v>
      </c>
    </row>
    <row r="747" spans="17:17">
      <c r="Q747" s="70">
        <f t="shared" si="26"/>
        <v>0</v>
      </c>
    </row>
    <row r="748" spans="17:17">
      <c r="Q748" s="70">
        <f t="shared" si="26"/>
        <v>0</v>
      </c>
    </row>
    <row r="749" spans="17:17">
      <c r="Q749" s="70">
        <f t="shared" si="26"/>
        <v>0</v>
      </c>
    </row>
    <row r="750" spans="17:17">
      <c r="Q750" s="70">
        <f t="shared" si="26"/>
        <v>0</v>
      </c>
    </row>
    <row r="751" spans="17:17">
      <c r="Q751" s="70">
        <f t="shared" si="26"/>
        <v>0</v>
      </c>
    </row>
  </sheetData>
  <phoneticPr fontId="2" type="noConversion"/>
  <dataValidations count="1">
    <dataValidation type="list" allowBlank="1" showInputMessage="1" showErrorMessage="1" sqref="S983153 S917617 S852081 S786545 S721009 S655473 S589937 S524401 S458865 S393329 S327793 S262257 S196721 S131185 S65649 S113 S983167:S983183 S917631:S917647 S852095:S852111 S786559:S786575 S721023:S721039 S655487:S655503 S589951:S589967 S524415:S524431 S458879:S458895 S393343:S393359 S327807:S327823 S262271:S262287 S196735:S196751 S131199:S131215 S65663:S65679 S127:S143 S983158:S983161 S917622:S917625 S852086:S852089 S786550:S786553 S721014:S721017 S655478:S655481 S589942:S589945 S524406:S524409 S458870:S458873 S393334:S393337 S327798:S327801 S262262:S262265 S196726:S196729 S131190:S131193 S65654:S65657 S118:S121 B54:B65 B39:B52 B2:B36">
      <formula1>_OPTION_</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裝備規劃</vt:lpstr>
      <vt:lpstr>裝備升級花費&amp;機率</vt:lpstr>
      <vt:lpstr>傷害模擬</vt:lpstr>
      <vt:lpstr>裝備附魔</vt:lpstr>
      <vt:lpstr>鑄造</vt:lpstr>
    </vt:vector>
  </TitlesOfParts>
  <Company>CMT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work00</dc:creator>
  <cp:lastModifiedBy>scozirge</cp:lastModifiedBy>
  <dcterms:created xsi:type="dcterms:W3CDTF">2016-09-19T12:45:07Z</dcterms:created>
  <dcterms:modified xsi:type="dcterms:W3CDTF">2019-01-31T06:36:43Z</dcterms:modified>
</cp:coreProperties>
</file>
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600" yWindow="510" windowWidth="24240" windowHeight="13215"/>
  </bookViews>
  <sheets>
    <sheet name="怪物填表" sheetId="1" r:id="rId1"/>
    <sheet name="獎勵填表" sheetId="5" r:id="rId2"/>
    <sheet name="技能編輯" sheetId="6" r:id="rId3"/>
    <sheet name="英雄表" sheetId="2" r:id="rId4"/>
    <sheet name="道具表" sheetId="3" r:id="rId5"/>
    <sheet name="技能表" sheetId="7" r:id="rId6"/>
  </sheets>
  <functionGroups/>
  <externalReferences>
    <externalReference r:id="rId7"/>
  </externalReferences>
  <definedNames>
    <definedName name="_OPTION_">'[1]#OPTION'!$D$2:$D$3</definedName>
  </definedNames>
  <calcPr calcId="125725"/>
</workbook>
</file>

<file path=xl/calcChain.xml><?xml version="1.0" encoding="utf-8"?>
<calcChain xmlns="http://schemas.openxmlformats.org/spreadsheetml/2006/main">
  <c r="N7" i="6"/>
  <c r="O7"/>
  <c r="P7"/>
  <c r="Q7"/>
  <c r="R7"/>
  <c r="S7"/>
  <c r="T7"/>
  <c r="U7"/>
  <c r="V7"/>
  <c r="W7"/>
  <c r="N8"/>
  <c r="O8"/>
  <c r="P8"/>
  <c r="Q8"/>
  <c r="R8"/>
  <c r="S8"/>
  <c r="T8"/>
  <c r="U8"/>
  <c r="V8"/>
  <c r="W8"/>
  <c r="N9"/>
  <c r="O9"/>
  <c r="P9"/>
  <c r="Q9"/>
  <c r="R9"/>
  <c r="S9"/>
  <c r="T9"/>
  <c r="U9"/>
  <c r="V9"/>
  <c r="W9"/>
  <c r="N10"/>
  <c r="O10"/>
  <c r="P10"/>
  <c r="Q10"/>
  <c r="R10"/>
  <c r="S10"/>
  <c r="T10"/>
  <c r="U10"/>
  <c r="V10"/>
  <c r="W10"/>
  <c r="N11"/>
  <c r="O11"/>
  <c r="P11"/>
  <c r="Q11"/>
  <c r="R11"/>
  <c r="S11"/>
  <c r="T11"/>
  <c r="U11"/>
  <c r="V11"/>
  <c r="W11"/>
  <c r="N12"/>
  <c r="O12"/>
  <c r="P12"/>
  <c r="Q12"/>
  <c r="R12"/>
  <c r="S12"/>
  <c r="T12"/>
  <c r="U12"/>
  <c r="V12"/>
  <c r="W12"/>
  <c r="N13"/>
  <c r="O13"/>
  <c r="P13"/>
  <c r="Q13"/>
  <c r="R13"/>
  <c r="S13"/>
  <c r="T13"/>
  <c r="U13"/>
  <c r="V13"/>
  <c r="W13"/>
  <c r="N14"/>
  <c r="O14"/>
  <c r="P14"/>
  <c r="Q14"/>
  <c r="R14"/>
  <c r="S14"/>
  <c r="T14"/>
  <c r="U14"/>
  <c r="V14"/>
  <c r="W14"/>
  <c r="N15"/>
  <c r="O15"/>
  <c r="P15"/>
  <c r="Q15"/>
  <c r="R15"/>
  <c r="S15"/>
  <c r="T15"/>
  <c r="U15"/>
  <c r="V15"/>
  <c r="W15"/>
  <c r="N16"/>
  <c r="O16"/>
  <c r="P16"/>
  <c r="Q16"/>
  <c r="R16"/>
  <c r="S16"/>
  <c r="T16"/>
  <c r="U16"/>
  <c r="V16"/>
  <c r="W16"/>
  <c r="N17"/>
  <c r="O17"/>
  <c r="P17"/>
  <c r="Q17"/>
  <c r="R17"/>
  <c r="S17"/>
  <c r="T17"/>
  <c r="U17"/>
  <c r="V17"/>
  <c r="W17"/>
  <c r="N18"/>
  <c r="O18"/>
  <c r="P18"/>
  <c r="Q18"/>
  <c r="R18"/>
  <c r="S18"/>
  <c r="T18"/>
  <c r="U18"/>
  <c r="V18"/>
  <c r="W18"/>
  <c r="N19"/>
  <c r="O19"/>
  <c r="P19"/>
  <c r="Q19"/>
  <c r="R19"/>
  <c r="S19"/>
  <c r="T19"/>
  <c r="U19"/>
  <c r="V19"/>
  <c r="W19"/>
  <c r="N20"/>
  <c r="O20"/>
  <c r="P20"/>
  <c r="Q20"/>
  <c r="R20"/>
  <c r="S20"/>
  <c r="T20"/>
  <c r="U20"/>
  <c r="V20"/>
  <c r="W20"/>
  <c r="N21"/>
  <c r="O21"/>
  <c r="P21"/>
  <c r="Q21"/>
  <c r="R21"/>
  <c r="S21"/>
  <c r="T21"/>
  <c r="U21"/>
  <c r="V21"/>
  <c r="W21"/>
  <c r="N22"/>
  <c r="O22"/>
  <c r="P22"/>
  <c r="Q22"/>
  <c r="R22"/>
  <c r="S22"/>
  <c r="T22"/>
  <c r="U22"/>
  <c r="V22"/>
  <c r="W22"/>
  <c r="N23"/>
  <c r="O23"/>
  <c r="P23"/>
  <c r="Q23"/>
  <c r="R23"/>
  <c r="S23"/>
  <c r="T23"/>
  <c r="U23"/>
  <c r="V23"/>
  <c r="W23"/>
  <c r="N24"/>
  <c r="O24"/>
  <c r="P24"/>
  <c r="Q24"/>
  <c r="R24"/>
  <c r="S24"/>
  <c r="T24"/>
  <c r="U24"/>
  <c r="V24"/>
  <c r="W24"/>
  <c r="N25"/>
  <c r="O25"/>
  <c r="P25"/>
  <c r="Q25"/>
  <c r="R25"/>
  <c r="S25"/>
  <c r="T25"/>
  <c r="U25"/>
  <c r="V25"/>
  <c r="W25"/>
  <c r="N26"/>
  <c r="O26"/>
  <c r="P26"/>
  <c r="Q26"/>
  <c r="R26"/>
  <c r="S26"/>
  <c r="T26"/>
  <c r="U26"/>
  <c r="V26"/>
  <c r="W26"/>
  <c r="B20" i="1"/>
  <c r="S27" i="6"/>
  <c r="S28"/>
  <c r="S29"/>
  <c r="S30"/>
  <c r="S31"/>
  <c r="S32"/>
  <c r="S33"/>
  <c r="S34"/>
  <c r="S35"/>
  <c r="S36"/>
  <c r="S37"/>
  <c r="S38"/>
  <c r="S39"/>
  <c r="S40"/>
  <c r="S41"/>
  <c r="S42"/>
  <c r="R27"/>
  <c r="R28"/>
  <c r="R29"/>
  <c r="R30"/>
  <c r="R31"/>
  <c r="R32"/>
  <c r="R33"/>
  <c r="R34"/>
  <c r="R35"/>
  <c r="R36"/>
  <c r="R37"/>
  <c r="R38"/>
  <c r="R39"/>
  <c r="R40"/>
  <c r="R41"/>
  <c r="R42"/>
  <c r="E24" i="1"/>
  <c r="F20"/>
  <c r="B21"/>
  <c r="O39" i="5"/>
  <c r="P39"/>
  <c r="Q39"/>
  <c r="R39"/>
  <c r="S39"/>
  <c r="O40"/>
  <c r="P40"/>
  <c r="Q40"/>
  <c r="R40"/>
  <c r="S40"/>
  <c r="O41"/>
  <c r="P41"/>
  <c r="Q41"/>
  <c r="R41"/>
  <c r="S41"/>
  <c r="O42"/>
  <c r="P42"/>
  <c r="Q42"/>
  <c r="R42"/>
  <c r="S42"/>
  <c r="O43"/>
  <c r="P43"/>
  <c r="Q43"/>
  <c r="R43"/>
  <c r="S43"/>
  <c r="O44"/>
  <c r="P44"/>
  <c r="Q44"/>
  <c r="R44"/>
  <c r="S44"/>
  <c r="O45"/>
  <c r="P45"/>
  <c r="Q45"/>
  <c r="R45"/>
  <c r="S45"/>
  <c r="O46"/>
  <c r="P46"/>
  <c r="Q46"/>
  <c r="R46"/>
  <c r="S46"/>
  <c r="O47"/>
  <c r="P47"/>
  <c r="Q47"/>
  <c r="R47"/>
  <c r="S47"/>
  <c r="O48"/>
  <c r="P48"/>
  <c r="Q48"/>
  <c r="R48"/>
  <c r="S48"/>
  <c r="O49"/>
  <c r="P49"/>
  <c r="Q49"/>
  <c r="R49"/>
  <c r="S49"/>
  <c r="O50"/>
  <c r="P50"/>
  <c r="Q50"/>
  <c r="R50"/>
  <c r="S50"/>
  <c r="O51"/>
  <c r="P51"/>
  <c r="Q51"/>
  <c r="R51"/>
  <c r="S51"/>
  <c r="O52"/>
  <c r="P52"/>
  <c r="Q52"/>
  <c r="R52"/>
  <c r="S52"/>
  <c r="O53"/>
  <c r="P53"/>
  <c r="Q53"/>
  <c r="R53"/>
  <c r="S53"/>
  <c r="O54"/>
  <c r="P54"/>
  <c r="Q54"/>
  <c r="R54"/>
  <c r="S54"/>
  <c r="O55"/>
  <c r="P55"/>
  <c r="Q55"/>
  <c r="R55"/>
  <c r="S55"/>
  <c r="O56"/>
  <c r="P56"/>
  <c r="Q56"/>
  <c r="R56"/>
  <c r="S56"/>
  <c r="O57"/>
  <c r="P57"/>
  <c r="Q57"/>
  <c r="R57"/>
  <c r="S57"/>
  <c r="O58"/>
  <c r="P58"/>
  <c r="Q58"/>
  <c r="R58"/>
  <c r="S58"/>
  <c r="O59"/>
  <c r="P59"/>
  <c r="Q59"/>
  <c r="R59"/>
  <c r="S59"/>
  <c r="O60"/>
  <c r="P60"/>
  <c r="Q60"/>
  <c r="R60"/>
  <c r="S60"/>
  <c r="O61"/>
  <c r="P61"/>
  <c r="Q61"/>
  <c r="R61"/>
  <c r="S61"/>
  <c r="O62"/>
  <c r="P62"/>
  <c r="Q62"/>
  <c r="R62"/>
  <c r="S62"/>
  <c r="O63"/>
  <c r="P63"/>
  <c r="Q63"/>
  <c r="R63"/>
  <c r="S63"/>
  <c r="O64"/>
  <c r="P64"/>
  <c r="Q64"/>
  <c r="R64"/>
  <c r="S64"/>
  <c r="O65"/>
  <c r="P65"/>
  <c r="Q65"/>
  <c r="R65"/>
  <c r="S65"/>
  <c r="O66"/>
  <c r="P66"/>
  <c r="Q66"/>
  <c r="R66"/>
  <c r="S66"/>
  <c r="O67"/>
  <c r="P67"/>
  <c r="Q67"/>
  <c r="R67"/>
  <c r="S67"/>
  <c r="O68"/>
  <c r="P68"/>
  <c r="Q68"/>
  <c r="R68"/>
  <c r="S68"/>
  <c r="O69"/>
  <c r="P69"/>
  <c r="Q69"/>
  <c r="R69"/>
  <c r="S69"/>
  <c r="O70"/>
  <c r="P70"/>
  <c r="Q70"/>
  <c r="R70"/>
  <c r="S70"/>
  <c r="O71"/>
  <c r="P71"/>
  <c r="Q71"/>
  <c r="R71"/>
  <c r="S71"/>
  <c r="O72"/>
  <c r="P72"/>
  <c r="Q72"/>
  <c r="R72"/>
  <c r="S72"/>
  <c r="O73"/>
  <c r="P73"/>
  <c r="Q73"/>
  <c r="R73"/>
  <c r="S73"/>
  <c r="O74"/>
  <c r="P74"/>
  <c r="Q74"/>
  <c r="R74"/>
  <c r="S74"/>
  <c r="O75"/>
  <c r="P75"/>
  <c r="Q75"/>
  <c r="R75"/>
  <c r="S75"/>
  <c r="O76"/>
  <c r="P76"/>
  <c r="Q76"/>
  <c r="R76"/>
  <c r="S76"/>
  <c r="O77"/>
  <c r="P77"/>
  <c r="Q77"/>
  <c r="R77"/>
  <c r="S77"/>
  <c r="O78"/>
  <c r="P78"/>
  <c r="Q78"/>
  <c r="R78"/>
  <c r="S78"/>
  <c r="O79"/>
  <c r="P79"/>
  <c r="Q79"/>
  <c r="R79"/>
  <c r="S79"/>
  <c r="O80"/>
  <c r="P80"/>
  <c r="Q80"/>
  <c r="R80"/>
  <c r="S80"/>
  <c r="O81"/>
  <c r="P81"/>
  <c r="Q81"/>
  <c r="R81"/>
  <c r="S81"/>
  <c r="O82"/>
  <c r="P82"/>
  <c r="Q82"/>
  <c r="R82"/>
  <c r="S82"/>
  <c r="O83"/>
  <c r="P83"/>
  <c r="Q83"/>
  <c r="R83"/>
  <c r="S83"/>
  <c r="P84"/>
  <c r="Q84"/>
  <c r="R84"/>
  <c r="S84"/>
  <c r="O85"/>
  <c r="P85"/>
  <c r="Q85"/>
  <c r="R85"/>
  <c r="S85"/>
  <c r="O86"/>
  <c r="P86"/>
  <c r="Q86"/>
  <c r="R86"/>
  <c r="S86"/>
  <c r="O87"/>
  <c r="P87"/>
  <c r="Q87"/>
  <c r="R87"/>
  <c r="S87"/>
  <c r="O88"/>
  <c r="P88"/>
  <c r="Q88"/>
  <c r="R88"/>
  <c r="S88"/>
  <c r="O89"/>
  <c r="P89"/>
  <c r="Q89"/>
  <c r="R89"/>
  <c r="S89"/>
  <c r="O90"/>
  <c r="P90"/>
  <c r="Q90"/>
  <c r="R90"/>
  <c r="S90"/>
  <c r="O91"/>
  <c r="P91"/>
  <c r="Q91"/>
  <c r="R91"/>
  <c r="S91"/>
  <c r="O92"/>
  <c r="P92"/>
  <c r="Q92"/>
  <c r="R92"/>
  <c r="S92"/>
  <c r="O93"/>
  <c r="P93"/>
  <c r="Q93"/>
  <c r="R93"/>
  <c r="S93"/>
  <c r="O94"/>
  <c r="P94"/>
  <c r="Q94"/>
  <c r="R94"/>
  <c r="S94"/>
  <c r="O95"/>
  <c r="P95"/>
  <c r="Q95"/>
  <c r="R95"/>
  <c r="S95"/>
  <c r="P96"/>
  <c r="Q96"/>
  <c r="R96"/>
  <c r="S96"/>
  <c r="O97"/>
  <c r="P97"/>
  <c r="Q97"/>
  <c r="R97"/>
  <c r="S97"/>
  <c r="O98"/>
  <c r="P98"/>
  <c r="Q98"/>
  <c r="R98"/>
  <c r="S98"/>
  <c r="O99"/>
  <c r="P99"/>
  <c r="Q99"/>
  <c r="R99"/>
  <c r="S99"/>
  <c r="O100"/>
  <c r="P100"/>
  <c r="Q100"/>
  <c r="R100"/>
  <c r="S100"/>
  <c r="O101"/>
  <c r="P101"/>
  <c r="Q101"/>
  <c r="R101"/>
  <c r="S101"/>
  <c r="O102"/>
  <c r="P102"/>
  <c r="Q102"/>
  <c r="R102"/>
  <c r="S102"/>
  <c r="O103"/>
  <c r="P103"/>
  <c r="Q103"/>
  <c r="R103"/>
  <c r="S103"/>
  <c r="O104"/>
  <c r="P104"/>
  <c r="Q104"/>
  <c r="R104"/>
  <c r="S104"/>
  <c r="O105"/>
  <c r="P105"/>
  <c r="Q105"/>
  <c r="R105"/>
  <c r="S105"/>
  <c r="O106"/>
  <c r="P106"/>
  <c r="Q106"/>
  <c r="R106"/>
  <c r="S106"/>
  <c r="O107"/>
  <c r="P107"/>
  <c r="Q107"/>
  <c r="R107"/>
  <c r="S107"/>
  <c r="P108"/>
  <c r="Q108"/>
  <c r="R108"/>
  <c r="S108"/>
  <c r="O109"/>
  <c r="P109"/>
  <c r="Q109"/>
  <c r="R109"/>
  <c r="S109"/>
  <c r="O110"/>
  <c r="P110"/>
  <c r="Q110"/>
  <c r="R110"/>
  <c r="S110"/>
  <c r="O111"/>
  <c r="P111"/>
  <c r="Q111"/>
  <c r="R111"/>
  <c r="S111"/>
  <c r="O112"/>
  <c r="P112"/>
  <c r="Q112"/>
  <c r="R112"/>
  <c r="S112"/>
  <c r="O113"/>
  <c r="P113"/>
  <c r="Q113"/>
  <c r="R113"/>
  <c r="S113"/>
  <c r="O114"/>
  <c r="P114"/>
  <c r="Q114"/>
  <c r="R114"/>
  <c r="S114"/>
  <c r="O115"/>
  <c r="P115"/>
  <c r="Q115"/>
  <c r="R115"/>
  <c r="S115"/>
  <c r="O116"/>
  <c r="P116"/>
  <c r="Q116"/>
  <c r="R116"/>
  <c r="S116"/>
  <c r="O117"/>
  <c r="P117"/>
  <c r="Q117"/>
  <c r="R117"/>
  <c r="S117"/>
  <c r="O118"/>
  <c r="P118"/>
  <c r="Q118"/>
  <c r="R118"/>
  <c r="S118"/>
  <c r="O119"/>
  <c r="P119"/>
  <c r="Q119"/>
  <c r="R119"/>
  <c r="S119"/>
  <c r="O120"/>
  <c r="P120"/>
  <c r="Q120"/>
  <c r="R120"/>
  <c r="S120"/>
  <c r="O121"/>
  <c r="P121"/>
  <c r="Q121"/>
  <c r="R121"/>
  <c r="S121"/>
  <c r="O122"/>
  <c r="P122"/>
  <c r="Q122"/>
  <c r="R122"/>
  <c r="S122"/>
  <c r="O123"/>
  <c r="P123"/>
  <c r="Q123"/>
  <c r="R123"/>
  <c r="S123"/>
  <c r="O124"/>
  <c r="P124"/>
  <c r="Q124"/>
  <c r="R124"/>
  <c r="S124"/>
  <c r="O125"/>
  <c r="P125"/>
  <c r="Q125"/>
  <c r="R125"/>
  <c r="S125"/>
  <c r="O126"/>
  <c r="P126"/>
  <c r="Q126"/>
  <c r="R126"/>
  <c r="S126"/>
  <c r="O127"/>
  <c r="P127"/>
  <c r="Q127"/>
  <c r="R127"/>
  <c r="S127"/>
  <c r="O128"/>
  <c r="P128"/>
  <c r="Q128"/>
  <c r="R128"/>
  <c r="S128"/>
  <c r="O129"/>
  <c r="P129"/>
  <c r="Q129"/>
  <c r="R129"/>
  <c r="S129"/>
  <c r="O130"/>
  <c r="P130"/>
  <c r="Q130"/>
  <c r="R130"/>
  <c r="S130"/>
  <c r="O131"/>
  <c r="P131"/>
  <c r="Q131"/>
  <c r="R131"/>
  <c r="S131"/>
  <c r="P132"/>
  <c r="Q132"/>
  <c r="R132"/>
  <c r="S132"/>
  <c r="O133"/>
  <c r="P133"/>
  <c r="Q133"/>
  <c r="R133"/>
  <c r="S133"/>
  <c r="O134"/>
  <c r="P134"/>
  <c r="Q134"/>
  <c r="R134"/>
  <c r="S134"/>
  <c r="O135"/>
  <c r="P135"/>
  <c r="Q135"/>
  <c r="R135"/>
  <c r="S135"/>
  <c r="O136"/>
  <c r="P136"/>
  <c r="Q136"/>
  <c r="R136"/>
  <c r="S136"/>
  <c r="O137"/>
  <c r="P137"/>
  <c r="Q137"/>
  <c r="R137"/>
  <c r="S137"/>
  <c r="O138"/>
  <c r="P138"/>
  <c r="Q138"/>
  <c r="R138"/>
  <c r="S138"/>
  <c r="O139"/>
  <c r="P139"/>
  <c r="Q139"/>
  <c r="R139"/>
  <c r="S139"/>
  <c r="O140"/>
  <c r="P140"/>
  <c r="Q140"/>
  <c r="R140"/>
  <c r="S140"/>
  <c r="O141"/>
  <c r="P141"/>
  <c r="Q141"/>
  <c r="R141"/>
  <c r="S141"/>
  <c r="O142"/>
  <c r="P142"/>
  <c r="Q142"/>
  <c r="R142"/>
  <c r="S142"/>
  <c r="O143"/>
  <c r="P143"/>
  <c r="Q143"/>
  <c r="R143"/>
  <c r="S143"/>
  <c r="O144"/>
  <c r="P144"/>
  <c r="Q144"/>
  <c r="R144"/>
  <c r="S144"/>
  <c r="O145"/>
  <c r="P145"/>
  <c r="Q145"/>
  <c r="R145"/>
  <c r="S145"/>
  <c r="O146"/>
  <c r="P146"/>
  <c r="Q146"/>
  <c r="R146"/>
  <c r="S146"/>
  <c r="O147"/>
  <c r="P147"/>
  <c r="Q147"/>
  <c r="R147"/>
  <c r="S147"/>
  <c r="O148"/>
  <c r="P148"/>
  <c r="Q148"/>
  <c r="R148"/>
  <c r="S148"/>
  <c r="O149"/>
  <c r="P149"/>
  <c r="Q149"/>
  <c r="R149"/>
  <c r="S149"/>
  <c r="O150"/>
  <c r="P150"/>
  <c r="Q150"/>
  <c r="R150"/>
  <c r="S150"/>
  <c r="O151"/>
  <c r="P151"/>
  <c r="Q151"/>
  <c r="R151"/>
  <c r="S151"/>
  <c r="O152"/>
  <c r="P152"/>
  <c r="Q152"/>
  <c r="R152"/>
  <c r="S152"/>
  <c r="O153"/>
  <c r="P153"/>
  <c r="Q153"/>
  <c r="R153"/>
  <c r="S153"/>
  <c r="O154"/>
  <c r="P154"/>
  <c r="Q154"/>
  <c r="R154"/>
  <c r="S154"/>
  <c r="O155"/>
  <c r="P155"/>
  <c r="Q155"/>
  <c r="R155"/>
  <c r="S155"/>
  <c r="O156"/>
  <c r="P156"/>
  <c r="Q156"/>
  <c r="R156"/>
  <c r="S156"/>
  <c r="O157"/>
  <c r="P157"/>
  <c r="Q157"/>
  <c r="R157"/>
  <c r="S157"/>
  <c r="O158"/>
  <c r="P158"/>
  <c r="Q158"/>
  <c r="R158"/>
  <c r="S158"/>
  <c r="O159"/>
  <c r="P159"/>
  <c r="Q159"/>
  <c r="R159"/>
  <c r="S159"/>
  <c r="O160"/>
  <c r="P160"/>
  <c r="Q160"/>
  <c r="R160"/>
  <c r="S160"/>
  <c r="O161"/>
  <c r="P161"/>
  <c r="Q161"/>
  <c r="R161"/>
  <c r="S161"/>
  <c r="O162"/>
  <c r="P162"/>
  <c r="Q162"/>
  <c r="R162"/>
  <c r="S162"/>
  <c r="O163"/>
  <c r="P163"/>
  <c r="Q163"/>
  <c r="R163"/>
  <c r="S163"/>
  <c r="O164"/>
  <c r="P164"/>
  <c r="Q164"/>
  <c r="R164"/>
  <c r="S164"/>
  <c r="O165"/>
  <c r="P165"/>
  <c r="Q165"/>
  <c r="R165"/>
  <c r="S165"/>
  <c r="O166"/>
  <c r="P166"/>
  <c r="Q166"/>
  <c r="R166"/>
  <c r="S166"/>
  <c r="O167"/>
  <c r="P167"/>
  <c r="Q167"/>
  <c r="R167"/>
  <c r="S167"/>
  <c r="O168"/>
  <c r="P168"/>
  <c r="Q168"/>
  <c r="R168"/>
  <c r="S168"/>
  <c r="O169"/>
  <c r="P169"/>
  <c r="Q169"/>
  <c r="R169"/>
  <c r="S169"/>
  <c r="O170"/>
  <c r="P170"/>
  <c r="Q170"/>
  <c r="R170"/>
  <c r="S170"/>
  <c r="O171"/>
  <c r="P171"/>
  <c r="Q171"/>
  <c r="R171"/>
  <c r="S171"/>
  <c r="O172"/>
  <c r="P172"/>
  <c r="Q172"/>
  <c r="R172"/>
  <c r="S172"/>
  <c r="O173"/>
  <c r="P173"/>
  <c r="Q173"/>
  <c r="R173"/>
  <c r="S173"/>
  <c r="O174"/>
  <c r="P174"/>
  <c r="Q174"/>
  <c r="R174"/>
  <c r="S174"/>
  <c r="O175"/>
  <c r="P175"/>
  <c r="Q175"/>
  <c r="R175"/>
  <c r="S175"/>
  <c r="O176"/>
  <c r="P176"/>
  <c r="Q176"/>
  <c r="R176"/>
  <c r="S176"/>
  <c r="O177"/>
  <c r="P177"/>
  <c r="Q177"/>
  <c r="R177"/>
  <c r="S177"/>
  <c r="O178"/>
  <c r="P178"/>
  <c r="Q178"/>
  <c r="R178"/>
  <c r="S178"/>
  <c r="O179"/>
  <c r="P179"/>
  <c r="Q179"/>
  <c r="R179"/>
  <c r="S179"/>
  <c r="O180"/>
  <c r="P180"/>
  <c r="Q180"/>
  <c r="R180"/>
  <c r="S180"/>
  <c r="O181"/>
  <c r="P181"/>
  <c r="Q181"/>
  <c r="R181"/>
  <c r="S181"/>
  <c r="O182"/>
  <c r="P182"/>
  <c r="Q182"/>
  <c r="R182"/>
  <c r="S182"/>
  <c r="O183"/>
  <c r="P183"/>
  <c r="Q183"/>
  <c r="R183"/>
  <c r="S183"/>
  <c r="O184"/>
  <c r="P184"/>
  <c r="Q184"/>
  <c r="R184"/>
  <c r="S184"/>
  <c r="O185"/>
  <c r="P185"/>
  <c r="Q185"/>
  <c r="R185"/>
  <c r="S185"/>
  <c r="O186"/>
  <c r="P186"/>
  <c r="Q186"/>
  <c r="R186"/>
  <c r="S186"/>
  <c r="O187"/>
  <c r="P187"/>
  <c r="Q187"/>
  <c r="R187"/>
  <c r="S187"/>
  <c r="O188"/>
  <c r="P188"/>
  <c r="Q188"/>
  <c r="R188"/>
  <c r="S188"/>
  <c r="O189"/>
  <c r="P189"/>
  <c r="Q189"/>
  <c r="R189"/>
  <c r="S189"/>
  <c r="O190"/>
  <c r="P190"/>
  <c r="Q190"/>
  <c r="R190"/>
  <c r="S190"/>
  <c r="O191"/>
  <c r="P191"/>
  <c r="Q191"/>
  <c r="R191"/>
  <c r="S191"/>
  <c r="O192"/>
  <c r="P192"/>
  <c r="Q192"/>
  <c r="R192"/>
  <c r="S192"/>
  <c r="O193"/>
  <c r="P193"/>
  <c r="Q193"/>
  <c r="R193"/>
  <c r="S193"/>
  <c r="O194"/>
  <c r="P194"/>
  <c r="Q194"/>
  <c r="R194"/>
  <c r="S194"/>
  <c r="O195"/>
  <c r="P195"/>
  <c r="Q195"/>
  <c r="R195"/>
  <c r="S195"/>
  <c r="O196"/>
  <c r="P196"/>
  <c r="Q196"/>
  <c r="R196"/>
  <c r="S196"/>
  <c r="O197"/>
  <c r="P197"/>
  <c r="Q197"/>
  <c r="R197"/>
  <c r="S197"/>
  <c r="O198"/>
  <c r="P198"/>
  <c r="Q198"/>
  <c r="R198"/>
  <c r="S198"/>
  <c r="O199"/>
  <c r="P199"/>
  <c r="Q199"/>
  <c r="R199"/>
  <c r="S199"/>
  <c r="O200"/>
  <c r="P200"/>
  <c r="Q200"/>
  <c r="R200"/>
  <c r="S200"/>
  <c r="O201"/>
  <c r="P201"/>
  <c r="Q201"/>
  <c r="R201"/>
  <c r="S201"/>
  <c r="O202"/>
  <c r="P202"/>
  <c r="Q202"/>
  <c r="R202"/>
  <c r="S202"/>
  <c r="O203"/>
  <c r="P203"/>
  <c r="Q203"/>
  <c r="R203"/>
  <c r="S203"/>
  <c r="O204"/>
  <c r="P204"/>
  <c r="Q204"/>
  <c r="R204"/>
  <c r="S204"/>
  <c r="O205"/>
  <c r="P205"/>
  <c r="Q205"/>
  <c r="R205"/>
  <c r="S205"/>
  <c r="O206"/>
  <c r="P206"/>
  <c r="Q206"/>
  <c r="R206"/>
  <c r="S206"/>
  <c r="O207"/>
  <c r="P207"/>
  <c r="Q207"/>
  <c r="R207"/>
  <c r="S207"/>
  <c r="O208"/>
  <c r="P208"/>
  <c r="Q208"/>
  <c r="R208"/>
  <c r="S208"/>
  <c r="O209"/>
  <c r="P209"/>
  <c r="Q209"/>
  <c r="R209"/>
  <c r="S209"/>
  <c r="O210"/>
  <c r="P210"/>
  <c r="Q210"/>
  <c r="R210"/>
  <c r="S210"/>
  <c r="O211"/>
  <c r="P211"/>
  <c r="Q211"/>
  <c r="R211"/>
  <c r="S211"/>
  <c r="O212"/>
  <c r="P212"/>
  <c r="Q212"/>
  <c r="R212"/>
  <c r="S212"/>
  <c r="O213"/>
  <c r="P213"/>
  <c r="Q213"/>
  <c r="R213"/>
  <c r="S213"/>
  <c r="O214"/>
  <c r="P214"/>
  <c r="Q214"/>
  <c r="R214"/>
  <c r="S214"/>
  <c r="O215"/>
  <c r="P215"/>
  <c r="Q215"/>
  <c r="R215"/>
  <c r="S215"/>
  <c r="O216"/>
  <c r="P216"/>
  <c r="Q216"/>
  <c r="R216"/>
  <c r="S216"/>
  <c r="O217"/>
  <c r="P217"/>
  <c r="Q217"/>
  <c r="R217"/>
  <c r="S217"/>
  <c r="O218"/>
  <c r="P218"/>
  <c r="Q218"/>
  <c r="R218"/>
  <c r="S218"/>
  <c r="O219"/>
  <c r="P219"/>
  <c r="Q219"/>
  <c r="R219"/>
  <c r="S219"/>
  <c r="O220"/>
  <c r="P220"/>
  <c r="Q220"/>
  <c r="R220"/>
  <c r="S220"/>
  <c r="O221"/>
  <c r="P221"/>
  <c r="Q221"/>
  <c r="R221"/>
  <c r="S221"/>
  <c r="O222"/>
  <c r="P222"/>
  <c r="Q222"/>
  <c r="R222"/>
  <c r="S222"/>
  <c r="O223"/>
  <c r="P223"/>
  <c r="Q223"/>
  <c r="R223"/>
  <c r="S223"/>
  <c r="O224"/>
  <c r="P224"/>
  <c r="Q224"/>
  <c r="R224"/>
  <c r="S224"/>
  <c r="O225"/>
  <c r="P225"/>
  <c r="Q225"/>
  <c r="R225"/>
  <c r="S225"/>
  <c r="O226"/>
  <c r="P226"/>
  <c r="Q226"/>
  <c r="R226"/>
  <c r="S226"/>
  <c r="O227"/>
  <c r="P227"/>
  <c r="Q227"/>
  <c r="R227"/>
  <c r="S227"/>
  <c r="O228"/>
  <c r="P228"/>
  <c r="Q228"/>
  <c r="R228"/>
  <c r="S228"/>
  <c r="O229"/>
  <c r="P229"/>
  <c r="Q229"/>
  <c r="R229"/>
  <c r="S229"/>
  <c r="O230"/>
  <c r="P230"/>
  <c r="Q230"/>
  <c r="R230"/>
  <c r="S230"/>
  <c r="O231"/>
  <c r="P231"/>
  <c r="Q231"/>
  <c r="R231"/>
  <c r="S231"/>
  <c r="O232"/>
  <c r="P232"/>
  <c r="Q232"/>
  <c r="R232"/>
  <c r="S232"/>
  <c r="O233"/>
  <c r="P233"/>
  <c r="Q233"/>
  <c r="R233"/>
  <c r="S233"/>
  <c r="O234"/>
  <c r="P234"/>
  <c r="Q234"/>
  <c r="R234"/>
  <c r="S234"/>
  <c r="O235"/>
  <c r="P235"/>
  <c r="Q235"/>
  <c r="R235"/>
  <c r="S235"/>
  <c r="O236"/>
  <c r="P236"/>
  <c r="Q236"/>
  <c r="R236"/>
  <c r="S236"/>
  <c r="O237"/>
  <c r="P237"/>
  <c r="Q237"/>
  <c r="R237"/>
  <c r="S237"/>
  <c r="O238"/>
  <c r="P238"/>
  <c r="Q238"/>
  <c r="R238"/>
  <c r="S238"/>
  <c r="O239"/>
  <c r="P239"/>
  <c r="Q239"/>
  <c r="R239"/>
  <c r="S239"/>
  <c r="O240"/>
  <c r="P240"/>
  <c r="Q240"/>
  <c r="R240"/>
  <c r="S240"/>
  <c r="O241"/>
  <c r="P241"/>
  <c r="Q241"/>
  <c r="R241"/>
  <c r="S241"/>
  <c r="O242"/>
  <c r="P242"/>
  <c r="Q242"/>
  <c r="R242"/>
  <c r="S242"/>
  <c r="O243"/>
  <c r="P243"/>
  <c r="Q243"/>
  <c r="R243"/>
  <c r="S243"/>
  <c r="O244"/>
  <c r="P244"/>
  <c r="Q244"/>
  <c r="R244"/>
  <c r="S244"/>
  <c r="O245"/>
  <c r="P245"/>
  <c r="Q245"/>
  <c r="R245"/>
  <c r="S245"/>
  <c r="O246"/>
  <c r="P246"/>
  <c r="Q246"/>
  <c r="R246"/>
  <c r="S246"/>
  <c r="O247"/>
  <c r="P247"/>
  <c r="Q247"/>
  <c r="R247"/>
  <c r="S247"/>
  <c r="O248"/>
  <c r="P248"/>
  <c r="Q248"/>
  <c r="R248"/>
  <c r="S248"/>
  <c r="O249"/>
  <c r="P249"/>
  <c r="Q249"/>
  <c r="R249"/>
  <c r="S249"/>
  <c r="O250"/>
  <c r="P250"/>
  <c r="Q250"/>
  <c r="R250"/>
  <c r="S250"/>
  <c r="O251"/>
  <c r="P251"/>
  <c r="Q251"/>
  <c r="R251"/>
  <c r="S251"/>
  <c r="O252"/>
  <c r="P252"/>
  <c r="Q252"/>
  <c r="R252"/>
  <c r="S252"/>
  <c r="O253"/>
  <c r="P253"/>
  <c r="Q253"/>
  <c r="R253"/>
  <c r="S253"/>
  <c r="O254"/>
  <c r="P254"/>
  <c r="Q254"/>
  <c r="R254"/>
  <c r="S254"/>
  <c r="O255"/>
  <c r="P255"/>
  <c r="Q255"/>
  <c r="R255"/>
  <c r="S255"/>
  <c r="O256"/>
  <c r="P256"/>
  <c r="Q256"/>
  <c r="R256"/>
  <c r="S256"/>
  <c r="O257"/>
  <c r="P257"/>
  <c r="Q257"/>
  <c r="R257"/>
  <c r="S257"/>
  <c r="O258"/>
  <c r="P258"/>
  <c r="Q258"/>
  <c r="R258"/>
  <c r="S258"/>
  <c r="O259"/>
  <c r="P259"/>
  <c r="Q259"/>
  <c r="R259"/>
  <c r="S259"/>
  <c r="O260"/>
  <c r="P260"/>
  <c r="Q260"/>
  <c r="R260"/>
  <c r="S260"/>
  <c r="O261"/>
  <c r="P261"/>
  <c r="Q261"/>
  <c r="R261"/>
  <c r="S261"/>
  <c r="O262"/>
  <c r="P262"/>
  <c r="Q262"/>
  <c r="R262"/>
  <c r="S262"/>
  <c r="O263"/>
  <c r="P263"/>
  <c r="Q263"/>
  <c r="R263"/>
  <c r="S263"/>
  <c r="O264"/>
  <c r="P264"/>
  <c r="Q264"/>
  <c r="R264"/>
  <c r="S264"/>
  <c r="O265"/>
  <c r="P265"/>
  <c r="Q265"/>
  <c r="R265"/>
  <c r="S265"/>
  <c r="O266"/>
  <c r="P266"/>
  <c r="Q266"/>
  <c r="R266"/>
  <c r="S266"/>
  <c r="O267"/>
  <c r="P267"/>
  <c r="Q267"/>
  <c r="R267"/>
  <c r="S267"/>
  <c r="O268"/>
  <c r="P268"/>
  <c r="Q268"/>
  <c r="R268"/>
  <c r="S268"/>
  <c r="O269"/>
  <c r="P269"/>
  <c r="Q269"/>
  <c r="R269"/>
  <c r="S269"/>
  <c r="O270"/>
  <c r="P270"/>
  <c r="Q270"/>
  <c r="R270"/>
  <c r="S270"/>
  <c r="O271"/>
  <c r="P271"/>
  <c r="Q271"/>
  <c r="R271"/>
  <c r="S271"/>
  <c r="O272"/>
  <c r="P272"/>
  <c r="Q272"/>
  <c r="R272"/>
  <c r="S272"/>
  <c r="O273"/>
  <c r="P273"/>
  <c r="Q273"/>
  <c r="R273"/>
  <c r="S273"/>
  <c r="O274"/>
  <c r="P274"/>
  <c r="Q274"/>
  <c r="R274"/>
  <c r="S274"/>
  <c r="O275"/>
  <c r="P275"/>
  <c r="Q275"/>
  <c r="R275"/>
  <c r="S275"/>
  <c r="O276"/>
  <c r="P276"/>
  <c r="Q276"/>
  <c r="R276"/>
  <c r="S276"/>
  <c r="O277"/>
  <c r="P277"/>
  <c r="Q277"/>
  <c r="R277"/>
  <c r="S277"/>
  <c r="O278"/>
  <c r="P278"/>
  <c r="Q278"/>
  <c r="R278"/>
  <c r="S278"/>
  <c r="O279"/>
  <c r="P279"/>
  <c r="Q279"/>
  <c r="R279"/>
  <c r="S279"/>
  <c r="O280"/>
  <c r="P280"/>
  <c r="Q280"/>
  <c r="R280"/>
  <c r="S280"/>
  <c r="O281"/>
  <c r="P281"/>
  <c r="Q281"/>
  <c r="R281"/>
  <c r="S281"/>
  <c r="O282"/>
  <c r="P282"/>
  <c r="Q282"/>
  <c r="R282"/>
  <c r="S282"/>
  <c r="O283"/>
  <c r="P283"/>
  <c r="Q283"/>
  <c r="R283"/>
  <c r="S283"/>
  <c r="O284"/>
  <c r="P284"/>
  <c r="Q284"/>
  <c r="R284"/>
  <c r="S284"/>
  <c r="O285"/>
  <c r="P285"/>
  <c r="Q285"/>
  <c r="R285"/>
  <c r="S285"/>
  <c r="O286"/>
  <c r="P286"/>
  <c r="Q286"/>
  <c r="R286"/>
  <c r="S286"/>
  <c r="O287"/>
  <c r="P287"/>
  <c r="Q287"/>
  <c r="R287"/>
  <c r="S287"/>
  <c r="O288"/>
  <c r="P288"/>
  <c r="Q288"/>
  <c r="R288"/>
  <c r="S288"/>
  <c r="O289"/>
  <c r="P289"/>
  <c r="Q289"/>
  <c r="R289"/>
  <c r="S289"/>
  <c r="O290"/>
  <c r="P290"/>
  <c r="Q290"/>
  <c r="R290"/>
  <c r="S290"/>
  <c r="O291"/>
  <c r="P291"/>
  <c r="Q291"/>
  <c r="R291"/>
  <c r="S291"/>
  <c r="O292"/>
  <c r="P292"/>
  <c r="Q292"/>
  <c r="R292"/>
  <c r="S292"/>
  <c r="O293"/>
  <c r="P293"/>
  <c r="Q293"/>
  <c r="R293"/>
  <c r="S293"/>
  <c r="O294"/>
  <c r="P294"/>
  <c r="Q294"/>
  <c r="R294"/>
  <c r="S294"/>
  <c r="O295"/>
  <c r="P295"/>
  <c r="Q295"/>
  <c r="R295"/>
  <c r="S295"/>
  <c r="O296"/>
  <c r="P296"/>
  <c r="Q296"/>
  <c r="R296"/>
  <c r="S296"/>
  <c r="O297"/>
  <c r="P297"/>
  <c r="Q297"/>
  <c r="R297"/>
  <c r="S297"/>
  <c r="O298"/>
  <c r="P298"/>
  <c r="Q298"/>
  <c r="R298"/>
  <c r="S298"/>
  <c r="O299"/>
  <c r="P299"/>
  <c r="Q299"/>
  <c r="R299"/>
  <c r="S299"/>
  <c r="O300"/>
  <c r="P300"/>
  <c r="Q300"/>
  <c r="R300"/>
  <c r="S300"/>
  <c r="O301"/>
  <c r="P301"/>
  <c r="Q301"/>
  <c r="R301"/>
  <c r="S301"/>
  <c r="O302"/>
  <c r="P302"/>
  <c r="Q302"/>
  <c r="R302"/>
  <c r="S302"/>
  <c r="O303"/>
  <c r="P303"/>
  <c r="Q303"/>
  <c r="R303"/>
  <c r="S303"/>
  <c r="O304"/>
  <c r="P304"/>
  <c r="Q304"/>
  <c r="R304"/>
  <c r="S304"/>
  <c r="O305"/>
  <c r="P305"/>
  <c r="Q305"/>
  <c r="R305"/>
  <c r="S305"/>
  <c r="O306"/>
  <c r="P306"/>
  <c r="Q306"/>
  <c r="R306"/>
  <c r="S306"/>
  <c r="O307"/>
  <c r="P307"/>
  <c r="Q307"/>
  <c r="R307"/>
  <c r="S307"/>
  <c r="O308"/>
  <c r="P308"/>
  <c r="Q308"/>
  <c r="R308"/>
  <c r="S308"/>
  <c r="O309"/>
  <c r="P309"/>
  <c r="Q309"/>
  <c r="R309"/>
  <c r="S309"/>
  <c r="O310"/>
  <c r="P310"/>
  <c r="Q310"/>
  <c r="R310"/>
  <c r="S310"/>
  <c r="O311"/>
  <c r="P311"/>
  <c r="Q311"/>
  <c r="R311"/>
  <c r="S311"/>
  <c r="O312"/>
  <c r="P312"/>
  <c r="Q312"/>
  <c r="R312"/>
  <c r="S312"/>
  <c r="O313"/>
  <c r="P313"/>
  <c r="Q313"/>
  <c r="R313"/>
  <c r="S313"/>
  <c r="O314"/>
  <c r="P314"/>
  <c r="Q314"/>
  <c r="R314"/>
  <c r="S314"/>
  <c r="O315"/>
  <c r="P315"/>
  <c r="Q315"/>
  <c r="R315"/>
  <c r="S315"/>
  <c r="O316"/>
  <c r="P316"/>
  <c r="Q316"/>
  <c r="R316"/>
  <c r="S316"/>
  <c r="O317"/>
  <c r="P317"/>
  <c r="Q317"/>
  <c r="R317"/>
  <c r="S317"/>
  <c r="O318"/>
  <c r="P318"/>
  <c r="Q318"/>
  <c r="R318"/>
  <c r="S318"/>
  <c r="O319"/>
  <c r="P319"/>
  <c r="Q319"/>
  <c r="R319"/>
  <c r="S319"/>
  <c r="O320"/>
  <c r="P320"/>
  <c r="Q320"/>
  <c r="R320"/>
  <c r="S320"/>
  <c r="O321"/>
  <c r="P321"/>
  <c r="Q321"/>
  <c r="R321"/>
  <c r="S321"/>
  <c r="O322"/>
  <c r="P322"/>
  <c r="Q322"/>
  <c r="R322"/>
  <c r="S322"/>
  <c r="O323"/>
  <c r="P323"/>
  <c r="Q323"/>
  <c r="R323"/>
  <c r="S323"/>
  <c r="O324"/>
  <c r="P324"/>
  <c r="Q324"/>
  <c r="R324"/>
  <c r="S324"/>
  <c r="O325"/>
  <c r="P325"/>
  <c r="Q325"/>
  <c r="R325"/>
  <c r="S325"/>
  <c r="O326"/>
  <c r="P326"/>
  <c r="Q326"/>
  <c r="R326"/>
  <c r="S326"/>
  <c r="O327"/>
  <c r="P327"/>
  <c r="Q327"/>
  <c r="R327"/>
  <c r="S327"/>
  <c r="O328"/>
  <c r="P328"/>
  <c r="Q328"/>
  <c r="R328"/>
  <c r="S328"/>
  <c r="O329"/>
  <c r="P329"/>
  <c r="Q329"/>
  <c r="R329"/>
  <c r="S329"/>
  <c r="O330"/>
  <c r="P330"/>
  <c r="Q330"/>
  <c r="R330"/>
  <c r="S330"/>
  <c r="O331"/>
  <c r="P331"/>
  <c r="Q331"/>
  <c r="R331"/>
  <c r="S331"/>
  <c r="O332"/>
  <c r="P332"/>
  <c r="Q332"/>
  <c r="R332"/>
  <c r="S332"/>
  <c r="O333"/>
  <c r="P333"/>
  <c r="Q333"/>
  <c r="R333"/>
  <c r="S333"/>
  <c r="O334"/>
  <c r="P334"/>
  <c r="Q334"/>
  <c r="R334"/>
  <c r="S334"/>
  <c r="O335"/>
  <c r="P335"/>
  <c r="Q335"/>
  <c r="R335"/>
  <c r="S335"/>
  <c r="O336"/>
  <c r="P336"/>
  <c r="Q336"/>
  <c r="R336"/>
  <c r="S336"/>
  <c r="O337"/>
  <c r="P337"/>
  <c r="Q337"/>
  <c r="R337"/>
  <c r="S337"/>
  <c r="O338"/>
  <c r="P338"/>
  <c r="Q338"/>
  <c r="R338"/>
  <c r="S338"/>
  <c r="O339"/>
  <c r="P339"/>
  <c r="Q339"/>
  <c r="R339"/>
  <c r="S339"/>
  <c r="O340"/>
  <c r="P340"/>
  <c r="Q340"/>
  <c r="R340"/>
  <c r="S340"/>
  <c r="O341"/>
  <c r="P341"/>
  <c r="Q341"/>
  <c r="R341"/>
  <c r="S341"/>
  <c r="O342"/>
  <c r="P342"/>
  <c r="Q342"/>
  <c r="R342"/>
  <c r="S342"/>
  <c r="O343"/>
  <c r="P343"/>
  <c r="Q343"/>
  <c r="R343"/>
  <c r="S343"/>
  <c r="O344"/>
  <c r="P344"/>
  <c r="Q344"/>
  <c r="R344"/>
  <c r="S344"/>
  <c r="O345"/>
  <c r="P345"/>
  <c r="Q345"/>
  <c r="R345"/>
  <c r="S345"/>
  <c r="O346"/>
  <c r="P346"/>
  <c r="Q346"/>
  <c r="R346"/>
  <c r="S346"/>
  <c r="O347"/>
  <c r="P347"/>
  <c r="Q347"/>
  <c r="R347"/>
  <c r="S347"/>
  <c r="O348"/>
  <c r="P348"/>
  <c r="Q348"/>
  <c r="R348"/>
  <c r="S348"/>
  <c r="O349"/>
  <c r="P349"/>
  <c r="Q349"/>
  <c r="R349"/>
  <c r="S349"/>
  <c r="O350"/>
  <c r="P350"/>
  <c r="Q350"/>
  <c r="R350"/>
  <c r="S350"/>
  <c r="O351"/>
  <c r="P351"/>
  <c r="Q351"/>
  <c r="R351"/>
  <c r="S351"/>
  <c r="O352"/>
  <c r="P352"/>
  <c r="Q352"/>
  <c r="R352"/>
  <c r="S352"/>
  <c r="O353"/>
  <c r="P353"/>
  <c r="Q353"/>
  <c r="R353"/>
  <c r="S353"/>
  <c r="O354"/>
  <c r="P354"/>
  <c r="Q354"/>
  <c r="R354"/>
  <c r="S354"/>
  <c r="O355"/>
  <c r="P355"/>
  <c r="Q355"/>
  <c r="R355"/>
  <c r="S355"/>
  <c r="O356"/>
  <c r="P356"/>
  <c r="Q356"/>
  <c r="R356"/>
  <c r="S356"/>
  <c r="O357"/>
  <c r="P357"/>
  <c r="Q357"/>
  <c r="R357"/>
  <c r="S357"/>
  <c r="O358"/>
  <c r="P358"/>
  <c r="Q358"/>
  <c r="R358"/>
  <c r="S358"/>
  <c r="O359"/>
  <c r="P359"/>
  <c r="Q359"/>
  <c r="R359"/>
  <c r="S359"/>
  <c r="O360"/>
  <c r="P360"/>
  <c r="Q360"/>
  <c r="R360"/>
  <c r="S360"/>
  <c r="O361"/>
  <c r="P361"/>
  <c r="Q361"/>
  <c r="R361"/>
  <c r="S361"/>
  <c r="O362"/>
  <c r="P362"/>
  <c r="Q362"/>
  <c r="R362"/>
  <c r="S362"/>
  <c r="O363"/>
  <c r="P363"/>
  <c r="Q363"/>
  <c r="R363"/>
  <c r="S363"/>
  <c r="O364"/>
  <c r="P364"/>
  <c r="Q364"/>
  <c r="R364"/>
  <c r="S364"/>
  <c r="O365"/>
  <c r="P365"/>
  <c r="Q365"/>
  <c r="R365"/>
  <c r="S365"/>
  <c r="O366"/>
  <c r="P366"/>
  <c r="Q366"/>
  <c r="R366"/>
  <c r="S366"/>
  <c r="O367"/>
  <c r="P367"/>
  <c r="Q367"/>
  <c r="R367"/>
  <c r="S367"/>
  <c r="O368"/>
  <c r="P368"/>
  <c r="Q368"/>
  <c r="R368"/>
  <c r="S368"/>
  <c r="O369"/>
  <c r="P369"/>
  <c r="Q369"/>
  <c r="R369"/>
  <c r="S369"/>
  <c r="O370"/>
  <c r="P370"/>
  <c r="Q370"/>
  <c r="R370"/>
  <c r="S370"/>
  <c r="O371"/>
  <c r="P371"/>
  <c r="Q371"/>
  <c r="R371"/>
  <c r="S371"/>
  <c r="O372"/>
  <c r="P372"/>
  <c r="Q372"/>
  <c r="R372"/>
  <c r="S372"/>
  <c r="O373"/>
  <c r="P373"/>
  <c r="Q373"/>
  <c r="R373"/>
  <c r="S373"/>
  <c r="O374"/>
  <c r="P374"/>
  <c r="Q374"/>
  <c r="R374"/>
  <c r="S374"/>
  <c r="O375"/>
  <c r="P375"/>
  <c r="Q375"/>
  <c r="R375"/>
  <c r="S375"/>
  <c r="O376"/>
  <c r="P376"/>
  <c r="Q376"/>
  <c r="R376"/>
  <c r="S376"/>
  <c r="O377"/>
  <c r="P377"/>
  <c r="Q377"/>
  <c r="R377"/>
  <c r="S377"/>
  <c r="O378"/>
  <c r="P378"/>
  <c r="Q378"/>
  <c r="R378"/>
  <c r="S378"/>
  <c r="O379"/>
  <c r="P379"/>
  <c r="Q379"/>
  <c r="R379"/>
  <c r="S379"/>
  <c r="O380"/>
  <c r="P380"/>
  <c r="Q380"/>
  <c r="R380"/>
  <c r="S380"/>
  <c r="O381"/>
  <c r="P381"/>
  <c r="Q381"/>
  <c r="R381"/>
  <c r="S381"/>
  <c r="O382"/>
  <c r="P382"/>
  <c r="Q382"/>
  <c r="R382"/>
  <c r="S382"/>
  <c r="O383"/>
  <c r="P383"/>
  <c r="Q383"/>
  <c r="R383"/>
  <c r="S383"/>
  <c r="O384"/>
  <c r="P384"/>
  <c r="Q384"/>
  <c r="R384"/>
  <c r="S384"/>
  <c r="O385"/>
  <c r="P385"/>
  <c r="Q385"/>
  <c r="R385"/>
  <c r="S385"/>
  <c r="O386"/>
  <c r="P386"/>
  <c r="Q386"/>
  <c r="R386"/>
  <c r="S386"/>
  <c r="O387"/>
  <c r="P387"/>
  <c r="Q387"/>
  <c r="R387"/>
  <c r="S387"/>
  <c r="O388"/>
  <c r="P388"/>
  <c r="Q388"/>
  <c r="R388"/>
  <c r="S388"/>
  <c r="O389"/>
  <c r="P389"/>
  <c r="Q389"/>
  <c r="R389"/>
  <c r="S389"/>
  <c r="O390"/>
  <c r="P390"/>
  <c r="Q390"/>
  <c r="R390"/>
  <c r="S390"/>
  <c r="O391"/>
  <c r="P391"/>
  <c r="Q391"/>
  <c r="R391"/>
  <c r="S391"/>
  <c r="O392"/>
  <c r="P392"/>
  <c r="Q392"/>
  <c r="R392"/>
  <c r="S392"/>
  <c r="O393"/>
  <c r="P393"/>
  <c r="Q393"/>
  <c r="R393"/>
  <c r="S393"/>
  <c r="O394"/>
  <c r="P394"/>
  <c r="Q394"/>
  <c r="R394"/>
  <c r="S394"/>
  <c r="O395"/>
  <c r="P395"/>
  <c r="Q395"/>
  <c r="R395"/>
  <c r="S395"/>
  <c r="O396"/>
  <c r="P396"/>
  <c r="Q396"/>
  <c r="R396"/>
  <c r="S396"/>
  <c r="O397"/>
  <c r="P397"/>
  <c r="Q397"/>
  <c r="R397"/>
  <c r="S397"/>
  <c r="O398"/>
  <c r="P398"/>
  <c r="Q398"/>
  <c r="R398"/>
  <c r="S398"/>
  <c r="O399"/>
  <c r="P399"/>
  <c r="Q399"/>
  <c r="R399"/>
  <c r="S399"/>
  <c r="O400"/>
  <c r="P400"/>
  <c r="Q400"/>
  <c r="R400"/>
  <c r="S400"/>
  <c r="O401"/>
  <c r="P401"/>
  <c r="Q401"/>
  <c r="R401"/>
  <c r="S401"/>
  <c r="O402"/>
  <c r="P402"/>
  <c r="Q402"/>
  <c r="R402"/>
  <c r="S402"/>
  <c r="O403"/>
  <c r="P403"/>
  <c r="Q403"/>
  <c r="R403"/>
  <c r="S403"/>
  <c r="O404"/>
  <c r="P404"/>
  <c r="Q404"/>
  <c r="R404"/>
  <c r="S404"/>
  <c r="O405"/>
  <c r="P405"/>
  <c r="Q405"/>
  <c r="R405"/>
  <c r="S405"/>
  <c r="O406"/>
  <c r="P406"/>
  <c r="Q406"/>
  <c r="R406"/>
  <c r="S406"/>
  <c r="O407"/>
  <c r="P407"/>
  <c r="Q407"/>
  <c r="R407"/>
  <c r="S407"/>
  <c r="O408"/>
  <c r="P408"/>
  <c r="Q408"/>
  <c r="R408"/>
  <c r="S408"/>
  <c r="O409"/>
  <c r="P409"/>
  <c r="Q409"/>
  <c r="R409"/>
  <c r="S409"/>
  <c r="O410"/>
  <c r="P410"/>
  <c r="Q410"/>
  <c r="R410"/>
  <c r="S410"/>
  <c r="O411"/>
  <c r="P411"/>
  <c r="Q411"/>
  <c r="R411"/>
  <c r="S411"/>
  <c r="O412"/>
  <c r="P412"/>
  <c r="Q412"/>
  <c r="R412"/>
  <c r="S412"/>
  <c r="O413"/>
  <c r="P413"/>
  <c r="Q413"/>
  <c r="R413"/>
  <c r="S413"/>
  <c r="O414"/>
  <c r="P414"/>
  <c r="Q414"/>
  <c r="R414"/>
  <c r="S414"/>
  <c r="O415"/>
  <c r="P415"/>
  <c r="Q415"/>
  <c r="R415"/>
  <c r="S415"/>
  <c r="O416"/>
  <c r="P416"/>
  <c r="Q416"/>
  <c r="R416"/>
  <c r="S416"/>
  <c r="O417"/>
  <c r="P417"/>
  <c r="Q417"/>
  <c r="R417"/>
  <c r="S417"/>
  <c r="O418"/>
  <c r="P418"/>
  <c r="Q418"/>
  <c r="R418"/>
  <c r="S418"/>
  <c r="O419"/>
  <c r="P419"/>
  <c r="Q419"/>
  <c r="R419"/>
  <c r="S419"/>
  <c r="O420"/>
  <c r="P420"/>
  <c r="Q420"/>
  <c r="R420"/>
  <c r="S420"/>
  <c r="O421"/>
  <c r="P421"/>
  <c r="Q421"/>
  <c r="R421"/>
  <c r="S421"/>
  <c r="O422"/>
  <c r="P422"/>
  <c r="Q422"/>
  <c r="R422"/>
  <c r="S422"/>
  <c r="O423"/>
  <c r="P423"/>
  <c r="Q423"/>
  <c r="R423"/>
  <c r="S423"/>
  <c r="O424"/>
  <c r="P424"/>
  <c r="Q424"/>
  <c r="R424"/>
  <c r="S424"/>
  <c r="O425"/>
  <c r="P425"/>
  <c r="Q425"/>
  <c r="R425"/>
  <c r="S425"/>
  <c r="O426"/>
  <c r="P426"/>
  <c r="Q426"/>
  <c r="R426"/>
  <c r="S426"/>
  <c r="O427"/>
  <c r="P427"/>
  <c r="Q427"/>
  <c r="R427"/>
  <c r="S427"/>
  <c r="O428"/>
  <c r="P428"/>
  <c r="Q428"/>
  <c r="R428"/>
  <c r="S428"/>
  <c r="O429"/>
  <c r="P429"/>
  <c r="Q429"/>
  <c r="R429"/>
  <c r="S429"/>
  <c r="O430"/>
  <c r="P430"/>
  <c r="Q430"/>
  <c r="R430"/>
  <c r="S430"/>
  <c r="O431"/>
  <c r="P431"/>
  <c r="Q431"/>
  <c r="R431"/>
  <c r="S431"/>
  <c r="O432"/>
  <c r="P432"/>
  <c r="Q432"/>
  <c r="R432"/>
  <c r="S432"/>
  <c r="O433"/>
  <c r="P433"/>
  <c r="Q433"/>
  <c r="R433"/>
  <c r="S433"/>
  <c r="O434"/>
  <c r="P434"/>
  <c r="Q434"/>
  <c r="R434"/>
  <c r="S434"/>
  <c r="O435"/>
  <c r="P435"/>
  <c r="Q435"/>
  <c r="R435"/>
  <c r="S435"/>
  <c r="O436"/>
  <c r="P436"/>
  <c r="Q436"/>
  <c r="R436"/>
  <c r="S436"/>
  <c r="O437"/>
  <c r="P437"/>
  <c r="Q437"/>
  <c r="R437"/>
  <c r="S437"/>
  <c r="O438"/>
  <c r="P438"/>
  <c r="Q438"/>
  <c r="R438"/>
  <c r="S438"/>
  <c r="O439"/>
  <c r="P439"/>
  <c r="Q439"/>
  <c r="R439"/>
  <c r="S439"/>
  <c r="O440"/>
  <c r="P440"/>
  <c r="Q440"/>
  <c r="R440"/>
  <c r="S440"/>
  <c r="O441"/>
  <c r="P441"/>
  <c r="Q441"/>
  <c r="R441"/>
  <c r="S441"/>
  <c r="O442"/>
  <c r="P442"/>
  <c r="Q442"/>
  <c r="R442"/>
  <c r="S442"/>
  <c r="O443"/>
  <c r="P443"/>
  <c r="Q443"/>
  <c r="R443"/>
  <c r="S443"/>
  <c r="O444"/>
  <c r="P444"/>
  <c r="Q444"/>
  <c r="R444"/>
  <c r="S444"/>
  <c r="O445"/>
  <c r="P445"/>
  <c r="Q445"/>
  <c r="R445"/>
  <c r="S445"/>
  <c r="O446"/>
  <c r="P446"/>
  <c r="Q446"/>
  <c r="R446"/>
  <c r="S446"/>
  <c r="O447"/>
  <c r="P447"/>
  <c r="Q447"/>
  <c r="R447"/>
  <c r="S447"/>
  <c r="O448"/>
  <c r="P448"/>
  <c r="Q448"/>
  <c r="R448"/>
  <c r="S448"/>
  <c r="O449"/>
  <c r="P449"/>
  <c r="Q449"/>
  <c r="R449"/>
  <c r="S449"/>
  <c r="O450"/>
  <c r="P450"/>
  <c r="Q450"/>
  <c r="R450"/>
  <c r="S450"/>
  <c r="O451"/>
  <c r="P451"/>
  <c r="Q451"/>
  <c r="R451"/>
  <c r="S451"/>
  <c r="O452"/>
  <c r="P452"/>
  <c r="Q452"/>
  <c r="R452"/>
  <c r="S452"/>
  <c r="O453"/>
  <c r="P453"/>
  <c r="Q453"/>
  <c r="R453"/>
  <c r="S453"/>
  <c r="O454"/>
  <c r="P454"/>
  <c r="Q454"/>
  <c r="R454"/>
  <c r="S454"/>
  <c r="O455"/>
  <c r="P455"/>
  <c r="Q455"/>
  <c r="R455"/>
  <c r="S455"/>
  <c r="O456"/>
  <c r="P456"/>
  <c r="Q456"/>
  <c r="R456"/>
  <c r="S456"/>
  <c r="O457"/>
  <c r="P457"/>
  <c r="Q457"/>
  <c r="R457"/>
  <c r="S457"/>
  <c r="O458"/>
  <c r="P458"/>
  <c r="Q458"/>
  <c r="R458"/>
  <c r="S458"/>
  <c r="O459"/>
  <c r="P459"/>
  <c r="Q459"/>
  <c r="R459"/>
  <c r="S459"/>
  <c r="O460"/>
  <c r="P460"/>
  <c r="Q460"/>
  <c r="R460"/>
  <c r="S460"/>
  <c r="O461"/>
  <c r="P461"/>
  <c r="Q461"/>
  <c r="R461"/>
  <c r="S461"/>
  <c r="O462"/>
  <c r="P462"/>
  <c r="Q462"/>
  <c r="R462"/>
  <c r="S462"/>
  <c r="O463"/>
  <c r="P463"/>
  <c r="Q463"/>
  <c r="R463"/>
  <c r="S463"/>
  <c r="O464"/>
  <c r="P464"/>
  <c r="Q464"/>
  <c r="R464"/>
  <c r="S464"/>
  <c r="O465"/>
  <c r="P465"/>
  <c r="Q465"/>
  <c r="R465"/>
  <c r="S465"/>
  <c r="O466"/>
  <c r="P466"/>
  <c r="Q466"/>
  <c r="R466"/>
  <c r="S466"/>
  <c r="O467"/>
  <c r="P467"/>
  <c r="Q467"/>
  <c r="R467"/>
  <c r="S467"/>
  <c r="O468"/>
  <c r="P468"/>
  <c r="Q468"/>
  <c r="R468"/>
  <c r="S468"/>
  <c r="O469"/>
  <c r="P469"/>
  <c r="Q469"/>
  <c r="R469"/>
  <c r="S469"/>
  <c r="O470"/>
  <c r="P470"/>
  <c r="Q470"/>
  <c r="R470"/>
  <c r="S470"/>
  <c r="O471"/>
  <c r="P471"/>
  <c r="Q471"/>
  <c r="R471"/>
  <c r="S471"/>
  <c r="O472"/>
  <c r="P472"/>
  <c r="Q472"/>
  <c r="R472"/>
  <c r="S472"/>
  <c r="O473"/>
  <c r="P473"/>
  <c r="Q473"/>
  <c r="R473"/>
  <c r="S473"/>
  <c r="O474"/>
  <c r="P474"/>
  <c r="Q474"/>
  <c r="R474"/>
  <c r="S474"/>
  <c r="O475"/>
  <c r="P475"/>
  <c r="Q475"/>
  <c r="R475"/>
  <c r="S475"/>
  <c r="O476"/>
  <c r="P476"/>
  <c r="Q476"/>
  <c r="R476"/>
  <c r="S476"/>
  <c r="O477"/>
  <c r="P477"/>
  <c r="Q477"/>
  <c r="R477"/>
  <c r="S477"/>
  <c r="O478"/>
  <c r="P478"/>
  <c r="Q478"/>
  <c r="R478"/>
  <c r="S478"/>
  <c r="O479"/>
  <c r="P479"/>
  <c r="Q479"/>
  <c r="R479"/>
  <c r="S479"/>
  <c r="O480"/>
  <c r="P480"/>
  <c r="Q480"/>
  <c r="R480"/>
  <c r="S480"/>
  <c r="O481"/>
  <c r="P481"/>
  <c r="Q481"/>
  <c r="R481"/>
  <c r="S481"/>
  <c r="O482"/>
  <c r="P482"/>
  <c r="Q482"/>
  <c r="R482"/>
  <c r="S482"/>
  <c r="O483"/>
  <c r="P483"/>
  <c r="Q483"/>
  <c r="R483"/>
  <c r="S483"/>
  <c r="O484"/>
  <c r="P484"/>
  <c r="Q484"/>
  <c r="R484"/>
  <c r="S484"/>
  <c r="O485"/>
  <c r="P485"/>
  <c r="Q485"/>
  <c r="R485"/>
  <c r="S485"/>
  <c r="O486"/>
  <c r="P486"/>
  <c r="Q486"/>
  <c r="R486"/>
  <c r="S486"/>
  <c r="O487"/>
  <c r="P487"/>
  <c r="Q487"/>
  <c r="R487"/>
  <c r="S487"/>
  <c r="O488"/>
  <c r="P488"/>
  <c r="Q488"/>
  <c r="R488"/>
  <c r="S488"/>
  <c r="O489"/>
  <c r="P489"/>
  <c r="Q489"/>
  <c r="R489"/>
  <c r="S489"/>
  <c r="O490"/>
  <c r="P490"/>
  <c r="Q490"/>
  <c r="R490"/>
  <c r="S490"/>
  <c r="O491"/>
  <c r="P491"/>
  <c r="Q491"/>
  <c r="R491"/>
  <c r="S491"/>
  <c r="O492"/>
  <c r="P492"/>
  <c r="Q492"/>
  <c r="R492"/>
  <c r="S492"/>
  <c r="O493"/>
  <c r="P493"/>
  <c r="Q493"/>
  <c r="R493"/>
  <c r="S493"/>
  <c r="O494"/>
  <c r="P494"/>
  <c r="Q494"/>
  <c r="R494"/>
  <c r="S494"/>
  <c r="O495"/>
  <c r="P495"/>
  <c r="Q495"/>
  <c r="R495"/>
  <c r="S495"/>
  <c r="O496"/>
  <c r="P496"/>
  <c r="Q496"/>
  <c r="R496"/>
  <c r="S496"/>
  <c r="O497"/>
  <c r="P497"/>
  <c r="Q497"/>
  <c r="R497"/>
  <c r="S497"/>
  <c r="O498"/>
  <c r="P498"/>
  <c r="Q498"/>
  <c r="R498"/>
  <c r="S498"/>
  <c r="O499"/>
  <c r="P499"/>
  <c r="Q499"/>
  <c r="R499"/>
  <c r="S499"/>
  <c r="O500"/>
  <c r="P500"/>
  <c r="Q500"/>
  <c r="R500"/>
  <c r="S500"/>
  <c r="O501"/>
  <c r="P501"/>
  <c r="Q501"/>
  <c r="R501"/>
  <c r="S501"/>
  <c r="O502"/>
  <c r="P502"/>
  <c r="Q502"/>
  <c r="R502"/>
  <c r="S502"/>
  <c r="O503"/>
  <c r="P503"/>
  <c r="Q503"/>
  <c r="R503"/>
  <c r="S503"/>
  <c r="O504"/>
  <c r="P504"/>
  <c r="Q504"/>
  <c r="R504"/>
  <c r="S504"/>
  <c r="O505"/>
  <c r="P505"/>
  <c r="Q505"/>
  <c r="R505"/>
  <c r="S505"/>
  <c r="O506"/>
  <c r="P506"/>
  <c r="Q506"/>
  <c r="R506"/>
  <c r="S506"/>
  <c r="O507"/>
  <c r="P507"/>
  <c r="Q507"/>
  <c r="R507"/>
  <c r="S507"/>
  <c r="O508"/>
  <c r="P508"/>
  <c r="Q508"/>
  <c r="R508"/>
  <c r="S508"/>
  <c r="O509"/>
  <c r="P509"/>
  <c r="Q509"/>
  <c r="R509"/>
  <c r="S509"/>
  <c r="O510"/>
  <c r="P510"/>
  <c r="Q510"/>
  <c r="R510"/>
  <c r="S510"/>
  <c r="O511"/>
  <c r="P511"/>
  <c r="Q511"/>
  <c r="R511"/>
  <c r="S511"/>
  <c r="O512"/>
  <c r="P512"/>
  <c r="Q512"/>
  <c r="S512"/>
  <c r="O513"/>
  <c r="P513"/>
  <c r="Q513"/>
  <c r="S513"/>
  <c r="O514"/>
  <c r="P514"/>
  <c r="Q514"/>
  <c r="S514"/>
  <c r="O515"/>
  <c r="P515"/>
  <c r="Q515"/>
  <c r="R515"/>
  <c r="S515"/>
  <c r="O516"/>
  <c r="P516"/>
  <c r="Q516"/>
  <c r="S516"/>
  <c r="O517"/>
  <c r="P517"/>
  <c r="Q517"/>
  <c r="S517"/>
  <c r="O518"/>
  <c r="P518"/>
  <c r="Q518"/>
  <c r="S518"/>
  <c r="O519"/>
  <c r="P519"/>
  <c r="Q519"/>
  <c r="R519"/>
  <c r="S519"/>
  <c r="O520"/>
  <c r="P520"/>
  <c r="Q520"/>
  <c r="R520"/>
  <c r="S520"/>
  <c r="O521"/>
  <c r="P521"/>
  <c r="Q521"/>
  <c r="R521"/>
  <c r="S521"/>
  <c r="O522"/>
  <c r="P522"/>
  <c r="Q522"/>
  <c r="R522"/>
  <c r="S522"/>
  <c r="O523"/>
  <c r="P523"/>
  <c r="Q523"/>
  <c r="R523"/>
  <c r="S523"/>
  <c r="O524"/>
  <c r="P524"/>
  <c r="Q524"/>
  <c r="R524"/>
  <c r="S524"/>
  <c r="O525"/>
  <c r="P525"/>
  <c r="Q525"/>
  <c r="R525"/>
  <c r="S525"/>
  <c r="O526"/>
  <c r="P526"/>
  <c r="Q526"/>
  <c r="R526"/>
  <c r="S526"/>
  <c r="O527"/>
  <c r="P527"/>
  <c r="Q527"/>
  <c r="S527"/>
  <c r="O528"/>
  <c r="P528"/>
  <c r="Q528"/>
  <c r="S528"/>
  <c r="O529"/>
  <c r="P529"/>
  <c r="Q529"/>
  <c r="S529"/>
  <c r="O530"/>
  <c r="P530"/>
  <c r="Q530"/>
  <c r="R530"/>
  <c r="S530"/>
  <c r="O531"/>
  <c r="P531"/>
  <c r="Q531"/>
  <c r="R531"/>
  <c r="S531"/>
  <c r="O532"/>
  <c r="P532"/>
  <c r="Q532"/>
  <c r="R532"/>
  <c r="S532"/>
  <c r="O533"/>
  <c r="P533"/>
  <c r="Q533"/>
  <c r="R533"/>
  <c r="S533"/>
  <c r="O534"/>
  <c r="P534"/>
  <c r="Q534"/>
  <c r="R534"/>
  <c r="S534"/>
  <c r="O535"/>
  <c r="P535"/>
  <c r="Q535"/>
  <c r="S535"/>
  <c r="O536"/>
  <c r="P536"/>
  <c r="Q536"/>
  <c r="R536"/>
  <c r="S536"/>
  <c r="O537"/>
  <c r="P537"/>
  <c r="Q537"/>
  <c r="S537"/>
  <c r="O538"/>
  <c r="P538"/>
  <c r="Q538"/>
  <c r="R538"/>
  <c r="S538"/>
  <c r="O539"/>
  <c r="P539"/>
  <c r="Q539"/>
  <c r="S539"/>
  <c r="O540"/>
  <c r="P540"/>
  <c r="Q540"/>
  <c r="R540"/>
  <c r="S540"/>
  <c r="O541"/>
  <c r="P541"/>
  <c r="Q541"/>
  <c r="R541"/>
  <c r="S541"/>
  <c r="O542"/>
  <c r="P542"/>
  <c r="Q542"/>
  <c r="R542"/>
  <c r="S542"/>
  <c r="S38"/>
  <c r="Q38"/>
  <c r="P38"/>
  <c r="R38"/>
  <c r="O38"/>
  <c r="B569" i="3"/>
  <c r="B568"/>
  <c r="B567"/>
  <c r="B566"/>
  <c r="B565"/>
  <c r="B564"/>
  <c r="B563"/>
  <c r="B562"/>
  <c r="B561"/>
  <c r="B560"/>
  <c r="B559"/>
  <c r="B558"/>
  <c r="B557"/>
  <c r="B556"/>
  <c r="B555"/>
  <c r="B554"/>
  <c r="B553"/>
  <c r="B552"/>
  <c r="B551"/>
  <c r="B550"/>
  <c r="B549"/>
  <c r="B548"/>
  <c r="B547"/>
  <c r="B546"/>
  <c r="B545"/>
  <c r="B544"/>
  <c r="B543"/>
  <c r="B542"/>
  <c r="B541"/>
  <c r="B540"/>
  <c r="B539"/>
  <c r="B538"/>
  <c r="B537"/>
  <c r="B536"/>
  <c r="B535"/>
  <c r="B534"/>
  <c r="B533"/>
  <c r="B532"/>
  <c r="B531"/>
  <c r="B530"/>
  <c r="B529"/>
  <c r="B528"/>
  <c r="B527"/>
  <c r="B526"/>
  <c r="B525"/>
  <c r="B524"/>
  <c r="B523"/>
  <c r="B522"/>
  <c r="B521"/>
  <c r="B520"/>
  <c r="O84" i="5" s="1"/>
  <c r="C569" i="3"/>
  <c r="C568"/>
  <c r="C567"/>
  <c r="C566"/>
  <c r="C565"/>
  <c r="C564"/>
  <c r="C563"/>
  <c r="C562"/>
  <c r="C561"/>
  <c r="C560"/>
  <c r="C559"/>
  <c r="C558"/>
  <c r="C557"/>
  <c r="C556"/>
  <c r="C555"/>
  <c r="C554"/>
  <c r="C553"/>
  <c r="C552"/>
  <c r="C551"/>
  <c r="C550"/>
  <c r="C549"/>
  <c r="C548"/>
  <c r="C547"/>
  <c r="C546"/>
  <c r="C545"/>
  <c r="C544"/>
  <c r="C543"/>
  <c r="C542"/>
  <c r="C541"/>
  <c r="C540"/>
  <c r="C539"/>
  <c r="C538"/>
  <c r="C537"/>
  <c r="C536"/>
  <c r="C535"/>
  <c r="C534"/>
  <c r="C533"/>
  <c r="C532"/>
  <c r="C531"/>
  <c r="C530"/>
  <c r="R512" i="5" l="1"/>
  <c r="R535"/>
  <c r="R527"/>
  <c r="R539"/>
  <c r="R514"/>
  <c r="R518"/>
  <c r="R537"/>
  <c r="R529"/>
  <c r="R517"/>
  <c r="R513"/>
  <c r="O132"/>
  <c r="O108"/>
  <c r="O96"/>
  <c r="R528"/>
  <c r="R516"/>
  <c r="Q121" i="6"/>
  <c r="N27"/>
  <c r="O27"/>
  <c r="P27"/>
  <c r="Q27"/>
  <c r="T27"/>
  <c r="U27"/>
  <c r="V27"/>
  <c r="W27"/>
  <c r="N28"/>
  <c r="O28"/>
  <c r="P28"/>
  <c r="Q28"/>
  <c r="T28"/>
  <c r="U28"/>
  <c r="V28"/>
  <c r="W28"/>
  <c r="N29"/>
  <c r="O29"/>
  <c r="P29"/>
  <c r="Q29"/>
  <c r="T29"/>
  <c r="U29"/>
  <c r="V29"/>
  <c r="W29"/>
  <c r="N30"/>
  <c r="O30"/>
  <c r="P30"/>
  <c r="Q30"/>
  <c r="T30"/>
  <c r="U30"/>
  <c r="V30"/>
  <c r="W30"/>
  <c r="N31"/>
  <c r="O31"/>
  <c r="P31"/>
  <c r="Q31"/>
  <c r="T31"/>
  <c r="U31"/>
  <c r="V31"/>
  <c r="W31"/>
  <c r="N32"/>
  <c r="O32"/>
  <c r="P32"/>
  <c r="Q32"/>
  <c r="T32"/>
  <c r="U32"/>
  <c r="V32"/>
  <c r="W32"/>
  <c r="N33"/>
  <c r="O33"/>
  <c r="P33"/>
  <c r="Q33"/>
  <c r="T33"/>
  <c r="U33"/>
  <c r="V33"/>
  <c r="W33"/>
  <c r="N34"/>
  <c r="O34"/>
  <c r="P34"/>
  <c r="Q34"/>
  <c r="T34"/>
  <c r="U34"/>
  <c r="V34"/>
  <c r="W34"/>
  <c r="N35"/>
  <c r="O35"/>
  <c r="P35"/>
  <c r="Q35"/>
  <c r="T35"/>
  <c r="U35"/>
  <c r="V35"/>
  <c r="W35"/>
  <c r="N36"/>
  <c r="O36"/>
  <c r="P36"/>
  <c r="Q36"/>
  <c r="T36"/>
  <c r="U36"/>
  <c r="V36"/>
  <c r="W36"/>
  <c r="N37"/>
  <c r="O37"/>
  <c r="P37"/>
  <c r="Q37"/>
  <c r="T37"/>
  <c r="U37"/>
  <c r="V37"/>
  <c r="W37"/>
  <c r="N38"/>
  <c r="O38"/>
  <c r="P38"/>
  <c r="Q38"/>
  <c r="T38"/>
  <c r="U38"/>
  <c r="V38"/>
  <c r="W38"/>
  <c r="N39"/>
  <c r="O39"/>
  <c r="P39"/>
  <c r="Q39"/>
  <c r="T39"/>
  <c r="U39"/>
  <c r="V39"/>
  <c r="W39"/>
  <c r="N40"/>
  <c r="O40"/>
  <c r="P40"/>
  <c r="Q40"/>
  <c r="T40"/>
  <c r="U40"/>
  <c r="V40"/>
  <c r="W40"/>
  <c r="N41"/>
  <c r="O41"/>
  <c r="P41"/>
  <c r="Q41"/>
  <c r="T41"/>
  <c r="U41"/>
  <c r="V41"/>
  <c r="W41"/>
  <c r="N42"/>
  <c r="O42"/>
  <c r="P42"/>
  <c r="Q42"/>
  <c r="T42"/>
  <c r="U42"/>
  <c r="V42"/>
  <c r="W42"/>
  <c r="N43"/>
  <c r="O43"/>
  <c r="P43"/>
  <c r="Q43"/>
  <c r="R43"/>
  <c r="S43"/>
  <c r="T43"/>
  <c r="U43"/>
  <c r="V43"/>
  <c r="W43"/>
  <c r="N44"/>
  <c r="O44"/>
  <c r="P44"/>
  <c r="Q44"/>
  <c r="R44"/>
  <c r="S44"/>
  <c r="T44"/>
  <c r="U44"/>
  <c r="V44"/>
  <c r="W44"/>
  <c r="N45"/>
  <c r="O45"/>
  <c r="P45"/>
  <c r="Q45"/>
  <c r="R45"/>
  <c r="S45"/>
  <c r="T45"/>
  <c r="U45"/>
  <c r="V45"/>
  <c r="W45"/>
  <c r="N46"/>
  <c r="O46"/>
  <c r="P46"/>
  <c r="Q46"/>
  <c r="R46"/>
  <c r="S46"/>
  <c r="T46"/>
  <c r="U46"/>
  <c r="V46"/>
  <c r="W46"/>
  <c r="N47"/>
  <c r="O47"/>
  <c r="P47"/>
  <c r="Q47"/>
  <c r="R47"/>
  <c r="S47"/>
  <c r="T47"/>
  <c r="U47"/>
  <c r="V47"/>
  <c r="W47"/>
  <c r="N48"/>
  <c r="O48"/>
  <c r="P48"/>
  <c r="Q48"/>
  <c r="R48"/>
  <c r="S48"/>
  <c r="T48"/>
  <c r="U48"/>
  <c r="V48"/>
  <c r="W48"/>
  <c r="N49"/>
  <c r="O49"/>
  <c r="P49"/>
  <c r="Q49"/>
  <c r="R49"/>
  <c r="S49"/>
  <c r="T49"/>
  <c r="U49"/>
  <c r="V49"/>
  <c r="W49"/>
  <c r="N50"/>
  <c r="O50"/>
  <c r="P50"/>
  <c r="Q50"/>
  <c r="R50"/>
  <c r="S50"/>
  <c r="T50"/>
  <c r="U50"/>
  <c r="V50"/>
  <c r="W50"/>
  <c r="N51"/>
  <c r="O51"/>
  <c r="P51"/>
  <c r="Q51"/>
  <c r="R51"/>
  <c r="S51"/>
  <c r="T51"/>
  <c r="U51"/>
  <c r="V51"/>
  <c r="W51"/>
  <c r="N52"/>
  <c r="O52"/>
  <c r="P52"/>
  <c r="Q52"/>
  <c r="R52"/>
  <c r="S52"/>
  <c r="T52"/>
  <c r="U52"/>
  <c r="V52"/>
  <c r="W52"/>
  <c r="N53"/>
  <c r="O53"/>
  <c r="P53"/>
  <c r="Q53"/>
  <c r="R53"/>
  <c r="S53"/>
  <c r="T53"/>
  <c r="U53"/>
  <c r="V53"/>
  <c r="W53"/>
  <c r="N54"/>
  <c r="O54"/>
  <c r="P54"/>
  <c r="Q54"/>
  <c r="R54"/>
  <c r="S54"/>
  <c r="T54"/>
  <c r="U54"/>
  <c r="V54"/>
  <c r="W54"/>
  <c r="N55"/>
  <c r="O55"/>
  <c r="P55"/>
  <c r="Q55"/>
  <c r="R55"/>
  <c r="S55"/>
  <c r="T55"/>
  <c r="U55"/>
  <c r="V55"/>
  <c r="W55"/>
  <c r="N56"/>
  <c r="O56"/>
  <c r="P56"/>
  <c r="Q56"/>
  <c r="R56"/>
  <c r="S56"/>
  <c r="T56"/>
  <c r="U56"/>
  <c r="V56"/>
  <c r="W56"/>
  <c r="N57"/>
  <c r="O57"/>
  <c r="P57"/>
  <c r="Q57"/>
  <c r="R57"/>
  <c r="S57"/>
  <c r="T57"/>
  <c r="U57"/>
  <c r="V57"/>
  <c r="W57"/>
  <c r="N58"/>
  <c r="O58"/>
  <c r="P58"/>
  <c r="Q58"/>
  <c r="R58"/>
  <c r="S58"/>
  <c r="T58"/>
  <c r="U58"/>
  <c r="V58"/>
  <c r="W58"/>
  <c r="N59"/>
  <c r="O59"/>
  <c r="P59"/>
  <c r="Q59"/>
  <c r="R59"/>
  <c r="S59"/>
  <c r="T59"/>
  <c r="U59"/>
  <c r="V59"/>
  <c r="W59"/>
  <c r="N60"/>
  <c r="O60"/>
  <c r="P60"/>
  <c r="Q60"/>
  <c r="R60"/>
  <c r="S60"/>
  <c r="T60"/>
  <c r="U60"/>
  <c r="V60"/>
  <c r="W60"/>
  <c r="N61"/>
  <c r="O61"/>
  <c r="P61"/>
  <c r="Q61"/>
  <c r="R61"/>
  <c r="S61"/>
  <c r="T61"/>
  <c r="U61"/>
  <c r="V61"/>
  <c r="W61"/>
  <c r="N62"/>
  <c r="O62"/>
  <c r="P62"/>
  <c r="Q62"/>
  <c r="R62"/>
  <c r="S62"/>
  <c r="T62"/>
  <c r="U62"/>
  <c r="V62"/>
  <c r="W62"/>
  <c r="N63"/>
  <c r="O63"/>
  <c r="P63"/>
  <c r="Q63"/>
  <c r="R63"/>
  <c r="S63"/>
  <c r="T63"/>
  <c r="U63"/>
  <c r="V63"/>
  <c r="W63"/>
  <c r="N64"/>
  <c r="O64"/>
  <c r="P64"/>
  <c r="Q64"/>
  <c r="R64"/>
  <c r="S64"/>
  <c r="T64"/>
  <c r="U64"/>
  <c r="V64"/>
  <c r="W64"/>
  <c r="N65"/>
  <c r="O65"/>
  <c r="P65"/>
  <c r="Q65"/>
  <c r="R65"/>
  <c r="S65"/>
  <c r="T65"/>
  <c r="U65"/>
  <c r="V65"/>
  <c r="W65"/>
  <c r="N66"/>
  <c r="O66"/>
  <c r="P66"/>
  <c r="Q66"/>
  <c r="R66"/>
  <c r="S66"/>
  <c r="T66"/>
  <c r="U66"/>
  <c r="V66"/>
  <c r="W66"/>
  <c r="N67"/>
  <c r="O67"/>
  <c r="P67"/>
  <c r="Q67"/>
  <c r="R67"/>
  <c r="S67"/>
  <c r="T67"/>
  <c r="U67"/>
  <c r="V67"/>
  <c r="W67"/>
  <c r="N68"/>
  <c r="O68"/>
  <c r="P68"/>
  <c r="Q68"/>
  <c r="R68"/>
  <c r="S68"/>
  <c r="T68"/>
  <c r="U68"/>
  <c r="V68"/>
  <c r="W68"/>
  <c r="N69"/>
  <c r="O69"/>
  <c r="P69"/>
  <c r="Q69"/>
  <c r="R69"/>
  <c r="S69"/>
  <c r="T69"/>
  <c r="U69"/>
  <c r="V69"/>
  <c r="W69"/>
  <c r="N70"/>
  <c r="O70"/>
  <c r="P70"/>
  <c r="Q70"/>
  <c r="R70"/>
  <c r="S70"/>
  <c r="T70"/>
  <c r="U70"/>
  <c r="V70"/>
  <c r="W70"/>
  <c r="N71"/>
  <c r="O71"/>
  <c r="P71"/>
  <c r="Q71"/>
  <c r="R71"/>
  <c r="S71"/>
  <c r="T71"/>
  <c r="U71"/>
  <c r="V71"/>
  <c r="W71"/>
  <c r="N72"/>
  <c r="O72"/>
  <c r="P72"/>
  <c r="Q72"/>
  <c r="R72"/>
  <c r="S72"/>
  <c r="T72"/>
  <c r="U72"/>
  <c r="V72"/>
  <c r="W72"/>
  <c r="N73"/>
  <c r="O73"/>
  <c r="P73"/>
  <c r="Q73"/>
  <c r="R73"/>
  <c r="S73"/>
  <c r="T73"/>
  <c r="U73"/>
  <c r="V73"/>
  <c r="W73"/>
  <c r="N74"/>
  <c r="O74"/>
  <c r="P74"/>
  <c r="Q74"/>
  <c r="R74"/>
  <c r="S74"/>
  <c r="T74"/>
  <c r="U74"/>
  <c r="V74"/>
  <c r="W74"/>
  <c r="N75"/>
  <c r="O75"/>
  <c r="P75"/>
  <c r="Q75"/>
  <c r="R75"/>
  <c r="S75"/>
  <c r="T75"/>
  <c r="U75"/>
  <c r="V75"/>
  <c r="W75"/>
  <c r="N76"/>
  <c r="O76"/>
  <c r="P76"/>
  <c r="Q76"/>
  <c r="R76"/>
  <c r="S76"/>
  <c r="T76"/>
  <c r="U76"/>
  <c r="V76"/>
  <c r="W76"/>
  <c r="N77"/>
  <c r="O77"/>
  <c r="P77"/>
  <c r="Q77"/>
  <c r="R77"/>
  <c r="S77"/>
  <c r="T77"/>
  <c r="U77"/>
  <c r="V77"/>
  <c r="W77"/>
  <c r="N78"/>
  <c r="O78"/>
  <c r="P78"/>
  <c r="Q78"/>
  <c r="R78"/>
  <c r="S78"/>
  <c r="T78"/>
  <c r="U78"/>
  <c r="V78"/>
  <c r="W78"/>
  <c r="N79"/>
  <c r="O79"/>
  <c r="P79"/>
  <c r="Q79"/>
  <c r="R79"/>
  <c r="S79"/>
  <c r="T79"/>
  <c r="U79"/>
  <c r="V79"/>
  <c r="W79"/>
  <c r="N80"/>
  <c r="O80"/>
  <c r="P80"/>
  <c r="Q80"/>
  <c r="R80"/>
  <c r="S80"/>
  <c r="T80"/>
  <c r="U80"/>
  <c r="V80"/>
  <c r="W80"/>
  <c r="N81"/>
  <c r="O81"/>
  <c r="P81"/>
  <c r="Q81"/>
  <c r="R81"/>
  <c r="S81"/>
  <c r="T81"/>
  <c r="U81"/>
  <c r="V81"/>
  <c r="W81"/>
  <c r="N82"/>
  <c r="O82"/>
  <c r="P82"/>
  <c r="Q82"/>
  <c r="R82"/>
  <c r="S82"/>
  <c r="T82"/>
  <c r="U82"/>
  <c r="V82"/>
  <c r="W82"/>
  <c r="N83"/>
  <c r="O83"/>
  <c r="P83"/>
  <c r="Q83"/>
  <c r="R83"/>
  <c r="S83"/>
  <c r="T83"/>
  <c r="U83"/>
  <c r="V83"/>
  <c r="W83"/>
  <c r="N84"/>
  <c r="O84"/>
  <c r="P84"/>
  <c r="Q84"/>
  <c r="R84"/>
  <c r="S84"/>
  <c r="T84"/>
  <c r="U84"/>
  <c r="V84"/>
  <c r="W84"/>
  <c r="N85"/>
  <c r="O85"/>
  <c r="P85"/>
  <c r="Q85"/>
  <c r="R85"/>
  <c r="S85"/>
  <c r="T85"/>
  <c r="U85"/>
  <c r="V85"/>
  <c r="W85"/>
  <c r="N86"/>
  <c r="O86"/>
  <c r="P86"/>
  <c r="Q86"/>
  <c r="R86"/>
  <c r="S86"/>
  <c r="T86"/>
  <c r="U86"/>
  <c r="V86"/>
  <c r="W86"/>
  <c r="N87"/>
  <c r="O87"/>
  <c r="P87"/>
  <c r="Q87"/>
  <c r="R87"/>
  <c r="S87"/>
  <c r="T87"/>
  <c r="U87"/>
  <c r="V87"/>
  <c r="W87"/>
  <c r="N88"/>
  <c r="O88"/>
  <c r="P88"/>
  <c r="Q88"/>
  <c r="R88"/>
  <c r="S88"/>
  <c r="T88"/>
  <c r="U88"/>
  <c r="V88"/>
  <c r="W88"/>
  <c r="N89"/>
  <c r="O89"/>
  <c r="P89"/>
  <c r="Q89"/>
  <c r="R89"/>
  <c r="S89"/>
  <c r="T89"/>
  <c r="U89"/>
  <c r="V89"/>
  <c r="W89"/>
  <c r="N90"/>
  <c r="O90"/>
  <c r="P90"/>
  <c r="Q90"/>
  <c r="R90"/>
  <c r="S90"/>
  <c r="T90"/>
  <c r="U90"/>
  <c r="V90"/>
  <c r="W90"/>
  <c r="N91"/>
  <c r="O91"/>
  <c r="P91"/>
  <c r="Q91"/>
  <c r="R91"/>
  <c r="S91"/>
  <c r="T91"/>
  <c r="U91"/>
  <c r="V91"/>
  <c r="W91"/>
  <c r="N92"/>
  <c r="O92"/>
  <c r="P92"/>
  <c r="Q92"/>
  <c r="R92"/>
  <c r="S92"/>
  <c r="T92"/>
  <c r="U92"/>
  <c r="V92"/>
  <c r="W92"/>
  <c r="N93"/>
  <c r="O93"/>
  <c r="P93"/>
  <c r="Q93"/>
  <c r="R93"/>
  <c r="S93"/>
  <c r="T93"/>
  <c r="U93"/>
  <c r="V93"/>
  <c r="W93"/>
  <c r="N94"/>
  <c r="O94"/>
  <c r="P94"/>
  <c r="Q94"/>
  <c r="R94"/>
  <c r="S94"/>
  <c r="T94"/>
  <c r="U94"/>
  <c r="V94"/>
  <c r="W94"/>
  <c r="N95"/>
  <c r="O95"/>
  <c r="P95"/>
  <c r="Q95"/>
  <c r="R95"/>
  <c r="S95"/>
  <c r="T95"/>
  <c r="U95"/>
  <c r="V95"/>
  <c r="W95"/>
  <c r="N96"/>
  <c r="O96"/>
  <c r="P96"/>
  <c r="Q96"/>
  <c r="R96"/>
  <c r="S96"/>
  <c r="T96"/>
  <c r="U96"/>
  <c r="V96"/>
  <c r="W96"/>
  <c r="N97"/>
  <c r="O97"/>
  <c r="P97"/>
  <c r="Q97"/>
  <c r="R97"/>
  <c r="S97"/>
  <c r="T97"/>
  <c r="U97"/>
  <c r="V97"/>
  <c r="W97"/>
  <c r="N98"/>
  <c r="O98"/>
  <c r="P98"/>
  <c r="Q98"/>
  <c r="R98"/>
  <c r="S98"/>
  <c r="T98"/>
  <c r="U98"/>
  <c r="V98"/>
  <c r="W98"/>
  <c r="N99"/>
  <c r="O99"/>
  <c r="P99"/>
  <c r="Q99"/>
  <c r="R99"/>
  <c r="S99"/>
  <c r="T99"/>
  <c r="U99"/>
  <c r="V99"/>
  <c r="W99"/>
  <c r="N100"/>
  <c r="O100"/>
  <c r="P100"/>
  <c r="Q100"/>
  <c r="R100"/>
  <c r="S100"/>
  <c r="T100"/>
  <c r="U100"/>
  <c r="V100"/>
  <c r="W100"/>
  <c r="N101"/>
  <c r="O101"/>
  <c r="P101"/>
  <c r="Q101"/>
  <c r="R101"/>
  <c r="S101"/>
  <c r="T101"/>
  <c r="U101"/>
  <c r="V101"/>
  <c r="W101"/>
  <c r="N102"/>
  <c r="O102"/>
  <c r="P102"/>
  <c r="Q102"/>
  <c r="R102"/>
  <c r="S102"/>
  <c r="T102"/>
  <c r="U102"/>
  <c r="V102"/>
  <c r="W102"/>
  <c r="N103"/>
  <c r="O103"/>
  <c r="P103"/>
  <c r="Q103"/>
  <c r="R103"/>
  <c r="S103"/>
  <c r="T103"/>
  <c r="U103"/>
  <c r="V103"/>
  <c r="W103"/>
  <c r="N104"/>
  <c r="O104"/>
  <c r="P104"/>
  <c r="Q104"/>
  <c r="R104"/>
  <c r="S104"/>
  <c r="T104"/>
  <c r="U104"/>
  <c r="V104"/>
  <c r="W104"/>
  <c r="N105"/>
  <c r="O105"/>
  <c r="P105"/>
  <c r="Q105"/>
  <c r="R105"/>
  <c r="S105"/>
  <c r="T105"/>
  <c r="U105"/>
  <c r="V105"/>
  <c r="W105"/>
  <c r="N106"/>
  <c r="O106"/>
  <c r="P106"/>
  <c r="Q106"/>
  <c r="R106"/>
  <c r="S106"/>
  <c r="T106"/>
  <c r="U106"/>
  <c r="V106"/>
  <c r="W106"/>
  <c r="N107"/>
  <c r="O107"/>
  <c r="P107"/>
  <c r="Q107"/>
  <c r="R107"/>
  <c r="S107"/>
  <c r="T107"/>
  <c r="U107"/>
  <c r="V107"/>
  <c r="W107"/>
  <c r="N108"/>
  <c r="O108"/>
  <c r="P108"/>
  <c r="Q108"/>
  <c r="R108"/>
  <c r="S108"/>
  <c r="T108"/>
  <c r="U108"/>
  <c r="V108"/>
  <c r="W108"/>
  <c r="N109"/>
  <c r="O109"/>
  <c r="P109"/>
  <c r="Q109"/>
  <c r="R109"/>
  <c r="S109"/>
  <c r="T109"/>
  <c r="U109"/>
  <c r="V109"/>
  <c r="W109"/>
  <c r="N110"/>
  <c r="O110"/>
  <c r="P110"/>
  <c r="Q110"/>
  <c r="R110"/>
  <c r="S110"/>
  <c r="T110"/>
  <c r="U110"/>
  <c r="V110"/>
  <c r="W110"/>
  <c r="N111"/>
  <c r="O111"/>
  <c r="P111"/>
  <c r="Q111"/>
  <c r="R111"/>
  <c r="S111"/>
  <c r="T111"/>
  <c r="U111"/>
  <c r="V111"/>
  <c r="W111"/>
  <c r="N112"/>
  <c r="O112"/>
  <c r="P112"/>
  <c r="Q112"/>
  <c r="R112"/>
  <c r="S112"/>
  <c r="T112"/>
  <c r="U112"/>
  <c r="V112"/>
  <c r="W112"/>
  <c r="N113"/>
  <c r="O113"/>
  <c r="P113"/>
  <c r="Q113"/>
  <c r="R113"/>
  <c r="S113"/>
  <c r="T113"/>
  <c r="U113"/>
  <c r="V113"/>
  <c r="W113"/>
  <c r="N114"/>
  <c r="O114"/>
  <c r="P114"/>
  <c r="Q114"/>
  <c r="R114"/>
  <c r="S114"/>
  <c r="T114"/>
  <c r="U114"/>
  <c r="V114"/>
  <c r="W114"/>
  <c r="N115"/>
  <c r="O115"/>
  <c r="P115"/>
  <c r="Q115"/>
  <c r="R115"/>
  <c r="S115"/>
  <c r="T115"/>
  <c r="U115"/>
  <c r="V115"/>
  <c r="W115"/>
  <c r="N116"/>
  <c r="O116"/>
  <c r="P116"/>
  <c r="Q116"/>
  <c r="R116"/>
  <c r="S116"/>
  <c r="T116"/>
  <c r="U116"/>
  <c r="V116"/>
  <c r="W116"/>
  <c r="N117"/>
  <c r="O117"/>
  <c r="P117"/>
  <c r="Q117"/>
  <c r="R117"/>
  <c r="S117"/>
  <c r="T117"/>
  <c r="U117"/>
  <c r="V117"/>
  <c r="W117"/>
  <c r="N118"/>
  <c r="O118"/>
  <c r="P118"/>
  <c r="Q118"/>
  <c r="R118"/>
  <c r="S118"/>
  <c r="T118"/>
  <c r="U118"/>
  <c r="V118"/>
  <c r="W118"/>
  <c r="N119"/>
  <c r="O119"/>
  <c r="P119"/>
  <c r="Q119"/>
  <c r="R119"/>
  <c r="S119"/>
  <c r="T119"/>
  <c r="U119"/>
  <c r="V119"/>
  <c r="W119"/>
  <c r="N120"/>
  <c r="O120"/>
  <c r="P120"/>
  <c r="Q120"/>
  <c r="R120"/>
  <c r="S120"/>
  <c r="T120"/>
  <c r="U120"/>
  <c r="V120"/>
  <c r="W120"/>
  <c r="N121"/>
  <c r="O121"/>
  <c r="P121"/>
  <c r="R121"/>
  <c r="S121"/>
  <c r="T121"/>
  <c r="U121"/>
  <c r="V121"/>
  <c r="W121"/>
  <c r="N122"/>
  <c r="O122"/>
  <c r="P122"/>
  <c r="Q122"/>
  <c r="R122"/>
  <c r="S122"/>
  <c r="T122"/>
  <c r="U122"/>
  <c r="V122"/>
  <c r="W122"/>
  <c r="N123"/>
  <c r="O123"/>
  <c r="P123"/>
  <c r="Q123"/>
  <c r="R123"/>
  <c r="S123"/>
  <c r="T123"/>
  <c r="U123"/>
  <c r="V123"/>
  <c r="W123"/>
  <c r="N124"/>
  <c r="O124"/>
  <c r="P124"/>
  <c r="Q124"/>
  <c r="R124"/>
  <c r="S124"/>
  <c r="T124"/>
  <c r="U124"/>
  <c r="V124"/>
  <c r="W124"/>
  <c r="N125"/>
  <c r="O125"/>
  <c r="P125"/>
  <c r="Q125"/>
  <c r="R125"/>
  <c r="S125"/>
  <c r="T125"/>
  <c r="U125"/>
  <c r="V125"/>
  <c r="W125"/>
  <c r="N126"/>
  <c r="O126"/>
  <c r="P126"/>
  <c r="Q126"/>
  <c r="R126"/>
  <c r="S126"/>
  <c r="T126"/>
  <c r="U126"/>
  <c r="V126"/>
  <c r="W126"/>
  <c r="N127"/>
  <c r="O127"/>
  <c r="P127"/>
  <c r="Q127"/>
  <c r="R127"/>
  <c r="S127"/>
  <c r="T127"/>
  <c r="U127"/>
  <c r="V127"/>
  <c r="W127"/>
  <c r="N128"/>
  <c r="O128"/>
  <c r="P128"/>
  <c r="Q128"/>
  <c r="R128"/>
  <c r="S128"/>
  <c r="T128"/>
  <c r="U128"/>
  <c r="V128"/>
  <c r="W128"/>
  <c r="N129"/>
  <c r="O129"/>
  <c r="P129"/>
  <c r="Q129"/>
  <c r="R129"/>
  <c r="S129"/>
  <c r="T129"/>
  <c r="U129"/>
  <c r="V129"/>
  <c r="W129"/>
  <c r="N130"/>
  <c r="O130"/>
  <c r="P130"/>
  <c r="Q130"/>
  <c r="R130"/>
  <c r="S130"/>
  <c r="T130"/>
  <c r="U130"/>
  <c r="V130"/>
  <c r="W130"/>
  <c r="N131"/>
  <c r="O131"/>
  <c r="P131"/>
  <c r="Q131"/>
  <c r="R131"/>
  <c r="S131"/>
  <c r="T131"/>
  <c r="U131"/>
  <c r="V131"/>
  <c r="W131"/>
  <c r="N132"/>
  <c r="O132"/>
  <c r="P132"/>
  <c r="Q132"/>
  <c r="R132"/>
  <c r="S132"/>
  <c r="T132"/>
  <c r="U132"/>
  <c r="V132"/>
  <c r="W132"/>
  <c r="N133"/>
  <c r="O133"/>
  <c r="P133"/>
  <c r="Q133"/>
  <c r="R133"/>
  <c r="S133"/>
  <c r="T133"/>
  <c r="U133"/>
  <c r="V133"/>
  <c r="W133"/>
  <c r="N134"/>
  <c r="O134"/>
  <c r="P134"/>
  <c r="Q134"/>
  <c r="R134"/>
  <c r="S134"/>
  <c r="T134"/>
  <c r="U134"/>
  <c r="V134"/>
  <c r="W134"/>
  <c r="N135"/>
  <c r="O135"/>
  <c r="P135"/>
  <c r="Q135"/>
  <c r="R135"/>
  <c r="S135"/>
  <c r="T135"/>
  <c r="U135"/>
  <c r="V135"/>
  <c r="W135"/>
  <c r="N136"/>
  <c r="O136"/>
  <c r="P136"/>
  <c r="Q136"/>
  <c r="R136"/>
  <c r="S136"/>
  <c r="T136"/>
  <c r="U136"/>
  <c r="V136"/>
  <c r="W136"/>
  <c r="N137"/>
  <c r="O137"/>
  <c r="P137"/>
  <c r="Q137"/>
  <c r="R137"/>
  <c r="S137"/>
  <c r="T137"/>
  <c r="U137"/>
  <c r="V137"/>
  <c r="W137"/>
  <c r="N138"/>
  <c r="O138"/>
  <c r="P138"/>
  <c r="Q138"/>
  <c r="R138"/>
  <c r="S138"/>
  <c r="T138"/>
  <c r="U138"/>
  <c r="V138"/>
  <c r="W138"/>
  <c r="N139"/>
  <c r="O139"/>
  <c r="P139"/>
  <c r="Q139"/>
  <c r="R139"/>
  <c r="S139"/>
  <c r="T139"/>
  <c r="U139"/>
  <c r="V139"/>
  <c r="W139"/>
  <c r="N140"/>
  <c r="O140"/>
  <c r="P140"/>
  <c r="Q140"/>
  <c r="R140"/>
  <c r="S140"/>
  <c r="T140"/>
  <c r="U140"/>
  <c r="V140"/>
  <c r="W140"/>
  <c r="N141"/>
  <c r="O141"/>
  <c r="P141"/>
  <c r="Q141"/>
  <c r="R141"/>
  <c r="S141"/>
  <c r="T141"/>
  <c r="U141"/>
  <c r="V141"/>
  <c r="W141"/>
  <c r="N142"/>
  <c r="O142"/>
  <c r="P142"/>
  <c r="Q142"/>
  <c r="R142"/>
  <c r="S142"/>
  <c r="T142"/>
  <c r="U142"/>
  <c r="V142"/>
  <c r="W142"/>
  <c r="N143"/>
  <c r="O143"/>
  <c r="P143"/>
  <c r="Q143"/>
  <c r="R143"/>
  <c r="S143"/>
  <c r="T143"/>
  <c r="U143"/>
  <c r="V143"/>
  <c r="W143"/>
  <c r="N144"/>
  <c r="O144"/>
  <c r="P144"/>
  <c r="Q144"/>
  <c r="R144"/>
  <c r="S144"/>
  <c r="T144"/>
  <c r="U144"/>
  <c r="V144"/>
  <c r="W144"/>
  <c r="N145"/>
  <c r="O145"/>
  <c r="P145"/>
  <c r="Q145"/>
  <c r="R145"/>
  <c r="S145"/>
  <c r="T145"/>
  <c r="U145"/>
  <c r="V145"/>
  <c r="W145"/>
  <c r="N146"/>
  <c r="O146"/>
  <c r="P146"/>
  <c r="Q146"/>
  <c r="R146"/>
  <c r="S146"/>
  <c r="T146"/>
  <c r="U146"/>
  <c r="V146"/>
  <c r="W146"/>
  <c r="N147"/>
  <c r="O147"/>
  <c r="P147"/>
  <c r="Q147"/>
  <c r="R147"/>
  <c r="S147"/>
  <c r="T147"/>
  <c r="U147"/>
  <c r="V147"/>
  <c r="W147"/>
  <c r="N148"/>
  <c r="O148"/>
  <c r="P148"/>
  <c r="Q148"/>
  <c r="R148"/>
  <c r="S148"/>
  <c r="T148"/>
  <c r="U148"/>
  <c r="V148"/>
  <c r="W148"/>
  <c r="N149"/>
  <c r="O149"/>
  <c r="P149"/>
  <c r="Q149"/>
  <c r="R149"/>
  <c r="S149"/>
  <c r="T149"/>
  <c r="U149"/>
  <c r="V149"/>
  <c r="W149"/>
  <c r="N150"/>
  <c r="O150"/>
  <c r="P150"/>
  <c r="Q150"/>
  <c r="R150"/>
  <c r="S150"/>
  <c r="T150"/>
  <c r="U150"/>
  <c r="V150"/>
  <c r="W150"/>
  <c r="N151"/>
  <c r="O151"/>
  <c r="P151"/>
  <c r="Q151"/>
  <c r="R151"/>
  <c r="S151"/>
  <c r="T151"/>
  <c r="U151"/>
  <c r="V151"/>
  <c r="W151"/>
  <c r="N152"/>
  <c r="O152"/>
  <c r="P152"/>
  <c r="Q152"/>
  <c r="R152"/>
  <c r="S152"/>
  <c r="T152"/>
  <c r="U152"/>
  <c r="V152"/>
  <c r="W152"/>
  <c r="N153"/>
  <c r="O153"/>
  <c r="P153"/>
  <c r="Q153"/>
  <c r="R153"/>
  <c r="S153"/>
  <c r="T153"/>
  <c r="U153"/>
  <c r="V153"/>
  <c r="W153"/>
  <c r="N154"/>
  <c r="O154"/>
  <c r="P154"/>
  <c r="Q154"/>
  <c r="R154"/>
  <c r="S154"/>
  <c r="T154"/>
  <c r="U154"/>
  <c r="V154"/>
  <c r="W154"/>
  <c r="N155"/>
  <c r="O155"/>
  <c r="P155"/>
  <c r="Q155"/>
  <c r="R155"/>
  <c r="S155"/>
  <c r="T155"/>
  <c r="U155"/>
  <c r="V155"/>
  <c r="W155"/>
  <c r="N156"/>
  <c r="O156"/>
  <c r="P156"/>
  <c r="Q156"/>
  <c r="R156"/>
  <c r="S156"/>
  <c r="T156"/>
  <c r="U156"/>
  <c r="V156"/>
  <c r="W156"/>
  <c r="N157"/>
  <c r="O157"/>
  <c r="P157"/>
  <c r="Q157"/>
  <c r="R157"/>
  <c r="S157"/>
  <c r="T157"/>
  <c r="U157"/>
  <c r="V157"/>
  <c r="W157"/>
  <c r="N158"/>
  <c r="O158"/>
  <c r="P158"/>
  <c r="Q158"/>
  <c r="R158"/>
  <c r="S158"/>
  <c r="T158"/>
  <c r="U158"/>
  <c r="V158"/>
  <c r="W158"/>
  <c r="N159"/>
  <c r="O159"/>
  <c r="P159"/>
  <c r="Q159"/>
  <c r="R159"/>
  <c r="S159"/>
  <c r="T159"/>
  <c r="U159"/>
  <c r="V159"/>
  <c r="W159"/>
  <c r="N160"/>
  <c r="O160"/>
  <c r="P160"/>
  <c r="Q160"/>
  <c r="R160"/>
  <c r="S160"/>
  <c r="T160"/>
  <c r="U160"/>
  <c r="V160"/>
  <c r="W160"/>
  <c r="N161"/>
  <c r="O161"/>
  <c r="P161"/>
  <c r="Q161"/>
  <c r="R161"/>
  <c r="S161"/>
  <c r="T161"/>
  <c r="U161"/>
  <c r="V161"/>
  <c r="W161"/>
  <c r="N162"/>
  <c r="O162"/>
  <c r="P162"/>
  <c r="Q162"/>
  <c r="R162"/>
  <c r="S162"/>
  <c r="T162"/>
  <c r="U162"/>
  <c r="V162"/>
  <c r="W162"/>
  <c r="N163"/>
  <c r="O163"/>
  <c r="P163"/>
  <c r="Q163"/>
  <c r="R163"/>
  <c r="S163"/>
  <c r="T163"/>
  <c r="U163"/>
  <c r="V163"/>
  <c r="W163"/>
  <c r="N164"/>
  <c r="O164"/>
  <c r="P164"/>
  <c r="Q164"/>
  <c r="R164"/>
  <c r="S164"/>
  <c r="T164"/>
  <c r="U164"/>
  <c r="V164"/>
  <c r="W164"/>
  <c r="N165"/>
  <c r="O165"/>
  <c r="P165"/>
  <c r="Q165"/>
  <c r="R165"/>
  <c r="S165"/>
  <c r="T165"/>
  <c r="U165"/>
  <c r="V165"/>
  <c r="W165"/>
  <c r="N166"/>
  <c r="O166"/>
  <c r="P166"/>
  <c r="Q166"/>
  <c r="R166"/>
  <c r="S166"/>
  <c r="T166"/>
  <c r="U166"/>
  <c r="V166"/>
  <c r="W166"/>
  <c r="N167"/>
  <c r="O167"/>
  <c r="P167"/>
  <c r="Q167"/>
  <c r="R167"/>
  <c r="S167"/>
  <c r="T167"/>
  <c r="U167"/>
  <c r="V167"/>
  <c r="W167"/>
  <c r="N168"/>
  <c r="O168"/>
  <c r="P168"/>
  <c r="Q168"/>
  <c r="R168"/>
  <c r="S168"/>
  <c r="T168"/>
  <c r="U168"/>
  <c r="V168"/>
  <c r="W168"/>
  <c r="N169"/>
  <c r="O169"/>
  <c r="P169"/>
  <c r="Q169"/>
  <c r="R169"/>
  <c r="S169"/>
  <c r="T169"/>
  <c r="U169"/>
  <c r="V169"/>
  <c r="W169"/>
  <c r="N170"/>
  <c r="O170"/>
  <c r="P170"/>
  <c r="Q170"/>
  <c r="R170"/>
  <c r="S170"/>
  <c r="T170"/>
  <c r="U170"/>
  <c r="V170"/>
  <c r="W170"/>
  <c r="N171"/>
  <c r="O171"/>
  <c r="P171"/>
  <c r="Q171"/>
  <c r="R171"/>
  <c r="S171"/>
  <c r="T171"/>
  <c r="U171"/>
  <c r="V171"/>
  <c r="W171"/>
  <c r="N172"/>
  <c r="O172"/>
  <c r="P172"/>
  <c r="Q172"/>
  <c r="R172"/>
  <c r="S172"/>
  <c r="T172"/>
  <c r="U172"/>
  <c r="V172"/>
  <c r="W172"/>
  <c r="N173"/>
  <c r="O173"/>
  <c r="P173"/>
  <c r="Q173"/>
  <c r="R173"/>
  <c r="S173"/>
  <c r="T173"/>
  <c r="U173"/>
  <c r="V173"/>
  <c r="W173"/>
  <c r="N174"/>
  <c r="O174"/>
  <c r="P174"/>
  <c r="Q174"/>
  <c r="R174"/>
  <c r="S174"/>
  <c r="T174"/>
  <c r="U174"/>
  <c r="V174"/>
  <c r="W174"/>
  <c r="N175"/>
  <c r="O175"/>
  <c r="P175"/>
  <c r="Q175"/>
  <c r="R175"/>
  <c r="S175"/>
  <c r="T175"/>
  <c r="U175"/>
  <c r="V175"/>
  <c r="W175"/>
  <c r="N176"/>
  <c r="O176"/>
  <c r="P176"/>
  <c r="Q176"/>
  <c r="R176"/>
  <c r="S176"/>
  <c r="T176"/>
  <c r="U176"/>
  <c r="V176"/>
  <c r="W176"/>
  <c r="N177"/>
  <c r="O177"/>
  <c r="P177"/>
  <c r="Q177"/>
  <c r="R177"/>
  <c r="S177"/>
  <c r="T177"/>
  <c r="U177"/>
  <c r="V177"/>
  <c r="W177"/>
  <c r="N178"/>
  <c r="O178"/>
  <c r="P178"/>
  <c r="Q178"/>
  <c r="R178"/>
  <c r="S178"/>
  <c r="T178"/>
  <c r="U178"/>
  <c r="V178"/>
  <c r="W178"/>
  <c r="N179"/>
  <c r="O179"/>
  <c r="P179"/>
  <c r="Q179"/>
  <c r="R179"/>
  <c r="S179"/>
  <c r="T179"/>
  <c r="U179"/>
  <c r="V179"/>
  <c r="W179"/>
  <c r="N180"/>
  <c r="O180"/>
  <c r="P180"/>
  <c r="Q180"/>
  <c r="R180"/>
  <c r="S180"/>
  <c r="T180"/>
  <c r="U180"/>
  <c r="V180"/>
  <c r="W180"/>
  <c r="N181"/>
  <c r="O181"/>
  <c r="P181"/>
  <c r="Q181"/>
  <c r="R181"/>
  <c r="S181"/>
  <c r="T181"/>
  <c r="U181"/>
  <c r="V181"/>
  <c r="W181"/>
  <c r="N182"/>
  <c r="O182"/>
  <c r="P182"/>
  <c r="Q182"/>
  <c r="R182"/>
  <c r="S182"/>
  <c r="T182"/>
  <c r="U182"/>
  <c r="V182"/>
  <c r="W182"/>
  <c r="N183"/>
  <c r="O183"/>
  <c r="P183"/>
  <c r="Q183"/>
  <c r="R183"/>
  <c r="S183"/>
  <c r="T183"/>
  <c r="U183"/>
  <c r="V183"/>
  <c r="W183"/>
  <c r="N184"/>
  <c r="O184"/>
  <c r="P184"/>
  <c r="Q184"/>
  <c r="R184"/>
  <c r="S184"/>
  <c r="T184"/>
  <c r="U184"/>
  <c r="V184"/>
  <c r="W184"/>
  <c r="N185"/>
  <c r="O185"/>
  <c r="P185"/>
  <c r="Q185"/>
  <c r="R185"/>
  <c r="S185"/>
  <c r="T185"/>
  <c r="U185"/>
  <c r="V185"/>
  <c r="W185"/>
  <c r="N186"/>
  <c r="O186"/>
  <c r="P186"/>
  <c r="Q186"/>
  <c r="R186"/>
  <c r="S186"/>
  <c r="T186"/>
  <c r="U186"/>
  <c r="V186"/>
  <c r="W186"/>
  <c r="N187"/>
  <c r="O187"/>
  <c r="P187"/>
  <c r="Q187"/>
  <c r="R187"/>
  <c r="S187"/>
  <c r="T187"/>
  <c r="U187"/>
  <c r="V187"/>
  <c r="W187"/>
  <c r="N188"/>
  <c r="O188"/>
  <c r="P188"/>
  <c r="Q188"/>
  <c r="R188"/>
  <c r="S188"/>
  <c r="T188"/>
  <c r="U188"/>
  <c r="V188"/>
  <c r="W188"/>
  <c r="N189"/>
  <c r="O189"/>
  <c r="P189"/>
  <c r="Q189"/>
  <c r="R189"/>
  <c r="S189"/>
  <c r="T189"/>
  <c r="U189"/>
  <c r="V189"/>
  <c r="W189"/>
  <c r="N190"/>
  <c r="O190"/>
  <c r="P190"/>
  <c r="Q190"/>
  <c r="R190"/>
  <c r="S190"/>
  <c r="T190"/>
  <c r="U190"/>
  <c r="V190"/>
  <c r="W190"/>
  <c r="O6"/>
  <c r="P6"/>
  <c r="Q6"/>
  <c r="R6"/>
  <c r="S6"/>
  <c r="T6"/>
  <c r="U6"/>
  <c r="V6"/>
  <c r="W6"/>
  <c r="N6"/>
  <c r="C20" i="1"/>
  <c r="D20"/>
  <c r="E20"/>
  <c r="G20"/>
  <c r="C21"/>
  <c r="D21"/>
  <c r="E21"/>
  <c r="F21"/>
  <c r="G21"/>
  <c r="B22"/>
  <c r="C22"/>
  <c r="D22"/>
  <c r="E22"/>
  <c r="F22"/>
  <c r="G22"/>
  <c r="B23"/>
  <c r="C23"/>
  <c r="D23"/>
  <c r="E23"/>
  <c r="F23"/>
  <c r="G23"/>
  <c r="B24"/>
  <c r="C24"/>
  <c r="D24"/>
  <c r="F24"/>
  <c r="G24"/>
  <c r="G29" l="1"/>
  <c r="F29"/>
  <c r="G28"/>
  <c r="F28"/>
  <c r="G27"/>
  <c r="F27"/>
  <c r="G26"/>
  <c r="F26"/>
  <c r="G25"/>
  <c r="F25"/>
  <c r="I29"/>
  <c r="H29"/>
  <c r="I28"/>
  <c r="H28"/>
  <c r="I27"/>
  <c r="H27"/>
  <c r="I26"/>
  <c r="H26"/>
  <c r="I25"/>
  <c r="H25"/>
  <c r="I24"/>
  <c r="H24"/>
  <c r="I23"/>
  <c r="H23"/>
  <c r="I22"/>
  <c r="H22"/>
  <c r="I21"/>
  <c r="H21"/>
  <c r="I20"/>
  <c r="H20"/>
  <c r="Q29"/>
  <c r="P29"/>
  <c r="Q28"/>
  <c r="P28"/>
  <c r="Q27"/>
  <c r="P27"/>
  <c r="Q26"/>
  <c r="P26"/>
  <c r="Q25"/>
  <c r="P25"/>
  <c r="Q24"/>
  <c r="P24"/>
  <c r="Q23"/>
  <c r="P23"/>
  <c r="Q22"/>
  <c r="P22"/>
  <c r="Q21"/>
  <c r="P21"/>
  <c r="Q20"/>
  <c r="P20"/>
  <c r="O29"/>
  <c r="N29"/>
  <c r="O28"/>
  <c r="N28"/>
  <c r="O27"/>
  <c r="N27"/>
  <c r="O26"/>
  <c r="N26"/>
  <c r="O25"/>
  <c r="N25"/>
  <c r="O24"/>
  <c r="N24"/>
  <c r="O23"/>
  <c r="N23"/>
  <c r="O22"/>
  <c r="N22"/>
  <c r="O21"/>
  <c r="N21"/>
  <c r="O20"/>
  <c r="N20"/>
  <c r="M29"/>
  <c r="L29"/>
  <c r="M28"/>
  <c r="L28"/>
  <c r="M27"/>
  <c r="L27"/>
  <c r="M26"/>
  <c r="L26"/>
  <c r="M25"/>
  <c r="L25"/>
  <c r="M24"/>
  <c r="L24"/>
  <c r="M23"/>
  <c r="L23"/>
  <c r="M22"/>
  <c r="L22"/>
  <c r="M21"/>
  <c r="L21"/>
  <c r="M20"/>
  <c r="L20"/>
  <c r="E29"/>
  <c r="D29"/>
  <c r="E28"/>
  <c r="D28"/>
  <c r="E27"/>
  <c r="D27"/>
  <c r="E26"/>
  <c r="D26"/>
  <c r="E25"/>
  <c r="D25"/>
  <c r="C29"/>
  <c r="B29"/>
  <c r="C28"/>
  <c r="B28"/>
  <c r="C27"/>
  <c r="B27"/>
  <c r="C26"/>
  <c r="B26"/>
  <c r="C25"/>
  <c r="B25"/>
  <c r="C32"/>
  <c r="Q31" i="5"/>
  <c r="P31"/>
  <c r="O31"/>
  <c r="N31"/>
  <c r="M31"/>
  <c r="L31"/>
  <c r="K31"/>
  <c r="J31"/>
  <c r="I31"/>
  <c r="H31"/>
  <c r="G31"/>
  <c r="F31"/>
  <c r="E31"/>
  <c r="D31"/>
  <c r="Q30"/>
  <c r="P30"/>
  <c r="O30"/>
  <c r="N30"/>
  <c r="M30"/>
  <c r="L30"/>
  <c r="K30"/>
  <c r="J30"/>
  <c r="I30"/>
  <c r="H30"/>
  <c r="G30"/>
  <c r="F30"/>
  <c r="E30"/>
  <c r="D30"/>
  <c r="Q29"/>
  <c r="P29"/>
  <c r="O29"/>
  <c r="N29"/>
  <c r="M29"/>
  <c r="L29"/>
  <c r="K29"/>
  <c r="J29"/>
  <c r="I29"/>
  <c r="H29"/>
  <c r="G29"/>
  <c r="F29"/>
  <c r="E29"/>
  <c r="D29"/>
  <c r="Q28"/>
  <c r="P28"/>
  <c r="O28"/>
  <c r="N28"/>
  <c r="M28"/>
  <c r="L28"/>
  <c r="K28"/>
  <c r="J28"/>
  <c r="I28"/>
  <c r="H28"/>
  <c r="G28"/>
  <c r="F28"/>
  <c r="E28"/>
  <c r="D28"/>
  <c r="Q27"/>
  <c r="P27"/>
  <c r="O27"/>
  <c r="N27"/>
  <c r="M27"/>
  <c r="L27"/>
  <c r="K27"/>
  <c r="J27"/>
  <c r="I27"/>
  <c r="H27"/>
  <c r="G27"/>
  <c r="F27"/>
  <c r="E27"/>
  <c r="D27"/>
  <c r="Q26"/>
  <c r="P26"/>
  <c r="O26"/>
  <c r="N26"/>
  <c r="M26"/>
  <c r="L26"/>
  <c r="K26"/>
  <c r="J26"/>
  <c r="I26"/>
  <c r="H26"/>
  <c r="G26"/>
  <c r="F26"/>
  <c r="E26"/>
  <c r="D26"/>
  <c r="Q25"/>
  <c r="P25"/>
  <c r="O25"/>
  <c r="N25"/>
  <c r="M25"/>
  <c r="L25"/>
  <c r="K25"/>
  <c r="J25"/>
  <c r="I25"/>
  <c r="H25"/>
  <c r="G25"/>
  <c r="F25"/>
  <c r="E25"/>
  <c r="D25"/>
  <c r="Q24"/>
  <c r="P24"/>
  <c r="O24"/>
  <c r="N24"/>
  <c r="M24"/>
  <c r="L24"/>
  <c r="K24"/>
  <c r="J24"/>
  <c r="I24"/>
  <c r="H24"/>
  <c r="G24"/>
  <c r="F24"/>
  <c r="E24"/>
  <c r="D24"/>
  <c r="Q23"/>
  <c r="P23"/>
  <c r="O23"/>
  <c r="N23"/>
  <c r="M23"/>
  <c r="L23"/>
  <c r="K23"/>
  <c r="J23"/>
  <c r="I23"/>
  <c r="H23"/>
  <c r="G23"/>
  <c r="F23"/>
  <c r="E23"/>
  <c r="D23"/>
  <c r="O22"/>
  <c r="L22"/>
  <c r="P22"/>
  <c r="M22"/>
  <c r="J22"/>
  <c r="G22"/>
  <c r="D22"/>
  <c r="Q22"/>
  <c r="N22"/>
  <c r="K22"/>
  <c r="I22"/>
  <c r="H22"/>
  <c r="F22"/>
  <c r="E22"/>
  <c r="J26" i="1" l="1"/>
  <c r="K20"/>
  <c r="K29" l="1"/>
  <c r="J29"/>
  <c r="K28"/>
  <c r="J28"/>
  <c r="K27"/>
  <c r="J27"/>
  <c r="K26"/>
  <c r="K25"/>
  <c r="J25"/>
  <c r="K24"/>
  <c r="J24"/>
  <c r="K23"/>
  <c r="J23"/>
  <c r="K22"/>
  <c r="J22"/>
  <c r="K21"/>
  <c r="J21"/>
  <c r="J20"/>
  <c r="U55" l="1"/>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X54"/>
  <c r="X55"/>
  <c r="X56"/>
  <c r="X57"/>
  <c r="X58"/>
  <c r="X59"/>
  <c r="X60"/>
  <c r="X61"/>
  <c r="X62"/>
  <c r="X63"/>
  <c r="X64"/>
  <c r="X65"/>
  <c r="X66"/>
  <c r="X67"/>
  <c r="X68"/>
  <c r="B86"/>
  <c r="B88"/>
  <c r="U54"/>
  <c r="Q64"/>
  <c r="B165" s="1"/>
  <c r="Q63"/>
  <c r="B164" s="1"/>
  <c r="Q62"/>
  <c r="B163" s="1"/>
  <c r="Q61"/>
  <c r="B162" s="1"/>
  <c r="Q60"/>
  <c r="B161" s="1"/>
  <c r="Q59"/>
  <c r="B160" s="1"/>
  <c r="Q58"/>
  <c r="B159" s="1"/>
  <c r="Q57"/>
  <c r="B158" s="1"/>
  <c r="Q56"/>
  <c r="B157"/>
  <c r="Q55"/>
  <c r="B156" s="1"/>
  <c r="O64"/>
  <c r="B153" s="1"/>
  <c r="O63"/>
  <c r="B152" s="1"/>
  <c r="O62"/>
  <c r="B151" s="1"/>
  <c r="O61"/>
  <c r="B150" s="1"/>
  <c r="O60"/>
  <c r="B149" s="1"/>
  <c r="O59"/>
  <c r="B148" s="1"/>
  <c r="O58"/>
  <c r="B147" s="1"/>
  <c r="O57"/>
  <c r="B146" s="1"/>
  <c r="O56"/>
  <c r="B145" s="1"/>
  <c r="O55"/>
  <c r="B144" s="1"/>
  <c r="M64"/>
  <c r="B141" s="1"/>
  <c r="M63"/>
  <c r="B140" s="1"/>
  <c r="M62"/>
  <c r="B139" s="1"/>
  <c r="M61"/>
  <c r="B138" s="1"/>
  <c r="M60"/>
  <c r="B137" s="1"/>
  <c r="M59"/>
  <c r="B136" s="1"/>
  <c r="M58"/>
  <c r="B135" s="1"/>
  <c r="M57"/>
  <c r="B134" s="1"/>
  <c r="M56"/>
  <c r="B133" s="1"/>
  <c r="M55"/>
  <c r="B132" s="1"/>
  <c r="K64"/>
  <c r="B129" s="1"/>
  <c r="K63"/>
  <c r="B128" s="1"/>
  <c r="K62"/>
  <c r="B127" s="1"/>
  <c r="K61"/>
  <c r="B126" s="1"/>
  <c r="K60"/>
  <c r="B125" s="1"/>
  <c r="K59"/>
  <c r="B124" s="1"/>
  <c r="K58"/>
  <c r="B123" s="1"/>
  <c r="K57"/>
  <c r="B122" s="1"/>
  <c r="K56"/>
  <c r="B121" s="1"/>
  <c r="K55"/>
  <c r="B120" s="1"/>
  <c r="B116"/>
  <c r="B114"/>
  <c r="B108"/>
  <c r="B105"/>
  <c r="B103"/>
  <c r="B101"/>
  <c r="B100"/>
  <c r="B99"/>
  <c r="B98"/>
  <c r="B97"/>
  <c r="B96"/>
  <c r="B93"/>
  <c r="B92"/>
  <c r="B89"/>
  <c r="B87"/>
  <c r="B85"/>
  <c r="B84"/>
  <c r="B81"/>
  <c r="B80"/>
  <c r="B79"/>
  <c r="B78"/>
  <c r="B76"/>
  <c r="B75"/>
  <c r="B74"/>
  <c r="B73"/>
  <c r="B72"/>
  <c r="B91"/>
  <c r="B109"/>
  <c r="B110"/>
  <c r="B111"/>
  <c r="B112"/>
  <c r="B113"/>
  <c r="B115"/>
  <c r="B117"/>
  <c r="B102"/>
  <c r="B104"/>
  <c r="B90"/>
  <c r="B77"/>
  <c r="E108" l="1"/>
  <c r="E84"/>
  <c r="E96"/>
  <c r="E120"/>
  <c r="E132"/>
  <c r="E144"/>
  <c r="E156"/>
  <c r="E72"/>
  <c r="C167" l="1"/>
</calcChain>
</file>

<file path=xl/comments1.xml><?xml version="1.0" encoding="utf-8"?>
<comments xmlns="http://schemas.openxmlformats.org/spreadsheetml/2006/main">
  <authors>
    <author>scozirge</author>
  </authors>
  <commentList>
    <comment ref="A399" authorId="0">
      <text>
        <r>
          <rPr>
            <b/>
            <sz val="9"/>
            <color indexed="81"/>
            <rFont val="Tahoma"/>
            <family val="2"/>
          </rPr>
          <t>scozirge:</t>
        </r>
        <r>
          <rPr>
            <sz val="9"/>
            <color indexed="81"/>
            <rFont val="Tahoma"/>
            <family val="2"/>
          </rPr>
          <t xml:space="preserve">
</t>
        </r>
        <r>
          <rPr>
            <sz val="9"/>
            <color indexed="81"/>
            <rFont val="細明體"/>
            <family val="3"/>
            <charset val="136"/>
          </rPr>
          <t>玩家用魔物改為曼陀羅，經驗士兵不使用了</t>
        </r>
      </text>
    </comment>
    <comment ref="C399" authorId="0">
      <text>
        <r>
          <rPr>
            <b/>
            <sz val="9"/>
            <color indexed="81"/>
            <rFont val="Tahoma"/>
            <family val="2"/>
          </rPr>
          <t>scozirge:</t>
        </r>
        <r>
          <rPr>
            <sz val="9"/>
            <color indexed="81"/>
            <rFont val="Tahoma"/>
            <family val="2"/>
          </rPr>
          <t xml:space="preserve">
</t>
        </r>
        <r>
          <rPr>
            <sz val="9"/>
            <color indexed="81"/>
            <rFont val="細明體"/>
            <family val="3"/>
            <charset val="136"/>
          </rPr>
          <t>玩家用魔物改為曼陀羅，經驗士兵不使用了</t>
        </r>
      </text>
    </comment>
    <comment ref="A1094" authorId="0">
      <text>
        <r>
          <rPr>
            <b/>
            <sz val="9"/>
            <color indexed="81"/>
            <rFont val="新細明體"/>
            <family val="1"/>
            <charset val="136"/>
          </rPr>
          <t>scozirge:</t>
        </r>
        <r>
          <rPr>
            <sz val="9"/>
            <color indexed="81"/>
            <rFont val="新細明體"/>
            <family val="1"/>
            <charset val="136"/>
          </rPr>
          <t xml:space="preserve">
特殊怪</t>
        </r>
      </text>
    </comment>
    <comment ref="C1094" authorId="0">
      <text>
        <r>
          <rPr>
            <b/>
            <sz val="9"/>
            <color indexed="81"/>
            <rFont val="新細明體"/>
            <family val="1"/>
            <charset val="136"/>
          </rPr>
          <t>scozirge:</t>
        </r>
        <r>
          <rPr>
            <sz val="9"/>
            <color indexed="81"/>
            <rFont val="新細明體"/>
            <family val="1"/>
            <charset val="136"/>
          </rPr>
          <t xml:space="preserve">
特殊怪</t>
        </r>
      </text>
    </comment>
    <comment ref="B1146" authorId="0">
      <text>
        <r>
          <rPr>
            <b/>
            <sz val="9"/>
            <color indexed="81"/>
            <rFont val="Tahoma"/>
            <family val="2"/>
          </rPr>
          <t xml:space="preserve">scozirge:
</t>
        </r>
        <r>
          <rPr>
            <b/>
            <sz val="9"/>
            <color indexed="81"/>
            <rFont val="細明體"/>
            <family val="3"/>
            <charset val="136"/>
          </rPr>
          <t>新手導引怪物，別亂動</t>
        </r>
      </text>
    </comment>
    <comment ref="B1147" authorId="0">
      <text>
        <r>
          <rPr>
            <b/>
            <sz val="9"/>
            <color indexed="81"/>
            <rFont val="Tahoma"/>
            <family val="2"/>
          </rPr>
          <t xml:space="preserve">scozirge:
</t>
        </r>
        <r>
          <rPr>
            <b/>
            <sz val="9"/>
            <color indexed="81"/>
            <rFont val="細明體"/>
            <family val="3"/>
            <charset val="136"/>
          </rPr>
          <t>新手導引怪物，別亂動</t>
        </r>
      </text>
    </comment>
    <comment ref="B1148" authorId="0">
      <text>
        <r>
          <rPr>
            <b/>
            <sz val="9"/>
            <color indexed="81"/>
            <rFont val="Tahoma"/>
            <family val="2"/>
          </rPr>
          <t xml:space="preserve">scozirge:
</t>
        </r>
        <r>
          <rPr>
            <b/>
            <sz val="9"/>
            <color indexed="81"/>
            <rFont val="細明體"/>
            <family val="3"/>
            <charset val="136"/>
          </rPr>
          <t>新手導引怪物，別亂動</t>
        </r>
      </text>
    </comment>
    <comment ref="B1149" authorId="0">
      <text>
        <r>
          <rPr>
            <b/>
            <sz val="9"/>
            <color indexed="81"/>
            <rFont val="Tahoma"/>
            <family val="2"/>
          </rPr>
          <t xml:space="preserve">scozirge:
</t>
        </r>
        <r>
          <rPr>
            <b/>
            <sz val="9"/>
            <color indexed="81"/>
            <rFont val="細明體"/>
            <family val="3"/>
            <charset val="136"/>
          </rPr>
          <t>新手導引怪物，別亂動</t>
        </r>
      </text>
    </comment>
    <comment ref="B1150" authorId="0">
      <text>
        <r>
          <rPr>
            <b/>
            <sz val="9"/>
            <color indexed="81"/>
            <rFont val="Tahoma"/>
            <family val="2"/>
          </rPr>
          <t xml:space="preserve">scozirge:
</t>
        </r>
        <r>
          <rPr>
            <b/>
            <sz val="9"/>
            <color indexed="81"/>
            <rFont val="細明體"/>
            <family val="3"/>
            <charset val="136"/>
          </rPr>
          <t>新手導引怪物，別亂動</t>
        </r>
      </text>
    </comment>
    <comment ref="B1151" authorId="0">
      <text>
        <r>
          <rPr>
            <b/>
            <sz val="9"/>
            <color indexed="81"/>
            <rFont val="Tahoma"/>
            <family val="2"/>
          </rPr>
          <t xml:space="preserve">scozirge:
</t>
        </r>
        <r>
          <rPr>
            <b/>
            <sz val="9"/>
            <color indexed="81"/>
            <rFont val="細明體"/>
            <family val="3"/>
            <charset val="136"/>
          </rPr>
          <t>新手導引怪物，別亂動</t>
        </r>
      </text>
    </comment>
    <comment ref="B1152" authorId="0">
      <text>
        <r>
          <rPr>
            <b/>
            <sz val="9"/>
            <color indexed="81"/>
            <rFont val="Tahoma"/>
            <family val="2"/>
          </rPr>
          <t xml:space="preserve">scozirge:
</t>
        </r>
        <r>
          <rPr>
            <b/>
            <sz val="9"/>
            <color indexed="81"/>
            <rFont val="細明體"/>
            <family val="3"/>
            <charset val="136"/>
          </rPr>
          <t>新手導引怪物，別亂動</t>
        </r>
      </text>
    </comment>
  </commentList>
</comments>
</file>

<file path=xl/comments2.xml><?xml version="1.0" encoding="utf-8"?>
<comments xmlns="http://schemas.openxmlformats.org/spreadsheetml/2006/main">
  <authors>
    <author>scozirge</author>
  </authors>
  <commentList>
    <comment ref="A3" authorId="0">
      <text>
        <r>
          <rPr>
            <b/>
            <sz val="9"/>
            <color indexed="81"/>
            <rFont val="新細明體"/>
            <family val="1"/>
            <charset val="136"/>
          </rPr>
          <t>scozirge:</t>
        </r>
        <r>
          <rPr>
            <sz val="9"/>
            <color indexed="81"/>
            <rFont val="新細明體"/>
            <family val="1"/>
            <charset val="136"/>
          </rPr>
          <t xml:space="preserve">
一般普擊</t>
        </r>
      </text>
    </comment>
    <comment ref="A112" authorId="0">
      <text>
        <r>
          <rPr>
            <b/>
            <sz val="9"/>
            <color indexed="81"/>
            <rFont val="新細明體"/>
            <family val="1"/>
            <charset val="136"/>
          </rPr>
          <t>scozirge:</t>
        </r>
        <r>
          <rPr>
            <sz val="9"/>
            <color indexed="81"/>
            <rFont val="新細明體"/>
            <family val="1"/>
            <charset val="136"/>
          </rPr>
          <t xml:space="preserve">
怪物特殊技能</t>
        </r>
      </text>
    </comment>
    <comment ref="B287" authorId="0">
      <text>
        <r>
          <rPr>
            <b/>
            <sz val="9"/>
            <color indexed="81"/>
            <rFont val="Tahoma"/>
            <family val="2"/>
          </rPr>
          <t>scozirge:</t>
        </r>
        <r>
          <rPr>
            <sz val="9"/>
            <color indexed="81"/>
            <rFont val="Tahoma"/>
            <family val="2"/>
          </rPr>
          <t xml:space="preserve">
</t>
        </r>
        <r>
          <rPr>
            <sz val="9"/>
            <color indexed="81"/>
            <rFont val="細明體"/>
            <family val="3"/>
            <charset val="136"/>
          </rPr>
          <t>導引關卡用，不可動到</t>
        </r>
      </text>
    </comment>
    <comment ref="B1127" authorId="0">
      <text>
        <r>
          <rPr>
            <b/>
            <sz val="9"/>
            <color indexed="81"/>
            <rFont val="Tahoma"/>
            <family val="2"/>
          </rPr>
          <t>scozirge:</t>
        </r>
        <r>
          <rPr>
            <sz val="9"/>
            <color indexed="81"/>
            <rFont val="Tahoma"/>
            <family val="2"/>
          </rPr>
          <t xml:space="preserve">
</t>
        </r>
        <r>
          <rPr>
            <sz val="9"/>
            <color indexed="81"/>
            <rFont val="細明體"/>
            <family val="3"/>
            <charset val="136"/>
          </rPr>
          <t>伊登補範圍內血量最少角色距離填200是因為波次轉換時才不會因為伊值補血導致我方角色卡住不能往前跑</t>
        </r>
      </text>
    </comment>
  </commentList>
</comments>
</file>

<file path=xl/sharedStrings.xml><?xml version="1.0" encoding="utf-8"?>
<sst xmlns="http://schemas.openxmlformats.org/spreadsheetml/2006/main" count="8843" uniqueCount="3651">
  <si>
    <t>怪物</t>
    <phoneticPr fontId="2" type="noConversion"/>
  </si>
  <si>
    <t>等級</t>
    <phoneticPr fontId="2" type="noConversion"/>
  </si>
  <si>
    <t>第1隻</t>
    <phoneticPr fontId="2" type="noConversion"/>
  </si>
  <si>
    <t>第2隻</t>
  </si>
  <si>
    <t>第3隻</t>
  </si>
  <si>
    <t>第4隻</t>
  </si>
  <si>
    <t>第5隻</t>
  </si>
  <si>
    <t>第6隻</t>
  </si>
  <si>
    <t>第7隻</t>
  </si>
  <si>
    <t>第8隻</t>
  </si>
  <si>
    <t>第9隻</t>
  </si>
  <si>
    <t>第10隻</t>
  </si>
  <si>
    <t>字串：</t>
    <phoneticPr fontId="2" type="noConversion"/>
  </si>
  <si>
    <t>別去碰裡面的公式</t>
    <phoneticPr fontId="2" type="noConversion"/>
  </si>
  <si>
    <t>第一波</t>
    <phoneticPr fontId="2" type="noConversion"/>
  </si>
  <si>
    <t>第二波</t>
    <phoneticPr fontId="2" type="noConversion"/>
  </si>
  <si>
    <t>第三波</t>
    <phoneticPr fontId="2" type="noConversion"/>
  </si>
  <si>
    <t>第四波</t>
    <phoneticPr fontId="2" type="noConversion"/>
  </si>
  <si>
    <t>第五波</t>
    <phoneticPr fontId="2" type="noConversion"/>
  </si>
  <si>
    <t>第六波</t>
    <phoneticPr fontId="2" type="noConversion"/>
  </si>
  <si>
    <t>第七波</t>
    <phoneticPr fontId="2" type="noConversion"/>
  </si>
  <si>
    <t>第八波</t>
    <phoneticPr fontId="2" type="noConversion"/>
  </si>
  <si>
    <t>一般關卡</t>
    <phoneticPr fontId="2" type="noConversion"/>
  </si>
  <si>
    <t>等級</t>
    <phoneticPr fontId="2" type="noConversion"/>
  </si>
  <si>
    <t>※不填代表是取玩家隊伍平均等級</t>
    <phoneticPr fontId="2" type="noConversion"/>
  </si>
  <si>
    <t>寧芙</t>
  </si>
  <si>
    <t>人魚</t>
  </si>
  <si>
    <t>巨型野豬</t>
  </si>
  <si>
    <t>克里特巨牛</t>
  </si>
  <si>
    <t>涅墨亞巨獅</t>
  </si>
  <si>
    <t>小牛怪</t>
  </si>
  <si>
    <t>小型地獄犬</t>
  </si>
  <si>
    <t>獅鷲</t>
  </si>
  <si>
    <t>毒海獸</t>
  </si>
  <si>
    <t>刻律涅牝鹿</t>
  </si>
  <si>
    <t>鳥妖</t>
  </si>
  <si>
    <t>海馬</t>
  </si>
  <si>
    <t>不死鳥</t>
  </si>
  <si>
    <t>斯庫拉</t>
  </si>
  <si>
    <t>海妖</t>
  </si>
  <si>
    <t>天蠍</t>
  </si>
  <si>
    <t>白精靈</t>
  </si>
  <si>
    <t>黑精靈</t>
  </si>
  <si>
    <t>雷金</t>
  </si>
  <si>
    <t>葛拉爾</t>
  </si>
  <si>
    <t>阿爾維斯</t>
  </si>
  <si>
    <t>格萊普尼爾</t>
  </si>
  <si>
    <t>摩索尼爾</t>
  </si>
  <si>
    <t>布羅克</t>
  </si>
  <si>
    <t>辛德里</t>
  </si>
  <si>
    <t>拉塔托斯克</t>
  </si>
  <si>
    <t>胡金</t>
  </si>
  <si>
    <t>基利</t>
  </si>
  <si>
    <t>大型刻律涅牝鹿</t>
  </si>
  <si>
    <t>人面鳥妖</t>
  </si>
  <si>
    <t>大型海馬</t>
  </si>
  <si>
    <t>菲尼克司</t>
  </si>
  <si>
    <t>冰巨人法師</t>
  </si>
  <si>
    <t>冰巨人長老</t>
  </si>
  <si>
    <t>狼人</t>
  </si>
  <si>
    <t>女冰巨人</t>
  </si>
  <si>
    <t>冰巨人鬥士</t>
  </si>
  <si>
    <t>龍</t>
  </si>
  <si>
    <t>鬃毛豪豬</t>
  </si>
  <si>
    <t>海德拉</t>
  </si>
  <si>
    <t>彌諾陶洛斯</t>
  </si>
  <si>
    <t>刻耳柏洛斯</t>
  </si>
  <si>
    <t>阿耳戈斯</t>
  </si>
  <si>
    <t>劇毒翼蜥</t>
  </si>
  <si>
    <t>卡律布狄斯</t>
  </si>
  <si>
    <t>芬里爾</t>
  </si>
  <si>
    <t>毒龍尼德霍格</t>
  </si>
  <si>
    <t>史瓦帝法利</t>
  </si>
  <si>
    <t>野性巨牛</t>
  </si>
  <si>
    <t>烈火豪豬</t>
  </si>
  <si>
    <t>查怪物</t>
    <phoneticPr fontId="2" type="noConversion"/>
  </si>
  <si>
    <t>勇士(經驗素材)</t>
  </si>
  <si>
    <t>刺客(經驗素材)</t>
  </si>
  <si>
    <t>鬥士(經驗素材)</t>
  </si>
  <si>
    <t>力士(經驗素材)</t>
  </si>
  <si>
    <t>騎士(經驗素材)</t>
  </si>
  <si>
    <t>槍兵(經驗素材)</t>
  </si>
  <si>
    <t>術士(經驗素材)</t>
  </si>
  <si>
    <t>弓兵(經驗素材)</t>
  </si>
  <si>
    <t>擲矛兵(經驗素材)</t>
  </si>
  <si>
    <t>勇士</t>
  </si>
  <si>
    <t>刺客</t>
  </si>
  <si>
    <t>鬥士</t>
  </si>
  <si>
    <t>力士</t>
  </si>
  <si>
    <t>騎士</t>
  </si>
  <si>
    <t>槍兵</t>
  </si>
  <si>
    <t>術士</t>
  </si>
  <si>
    <t>弓兵</t>
  </si>
  <si>
    <t>擲矛兵</t>
  </si>
  <si>
    <t>勇者</t>
  </si>
  <si>
    <t>暗殺者</t>
  </si>
  <si>
    <t>劍鬥士</t>
  </si>
  <si>
    <t>大力士</t>
  </si>
  <si>
    <t>鐵甲騎士</t>
  </si>
  <si>
    <t>槍勇者</t>
  </si>
  <si>
    <t>法師</t>
  </si>
  <si>
    <t>射手</t>
  </si>
  <si>
    <t>擲矛勇者</t>
  </si>
  <si>
    <t>重裝勇者</t>
  </si>
  <si>
    <t>黑夜行者</t>
  </si>
  <si>
    <t>雙劍鬥士</t>
  </si>
  <si>
    <t>巨斧力士</t>
  </si>
  <si>
    <t>騎士長</t>
  </si>
  <si>
    <t>牙勇者</t>
  </si>
  <si>
    <t>魔導</t>
  </si>
  <si>
    <t>神射手</t>
  </si>
  <si>
    <t>擲矛聖者</t>
  </si>
  <si>
    <t>鬥技勇者</t>
  </si>
  <si>
    <t>夜幕死神</t>
  </si>
  <si>
    <t>血刃武神</t>
  </si>
  <si>
    <t>神力鬥士</t>
  </si>
  <si>
    <t>黑騎士</t>
  </si>
  <si>
    <t>槍牙勇者</t>
  </si>
  <si>
    <t>魔導尊者</t>
  </si>
  <si>
    <t>梟之眼</t>
  </si>
  <si>
    <t>聖槍勇者</t>
  </si>
  <si>
    <t>加爾姆</t>
  </si>
  <si>
    <t>敵方資訊</t>
    <phoneticPr fontId="2" type="noConversion"/>
  </si>
  <si>
    <t>B7:Q16</t>
    <phoneticPr fontId="2" type="noConversion"/>
  </si>
  <si>
    <t>範圍</t>
    <phoneticPr fontId="2" type="noConversion"/>
  </si>
  <si>
    <t>131502</t>
  </si>
  <si>
    <t>131502</t>
    <phoneticPr fontId="2" type="noConversion"/>
  </si>
  <si>
    <t>131801</t>
  </si>
  <si>
    <t>130601</t>
  </si>
  <si>
    <t>131502</t>
    <phoneticPr fontId="2" type="noConversion"/>
  </si>
  <si>
    <t>131502</t>
    <phoneticPr fontId="2" type="noConversion"/>
  </si>
  <si>
    <t>131801</t>
    <phoneticPr fontId="2" type="noConversion"/>
  </si>
  <si>
    <t>130601</t>
    <phoneticPr fontId="2" type="noConversion"/>
  </si>
  <si>
    <t>舊版</t>
    <phoneticPr fontId="2" type="noConversion"/>
  </si>
  <si>
    <t>關卡字串</t>
    <phoneticPr fontId="2" type="noConversion"/>
  </si>
  <si>
    <t>穆斯佩火巨人</t>
  </si>
  <si>
    <t>毒蜘蛛</t>
  </si>
  <si>
    <t>雙頭蛇</t>
  </si>
  <si>
    <t>火泰坦</t>
  </si>
  <si>
    <t>鳥妖王</t>
  </si>
  <si>
    <t>獅鷲王</t>
  </si>
  <si>
    <t>毒蠍</t>
  </si>
  <si>
    <t>分裂海德拉</t>
  </si>
  <si>
    <t>暗影騎士</t>
  </si>
  <si>
    <t>暗影刺客</t>
  </si>
  <si>
    <t>暗影術士</t>
  </si>
  <si>
    <t>暗影弓兵</t>
  </si>
  <si>
    <t>新版</t>
    <phoneticPr fontId="2" type="noConversion"/>
  </si>
  <si>
    <t>※一波怪種類盡量不要超過3種，不然玩家腦筋轉不來會乾脆不操作</t>
    <phoneticPr fontId="2" type="noConversion"/>
  </si>
  <si>
    <t>※怪物盡量不要全部都一種，不然會疊在一起</t>
    <phoneticPr fontId="2" type="noConversion"/>
  </si>
  <si>
    <t>S評價物品</t>
    <phoneticPr fontId="2" type="noConversion"/>
  </si>
  <si>
    <t>A評價物品</t>
    <phoneticPr fontId="2" type="noConversion"/>
  </si>
  <si>
    <t>B評價物品</t>
    <phoneticPr fontId="2" type="noConversion"/>
  </si>
  <si>
    <t>C評價物品</t>
    <phoneticPr fontId="2" type="noConversion"/>
  </si>
  <si>
    <t>S評價首次通關</t>
    <phoneticPr fontId="2" type="noConversion"/>
  </si>
  <si>
    <t>道具1</t>
    <phoneticPr fontId="2" type="noConversion"/>
  </si>
  <si>
    <t>道具2</t>
    <phoneticPr fontId="2" type="noConversion"/>
  </si>
  <si>
    <t>機率</t>
    <phoneticPr fontId="2" type="noConversion"/>
  </si>
  <si>
    <t>道具3</t>
  </si>
  <si>
    <t>道具4</t>
  </si>
  <si>
    <t>道具5</t>
  </si>
  <si>
    <t>道具6</t>
  </si>
  <si>
    <t>道具7</t>
  </si>
  <si>
    <t>道具8</t>
  </si>
  <si>
    <t>道具9</t>
  </si>
  <si>
    <t>道具10</t>
  </si>
  <si>
    <t>獎勵字串</t>
    <phoneticPr fontId="2" type="noConversion"/>
  </si>
  <si>
    <t>數量</t>
    <phoneticPr fontId="2" type="noConversion"/>
  </si>
  <si>
    <t>掉落資訊</t>
    <phoneticPr fontId="2" type="noConversion"/>
  </si>
  <si>
    <t>名稱</t>
  </si>
  <si>
    <t>一二三四五六七八九十</t>
    <phoneticPr fontId="2" type="noConversion"/>
  </si>
  <si>
    <t>HP恢復捲軸</t>
    <phoneticPr fontId="2" type="noConversion"/>
  </si>
  <si>
    <t>攻擊捲軸</t>
    <phoneticPr fontId="2" type="noConversion"/>
  </si>
  <si>
    <t>防禦捲軸</t>
    <phoneticPr fontId="2" type="noConversion"/>
  </si>
  <si>
    <t>風屬性傷害捲軸</t>
    <phoneticPr fontId="2" type="noConversion"/>
  </si>
  <si>
    <t>水屬性傷害捲軸</t>
    <phoneticPr fontId="2" type="noConversion"/>
  </si>
  <si>
    <t>火屬性傷害捲軸</t>
    <phoneticPr fontId="2" type="noConversion"/>
  </si>
  <si>
    <t>光屬性傷害捲軸</t>
    <phoneticPr fontId="2" type="noConversion"/>
  </si>
  <si>
    <t>暗屬性傷害捲軸</t>
    <phoneticPr fontId="2" type="noConversion"/>
  </si>
  <si>
    <t>風屬性抗性捲軸</t>
    <phoneticPr fontId="2" type="noConversion"/>
  </si>
  <si>
    <t>水屬性抗性捲軸</t>
    <phoneticPr fontId="2" type="noConversion"/>
  </si>
  <si>
    <t>火屬性抗性捲軸</t>
    <phoneticPr fontId="2" type="noConversion"/>
  </si>
  <si>
    <t>光屬性抗性捲軸</t>
    <phoneticPr fontId="2" type="noConversion"/>
  </si>
  <si>
    <t>暗屬性抗性捲軸</t>
    <phoneticPr fontId="2" type="noConversion"/>
  </si>
  <si>
    <t>SP回復捲軸</t>
    <phoneticPr fontId="2" type="noConversion"/>
  </si>
  <si>
    <t>銀幣倍增捲軸</t>
    <phoneticPr fontId="2" type="noConversion"/>
  </si>
  <si>
    <t>裝備經驗捲軸</t>
    <phoneticPr fontId="2" type="noConversion"/>
  </si>
  <si>
    <t>裝備經驗捲軸(中)</t>
    <phoneticPr fontId="2" type="noConversion"/>
  </si>
  <si>
    <t>裝備經驗捲軸(大)</t>
    <phoneticPr fontId="2" type="noConversion"/>
  </si>
  <si>
    <t>HP恢復捲軸(中)</t>
    <phoneticPr fontId="2" type="noConversion"/>
  </si>
  <si>
    <t>攻擊捲軸(中)</t>
    <phoneticPr fontId="2" type="noConversion"/>
  </si>
  <si>
    <t>防禦捲軸(中)</t>
    <phoneticPr fontId="2" type="noConversion"/>
  </si>
  <si>
    <t>風屬性傷害捲軸(中)</t>
    <phoneticPr fontId="2" type="noConversion"/>
  </si>
  <si>
    <t>水屬性傷害捲軸(中)</t>
    <phoneticPr fontId="2" type="noConversion"/>
  </si>
  <si>
    <t>火屬性傷害捲軸(中)</t>
    <phoneticPr fontId="2" type="noConversion"/>
  </si>
  <si>
    <t>光屬性傷害捲軸中)</t>
    <phoneticPr fontId="2" type="noConversion"/>
  </si>
  <si>
    <t>暗屬性傷害捲軸(中)</t>
    <phoneticPr fontId="2" type="noConversion"/>
  </si>
  <si>
    <t>風屬性抗性捲軸(中)</t>
    <phoneticPr fontId="2" type="noConversion"/>
  </si>
  <si>
    <t>水屬性抗性捲軸(中)</t>
    <phoneticPr fontId="2" type="noConversion"/>
  </si>
  <si>
    <t>火屬性抗性捲軸(中)</t>
    <phoneticPr fontId="2" type="noConversion"/>
  </si>
  <si>
    <t>光屬性抗性捲軸(中)</t>
    <phoneticPr fontId="2" type="noConversion"/>
  </si>
  <si>
    <t>暗屬性抗性捲軸(中)</t>
    <phoneticPr fontId="2" type="noConversion"/>
  </si>
  <si>
    <t>金色勳章(10)</t>
    <phoneticPr fontId="2" type="noConversion"/>
  </si>
  <si>
    <t>金色勳章(20)</t>
    <phoneticPr fontId="2" type="noConversion"/>
  </si>
  <si>
    <t>全一階特裝寶箱</t>
    <phoneticPr fontId="2" type="noConversion"/>
  </si>
  <si>
    <t>全一階裝寶箱</t>
    <phoneticPr fontId="2" type="noConversion"/>
  </si>
  <si>
    <t>全附魔素材箱</t>
    <phoneticPr fontId="2" type="noConversion"/>
  </si>
  <si>
    <t>UR階英雄箱</t>
    <phoneticPr fontId="2" type="noConversion"/>
  </si>
  <si>
    <t>R階英雄箱</t>
    <phoneticPr fontId="2" type="noConversion"/>
  </si>
  <si>
    <t>全英雄升階素材箱</t>
    <phoneticPr fontId="2" type="noConversion"/>
  </si>
  <si>
    <t>全資源箱</t>
    <phoneticPr fontId="2" type="noConversion"/>
  </si>
  <si>
    <t>銀幣箱</t>
    <phoneticPr fontId="2" type="noConversion"/>
  </si>
  <si>
    <t>密酒箱</t>
    <phoneticPr fontId="2" type="noConversion"/>
  </si>
  <si>
    <t>金幣箱</t>
    <phoneticPr fontId="2" type="noConversion"/>
  </si>
  <si>
    <t>潛能石箱</t>
    <phoneticPr fontId="2" type="noConversion"/>
  </si>
  <si>
    <t>角色好感道具箱</t>
    <phoneticPr fontId="2" type="noConversion"/>
  </si>
  <si>
    <t>宿命果實箱</t>
    <phoneticPr fontId="2" type="noConversion"/>
  </si>
  <si>
    <t>好友贈禮道具箱</t>
    <phoneticPr fontId="2" type="noConversion"/>
  </si>
  <si>
    <t>AP道具</t>
    <phoneticPr fontId="2" type="noConversion"/>
  </si>
  <si>
    <t>測試用資料箱</t>
    <phoneticPr fontId="2" type="noConversion"/>
  </si>
  <si>
    <t>初級支援</t>
  </si>
  <si>
    <t>中級支援</t>
  </si>
  <si>
    <t>高級支援</t>
  </si>
  <si>
    <t>特級支援</t>
  </si>
  <si>
    <t>初級貴族卡</t>
  </si>
  <si>
    <t>中級貴族卡</t>
  </si>
  <si>
    <t>高級貴族卡</t>
  </si>
  <si>
    <t>尊爵貴族卡</t>
  </si>
  <si>
    <t>紅利點數(1)</t>
  </si>
  <si>
    <t>紅利點數(2)</t>
  </si>
  <si>
    <t>紅利點數(3)</t>
  </si>
  <si>
    <t>榮耀點數(5000點)</t>
  </si>
  <si>
    <t>榮耀點數(3750點)</t>
  </si>
  <si>
    <t>榮耀點數(2500點)</t>
  </si>
  <si>
    <t>榮耀點數(1250點)</t>
  </si>
  <si>
    <t>金幣交換券(500)</t>
    <phoneticPr fontId="2" type="noConversion"/>
  </si>
  <si>
    <t>金幣交換券(1000)</t>
    <phoneticPr fontId="2" type="noConversion"/>
  </si>
  <si>
    <t>金幣交換券(100)</t>
    <phoneticPr fontId="2" type="noConversion"/>
  </si>
  <si>
    <t>金幣交換券(5000)</t>
    <phoneticPr fontId="2" type="noConversion"/>
  </si>
  <si>
    <t>擴充AP上限</t>
    <phoneticPr fontId="2" type="noConversion"/>
  </si>
  <si>
    <t>測試增加角色經驗</t>
    <phoneticPr fontId="2" type="noConversion"/>
  </si>
  <si>
    <t>經驗之書(500)</t>
    <phoneticPr fontId="2" type="noConversion"/>
  </si>
  <si>
    <t>經驗之書(1500)</t>
    <phoneticPr fontId="2" type="noConversion"/>
  </si>
  <si>
    <t>經驗之書(5000)</t>
    <phoneticPr fontId="2" type="noConversion"/>
  </si>
  <si>
    <t>潛能盧石</t>
    <phoneticPr fontId="2" type="noConversion"/>
  </si>
  <si>
    <t>潛能祕石</t>
    <phoneticPr fontId="2" type="noConversion"/>
  </si>
  <si>
    <t>潛能神石</t>
    <phoneticPr fontId="2" type="noConversion"/>
  </si>
  <si>
    <t>天賦石袋(小)</t>
    <phoneticPr fontId="2" type="noConversion"/>
  </si>
  <si>
    <t>天賦石袋(中)</t>
    <phoneticPr fontId="2" type="noConversion"/>
  </si>
  <si>
    <t>天賦石袋(大)</t>
    <phoneticPr fontId="2" type="noConversion"/>
  </si>
  <si>
    <t>封印石袋(小)</t>
    <phoneticPr fontId="2" type="noConversion"/>
  </si>
  <si>
    <t>封印石袋(中)</t>
    <phoneticPr fontId="2" type="noConversion"/>
  </si>
  <si>
    <t>封印石袋(大)</t>
    <phoneticPr fontId="2" type="noConversion"/>
  </si>
  <si>
    <t>封印石袋(特大)</t>
    <phoneticPr fontId="2" type="noConversion"/>
  </si>
  <si>
    <t>封印石袋(最大)</t>
    <phoneticPr fontId="2" type="noConversion"/>
  </si>
  <si>
    <t>解封石袋(小)</t>
  </si>
  <si>
    <t>解封石袋(中)</t>
  </si>
  <si>
    <t>解封石袋(大)</t>
  </si>
  <si>
    <t>解封石袋(特大)</t>
  </si>
  <si>
    <t>解封石袋(最大)</t>
  </si>
  <si>
    <t>金召優待券</t>
    <phoneticPr fontId="2" type="noConversion"/>
  </si>
  <si>
    <t>金召優待券(X10)</t>
    <phoneticPr fontId="2" type="noConversion"/>
  </si>
  <si>
    <t>銀召優待券</t>
    <phoneticPr fontId="2" type="noConversion"/>
  </si>
  <si>
    <t>銀召優待券(X10)</t>
    <phoneticPr fontId="2" type="noConversion"/>
  </si>
  <si>
    <t>友情優待券</t>
    <phoneticPr fontId="2" type="noConversion"/>
  </si>
  <si>
    <t>友情優待券(X10)</t>
    <phoneticPr fontId="2" type="noConversion"/>
  </si>
  <si>
    <t>魔法通行書</t>
    <phoneticPr fontId="2" type="noConversion"/>
  </si>
  <si>
    <t>探索回數增加抵用卷軸</t>
    <phoneticPr fontId="2" type="noConversion"/>
  </si>
  <si>
    <t>蘇醒之石</t>
    <phoneticPr fontId="2" type="noConversion"/>
  </si>
  <si>
    <t>英雄刻印抵用券</t>
  </si>
  <si>
    <t>英雄解放抵用券</t>
  </si>
  <si>
    <t>熔爐抵用券</t>
    <phoneticPr fontId="2" type="noConversion"/>
  </si>
  <si>
    <t>秘藏之滴(R階)</t>
    <phoneticPr fontId="2" type="noConversion"/>
  </si>
  <si>
    <t>秘藏之滴(SR階)</t>
    <phoneticPr fontId="2" type="noConversion"/>
  </si>
  <si>
    <t>秘藏之滴(SSR階)</t>
    <phoneticPr fontId="2" type="noConversion"/>
  </si>
  <si>
    <t>秘藏之滴(UR階)</t>
    <phoneticPr fontId="2" type="noConversion"/>
  </si>
  <si>
    <t>靈紋更換券保留</t>
    <phoneticPr fontId="2" type="noConversion"/>
  </si>
  <si>
    <t>玩家更名券</t>
  </si>
  <si>
    <t>公會更名券</t>
    <phoneticPr fontId="2" type="noConversion"/>
  </si>
  <si>
    <t>PVP次數補充券</t>
    <phoneticPr fontId="2" type="noConversion"/>
  </si>
  <si>
    <t>黯淡的英雄晶塊</t>
  </si>
  <si>
    <t>微光的英雄晶塊</t>
  </si>
  <si>
    <t>明亮的英雄晶塊</t>
  </si>
  <si>
    <t>閃亮的英雄晶塊</t>
  </si>
  <si>
    <t>黯淡的英雄結晶</t>
  </si>
  <si>
    <t>微光的英雄結晶</t>
  </si>
  <si>
    <t>明亮的英雄結晶</t>
  </si>
  <si>
    <t>閃亮的英雄結晶</t>
  </si>
  <si>
    <t>小小行動力恢復箱</t>
    <phoneticPr fontId="2" type="noConversion"/>
  </si>
  <si>
    <t>裝備卸除抵用券</t>
    <phoneticPr fontId="2" type="noConversion"/>
  </si>
  <si>
    <t>千里單騎抵用券</t>
    <phoneticPr fontId="2" type="noConversion"/>
  </si>
  <si>
    <t>裝備升級抵用券</t>
    <phoneticPr fontId="2" type="noConversion"/>
  </si>
  <si>
    <t>復活捲軸</t>
    <phoneticPr fontId="2" type="noConversion"/>
  </si>
  <si>
    <t>錢袋(100)</t>
  </si>
  <si>
    <t>錢袋(500)</t>
  </si>
  <si>
    <t>錢袋(1000)</t>
  </si>
  <si>
    <t>錢袋(5000)</t>
  </si>
  <si>
    <t>錢袋(10000)</t>
  </si>
  <si>
    <t>錢袋(50000)</t>
  </si>
  <si>
    <t>錢袋(100000)</t>
  </si>
  <si>
    <t>錢袋(500000)</t>
  </si>
  <si>
    <t>錢袋(3000)</t>
    <phoneticPr fontId="2" type="noConversion"/>
  </si>
  <si>
    <t>錢袋(8000)</t>
  </si>
  <si>
    <t>錢袋(12000)</t>
  </si>
  <si>
    <t>錢袋(15000)</t>
  </si>
  <si>
    <t>錢袋(18000)</t>
  </si>
  <si>
    <t>錢袋(20000)</t>
  </si>
  <si>
    <t>錢袋(200)</t>
  </si>
  <si>
    <t>錢袋(300)</t>
  </si>
  <si>
    <t>錢袋(4000)</t>
  </si>
  <si>
    <t>錢袋(2000)</t>
  </si>
  <si>
    <t>錢袋(3000)</t>
  </si>
  <si>
    <t>錢袋(14000)</t>
    <phoneticPr fontId="2" type="noConversion"/>
  </si>
  <si>
    <t>錢袋(30000)</t>
    <phoneticPr fontId="2" type="noConversion"/>
  </si>
  <si>
    <t>錢袋(70000)</t>
    <phoneticPr fontId="2" type="noConversion"/>
  </si>
  <si>
    <t>錢袋(150000)</t>
    <phoneticPr fontId="2" type="noConversion"/>
  </si>
  <si>
    <t>蜜酒罐(100)</t>
  </si>
  <si>
    <t>蜜酒罐(500)</t>
  </si>
  <si>
    <t>蜜酒罐(1000)</t>
  </si>
  <si>
    <t>蜜酒罐(5000)</t>
  </si>
  <si>
    <t>蜜酒罐(10000)</t>
  </si>
  <si>
    <t>蜜酒罐(50000)</t>
  </si>
  <si>
    <t>蜜酒罐(100000)</t>
  </si>
  <si>
    <t>蜜酒罐(500000)</t>
  </si>
  <si>
    <t>82年蜜酒罐</t>
    <phoneticPr fontId="2" type="noConversion"/>
  </si>
  <si>
    <t>厚禮之船</t>
    <phoneticPr fontId="2" type="noConversion"/>
  </si>
  <si>
    <t>神聖糖果(20g)</t>
    <phoneticPr fontId="2" type="noConversion"/>
  </si>
  <si>
    <t>神聖糖果(40g)</t>
    <phoneticPr fontId="2" type="noConversion"/>
  </si>
  <si>
    <t>神聖糖果(80g)</t>
    <phoneticPr fontId="2" type="noConversion"/>
  </si>
  <si>
    <t>神聖糖果(120g)</t>
    <phoneticPr fontId="2" type="noConversion"/>
  </si>
  <si>
    <t>糖果包(小)</t>
    <phoneticPr fontId="2" type="noConversion"/>
  </si>
  <si>
    <t>糖果包(中)</t>
    <phoneticPr fontId="2" type="noConversion"/>
  </si>
  <si>
    <t>糖果包(大)</t>
    <phoneticPr fontId="2" type="noConversion"/>
  </si>
  <si>
    <t>糖果包(特大)</t>
    <phoneticPr fontId="2" type="noConversion"/>
  </si>
  <si>
    <t>物資格數擴充包</t>
    <phoneticPr fontId="2" type="noConversion"/>
  </si>
  <si>
    <t>英雄格數擴充包</t>
    <phoneticPr fontId="2" type="noConversion"/>
  </si>
  <si>
    <t>宿命之果</t>
    <phoneticPr fontId="2" type="noConversion"/>
  </si>
  <si>
    <t>道具寶箱</t>
    <phoneticPr fontId="2" type="noConversion"/>
  </si>
  <si>
    <t>魔法通行書(10張)</t>
    <phoneticPr fontId="2" type="noConversion"/>
  </si>
  <si>
    <t>魔法通行書(20張)</t>
    <phoneticPr fontId="2" type="noConversion"/>
  </si>
  <si>
    <t>魔法通行書(30張)</t>
  </si>
  <si>
    <t>魔法通行書(40張)</t>
  </si>
  <si>
    <t>魔法通行書(50張)</t>
    <phoneticPr fontId="2" type="noConversion"/>
  </si>
  <si>
    <t>魔法通行書(65張)</t>
    <phoneticPr fontId="2" type="noConversion"/>
  </si>
  <si>
    <t>82年蜜酒罐(10罐)</t>
    <phoneticPr fontId="2" type="noConversion"/>
  </si>
  <si>
    <t>82年蜜酒罐(20罐)</t>
    <phoneticPr fontId="2" type="noConversion"/>
  </si>
  <si>
    <t>82年蜜酒罐(30罐)</t>
    <phoneticPr fontId="2" type="noConversion"/>
  </si>
  <si>
    <t>厚禮之船(10份)</t>
    <phoneticPr fontId="2" type="noConversion"/>
  </si>
  <si>
    <t>厚禮之船(20份)</t>
    <phoneticPr fontId="2" type="noConversion"/>
  </si>
  <si>
    <t>厚禮之船(30份)</t>
    <phoneticPr fontId="2" type="noConversion"/>
  </si>
  <si>
    <t>特殊寶箱</t>
  </si>
  <si>
    <t>起源裝備箱</t>
    <phoneticPr fontId="2" type="noConversion"/>
  </si>
  <si>
    <t>紅利福袋英雄箱</t>
    <phoneticPr fontId="2" type="noConversion"/>
  </si>
  <si>
    <t>福袋英雄箱</t>
    <phoneticPr fontId="2" type="noConversion"/>
  </si>
  <si>
    <t>PVP排行獎勵</t>
    <phoneticPr fontId="2" type="noConversion"/>
  </si>
  <si>
    <t>菁英鬥士獎勵箱I</t>
  </si>
  <si>
    <t>傳說武士獎勵箱I</t>
  </si>
  <si>
    <t>史詩勇者獎勵箱I</t>
    <phoneticPr fontId="2" type="noConversion"/>
  </si>
  <si>
    <t>神話鬥士獎勵箱I</t>
  </si>
  <si>
    <t>傳奇王者獎勵箱I</t>
  </si>
  <si>
    <t>PVP階級獎勵</t>
    <phoneticPr fontId="2" type="noConversion"/>
  </si>
  <si>
    <t>一階裝備</t>
    <phoneticPr fontId="2" type="noConversion"/>
  </si>
  <si>
    <t>儀式劍</t>
    <phoneticPr fontId="2" type="noConversion"/>
  </si>
  <si>
    <t>厚刃重劍</t>
  </si>
  <si>
    <t>血祭雙刀</t>
  </si>
  <si>
    <t>短柄斧</t>
  </si>
  <si>
    <t>戰爭長矛</t>
  </si>
  <si>
    <t>瑪那魔杖</t>
    <phoneticPr fontId="2" type="noConversion"/>
  </si>
  <si>
    <t>狩獵短弓</t>
  </si>
  <si>
    <t>護身肩甲</t>
  </si>
  <si>
    <t>皮質手套</t>
  </si>
  <si>
    <t>金屬圓盾</t>
  </si>
  <si>
    <t>硬質頭盔</t>
  </si>
  <si>
    <t>寶石戒指</t>
  </si>
  <si>
    <t>金首飾</t>
  </si>
  <si>
    <t>稻穗羽飾</t>
  </si>
  <si>
    <t>一階裝寶箱</t>
    <phoneticPr fontId="2" type="noConversion"/>
  </si>
  <si>
    <t>精銳勇者裝備箱</t>
    <phoneticPr fontId="2" type="noConversion"/>
  </si>
  <si>
    <t>一階特裝</t>
  </si>
  <si>
    <t>巨人頭盔</t>
  </si>
  <si>
    <t>撕裂惡叉</t>
  </si>
  <si>
    <t>異變果實(紫)</t>
  </si>
  <si>
    <t>起源獸盔</t>
  </si>
  <si>
    <t>神謎耳飾</t>
  </si>
  <si>
    <t>睿智寶瓶</t>
  </si>
  <si>
    <t>竊盜之翼</t>
  </si>
  <si>
    <t>守護獠牙</t>
  </si>
  <si>
    <t>精工戒指</t>
  </si>
  <si>
    <t>黃金假髮</t>
  </si>
  <si>
    <t>貪婪之戒</t>
  </si>
  <si>
    <t>湛藍水晶</t>
  </si>
  <si>
    <t>魅惑緞帶</t>
  </si>
  <si>
    <t>海妖毒杯</t>
  </si>
  <si>
    <t>水晶頭飾</t>
  </si>
  <si>
    <t>堅硬蟹鎧</t>
  </si>
  <si>
    <t>精工之槌</t>
  </si>
  <si>
    <t>精工拴套</t>
  </si>
  <si>
    <t>燃燒寶石</t>
  </si>
  <si>
    <t>冥府之石</t>
  </si>
  <si>
    <t>熾紅頭飾</t>
  </si>
  <si>
    <t>異變果實(橘)</t>
  </si>
  <si>
    <t>禍害手杖</t>
  </si>
  <si>
    <t>獅鴛皮甲</t>
  </si>
  <si>
    <t>安德華拉諾特</t>
  </si>
  <si>
    <t>灼熱火槌</t>
    <phoneticPr fontId="2" type="noConversion"/>
  </si>
  <si>
    <t>阿爾維斯的侏儒帽</t>
  </si>
  <si>
    <t>天翼頭盔</t>
    <phoneticPr fontId="2" type="noConversion"/>
  </si>
  <si>
    <t>懾人巨斧</t>
  </si>
  <si>
    <t>堅毅之錘</t>
    <phoneticPr fontId="2" type="noConversion"/>
  </si>
  <si>
    <t>詩蜜酒瓶</t>
    <phoneticPr fontId="2" type="noConversion"/>
  </si>
  <si>
    <t>毒麟弓</t>
  </si>
  <si>
    <t>蝕明魔劍</t>
  </si>
  <si>
    <t>世毒巨劍</t>
  </si>
  <si>
    <t>一階特裝鑄造素材</t>
    <phoneticPr fontId="2" type="noConversion"/>
  </si>
  <si>
    <t>巨人骨骼</t>
    <phoneticPr fontId="2" type="noConversion"/>
  </si>
  <si>
    <t>海魔之觸</t>
    <phoneticPr fontId="2" type="noConversion"/>
  </si>
  <si>
    <t>混合血肉</t>
    <phoneticPr fontId="2" type="noConversion"/>
  </si>
  <si>
    <t>母牛角質</t>
    <phoneticPr fontId="2" type="noConversion"/>
  </si>
  <si>
    <t>秘語沙塵</t>
    <phoneticPr fontId="2" type="noConversion"/>
  </si>
  <si>
    <t>智慧碎片</t>
    <phoneticPr fontId="2" type="noConversion"/>
  </si>
  <si>
    <t>哈耳庇厄之羽</t>
    <phoneticPr fontId="2" type="noConversion"/>
  </si>
  <si>
    <t>巨犬之牙</t>
    <phoneticPr fontId="2" type="noConversion"/>
  </si>
  <si>
    <t>精工戒指設計圖</t>
    <phoneticPr fontId="2" type="noConversion"/>
  </si>
  <si>
    <t>精工假髮設計圖</t>
    <phoneticPr fontId="2" type="noConversion"/>
  </si>
  <si>
    <t>斯庫爾之牙</t>
    <phoneticPr fontId="2" type="noConversion"/>
  </si>
  <si>
    <t>人魚淚珠</t>
    <phoneticPr fontId="2" type="noConversion"/>
  </si>
  <si>
    <t>海妖鱗粉</t>
    <phoneticPr fontId="2" type="noConversion"/>
  </si>
  <si>
    <t>劇毒汁液</t>
    <phoneticPr fontId="2" type="noConversion"/>
  </si>
  <si>
    <t>水晶藍粉</t>
    <phoneticPr fontId="2" type="noConversion"/>
  </si>
  <si>
    <t>堅硬蟹殼</t>
    <phoneticPr fontId="2" type="noConversion"/>
  </si>
  <si>
    <t>精工之槌設計圖</t>
    <phoneticPr fontId="2" type="noConversion"/>
  </si>
  <si>
    <t>精工拴套設計圖</t>
    <phoneticPr fontId="2" type="noConversion"/>
  </si>
  <si>
    <t>烈焰之心</t>
  </si>
  <si>
    <t>死沉灰燼</t>
    <phoneticPr fontId="2" type="noConversion"/>
  </si>
  <si>
    <t>不死鳥羽翼</t>
    <phoneticPr fontId="2" type="noConversion"/>
  </si>
  <si>
    <t>混合鬃毛</t>
    <phoneticPr fontId="2" type="noConversion"/>
  </si>
  <si>
    <t>災禍豬牙</t>
    <phoneticPr fontId="2" type="noConversion"/>
  </si>
  <si>
    <t>獅鴛皮毛</t>
    <phoneticPr fontId="2" type="noConversion"/>
  </si>
  <si>
    <t>戒指的碎塊</t>
    <phoneticPr fontId="2" type="noConversion"/>
  </si>
  <si>
    <t>混亂之語</t>
    <phoneticPr fontId="2" type="noConversion"/>
  </si>
  <si>
    <t>黑精靈的布塊</t>
    <phoneticPr fontId="2" type="noConversion"/>
  </si>
  <si>
    <t>神駒之血</t>
    <phoneticPr fontId="2" type="noConversion"/>
  </si>
  <si>
    <t>巨斧碎塊</t>
    <phoneticPr fontId="2" type="noConversion"/>
  </si>
  <si>
    <t>鍛造的殘塊</t>
    <phoneticPr fontId="2" type="noConversion"/>
  </si>
  <si>
    <t>賢者之血</t>
    <phoneticPr fontId="2" type="noConversion"/>
  </si>
  <si>
    <t>毒龍麟</t>
    <phoneticPr fontId="2" type="noConversion"/>
  </si>
  <si>
    <t>巨狼之骨</t>
    <phoneticPr fontId="2" type="noConversion"/>
  </si>
  <si>
    <t>巨毒蛇之牙</t>
    <phoneticPr fontId="2" type="noConversion"/>
  </si>
  <si>
    <t>噬神魔狼之牙</t>
    <phoneticPr fontId="2" type="noConversion"/>
  </si>
  <si>
    <t>特殊裝備</t>
    <phoneticPr fontId="2" type="noConversion"/>
  </si>
  <si>
    <t>護神[5BEDF7]紋[-]</t>
    <phoneticPr fontId="2" type="noConversion"/>
  </si>
  <si>
    <t>灼[5BEDF7]焱[-]鎧</t>
    <phoneticPr fontId="2" type="noConversion"/>
  </si>
  <si>
    <t>浸[5BEDF7]夢[-]者</t>
    <phoneticPr fontId="2" type="noConversion"/>
  </si>
  <si>
    <t>守護[5BEDF7]宣[-]誓</t>
    <phoneticPr fontId="2" type="noConversion"/>
  </si>
  <si>
    <t>[5BEDF7]威[-]震八方</t>
    <phoneticPr fontId="2" type="noConversion"/>
  </si>
  <si>
    <t>極大[5BEDF7]偉[-]名</t>
    <phoneticPr fontId="2" type="noConversion"/>
  </si>
  <si>
    <t>鋒[5BEDF7]銳[-]戰盾</t>
    <phoneticPr fontId="2" type="noConversion"/>
  </si>
  <si>
    <t>羽[5BEDF7]冠[-]盾</t>
    <phoneticPr fontId="2" type="noConversion"/>
  </si>
  <si>
    <t>擁[5BEDF7]善[-]惡判</t>
    <phoneticPr fontId="2" type="noConversion"/>
  </si>
  <si>
    <t>[5BEDF7]紅[-]蓮末世</t>
    <phoneticPr fontId="2" type="noConversion"/>
  </si>
  <si>
    <t>[5BEDF7]青[-]鷲劍</t>
    <phoneticPr fontId="2" type="noConversion"/>
  </si>
  <si>
    <t>六[5BEDF7]翼[-]爪</t>
    <phoneticPr fontId="2" type="noConversion"/>
  </si>
  <si>
    <t>舞[5BEDF7]姿[-]秀劍</t>
    <phoneticPr fontId="2" type="noConversion"/>
  </si>
  <si>
    <t>[5BEDF7]崇[-]高之意</t>
    <phoneticPr fontId="2" type="noConversion"/>
  </si>
  <si>
    <t>[5BEDF7]紫[-]喙刃</t>
    <phoneticPr fontId="2" type="noConversion"/>
  </si>
  <si>
    <t>庇[5BEDF7]佑[-]開鋒</t>
    <phoneticPr fontId="2" type="noConversion"/>
  </si>
  <si>
    <t>測試裝備</t>
    <phoneticPr fontId="2" type="noConversion"/>
  </si>
  <si>
    <t>即死反甲</t>
    <phoneticPr fontId="2" type="noConversion"/>
  </si>
  <si>
    <t>二階裝備</t>
    <phoneticPr fontId="2" type="noConversion"/>
  </si>
  <si>
    <t>獅心鎧甲</t>
  </si>
  <si>
    <t>奧術魔書</t>
  </si>
  <si>
    <t>破滅之槍</t>
  </si>
  <si>
    <t>榮譽披風</t>
  </si>
  <si>
    <t>暴風獵弓</t>
  </si>
  <si>
    <t>熔岩拳套</t>
  </si>
  <si>
    <t>奉祭短劍</t>
  </si>
  <si>
    <t>噬血魔劍</t>
  </si>
  <si>
    <t>巨人石錘</t>
  </si>
  <si>
    <t>蛇魔牙刀</t>
  </si>
  <si>
    <t>光明手杖</t>
  </si>
  <si>
    <t>願望羽筆</t>
  </si>
  <si>
    <t>三階裝備</t>
  </si>
  <si>
    <t>聖潔匕飾</t>
  </si>
  <si>
    <t>破壞巨槌</t>
  </si>
  <si>
    <t>方尖聖槍</t>
  </si>
  <si>
    <t>獸皮手套</t>
  </si>
  <si>
    <t>盧文重盾</t>
  </si>
  <si>
    <t>淨化長弓</t>
  </si>
  <si>
    <t>平衡擲刀</t>
  </si>
  <si>
    <t>強護長靴</t>
  </si>
  <si>
    <t>反光尖盾</t>
  </si>
  <si>
    <t>榮耀皇冠</t>
  </si>
  <si>
    <t>雷霆腰帶</t>
  </si>
  <si>
    <t>飛翼絲帶</t>
  </si>
  <si>
    <t>三階裝寶箱</t>
    <phoneticPr fontId="2" type="noConversion"/>
  </si>
  <si>
    <t>史詩勇者裝備箱</t>
    <phoneticPr fontId="2" type="noConversion"/>
  </si>
  <si>
    <t>三階特裝</t>
    <phoneticPr fontId="2" type="noConversion"/>
  </si>
  <si>
    <t>埃吉爾頭盔</t>
  </si>
  <si>
    <t>弗洛帝</t>
  </si>
  <si>
    <t>里迪爾劍</t>
  </si>
  <si>
    <t>戴因斯列夫</t>
  </si>
  <si>
    <t>提爾芬格</t>
  </si>
  <si>
    <t>提爾之劍</t>
  </si>
  <si>
    <t>福瑞的魔劍</t>
  </si>
  <si>
    <t>韋蘭的飛行翼</t>
    <phoneticPr fontId="2" type="noConversion"/>
  </si>
  <si>
    <t>安德華利的黃金</t>
  </si>
  <si>
    <t>格拉尼</t>
  </si>
  <si>
    <t>格拉墨</t>
  </si>
  <si>
    <t>特勞布尼爾</t>
  </si>
  <si>
    <t>飛鷹羽衣</t>
  </si>
  <si>
    <t>天鵝羽衣</t>
  </si>
  <si>
    <t>鷲鷹羽衣</t>
  </si>
  <si>
    <t>至高王座</t>
  </si>
  <si>
    <t>斯奇布拉尼</t>
  </si>
  <si>
    <t>拉恩的魔法拋網</t>
  </si>
  <si>
    <t>洛基的魔法拋網</t>
  </si>
  <si>
    <t>葛羅提的石臼</t>
  </si>
  <si>
    <t>福瑞之馬</t>
  </si>
  <si>
    <t>妖精召喚書</t>
    <phoneticPr fontId="2" type="noConversion"/>
  </si>
  <si>
    <t>英雄專武</t>
    <phoneticPr fontId="2" type="noConversion"/>
  </si>
  <si>
    <t>堅毅長征</t>
  </si>
  <si>
    <t>一般鑄造素材</t>
    <phoneticPr fontId="2" type="noConversion"/>
  </si>
  <si>
    <t>宿命關卡寶箱</t>
    <phoneticPr fontId="2" type="noConversion"/>
  </si>
  <si>
    <t>命運寶箱I</t>
    <phoneticPr fontId="2" type="noConversion"/>
  </si>
  <si>
    <t>命運寶箱III</t>
  </si>
  <si>
    <t>命運寶箱IV</t>
  </si>
  <si>
    <t>命運寶箱V</t>
  </si>
  <si>
    <t>第一章</t>
    <phoneticPr fontId="2" type="noConversion"/>
  </si>
  <si>
    <t>歐德姆布拉討伐箱</t>
    <phoneticPr fontId="2" type="noConversion"/>
  </si>
  <si>
    <t>喀邁拉討伐箱</t>
  </si>
  <si>
    <t>斯芬克斯討伐箱</t>
  </si>
  <si>
    <t>喀戎討伐箱</t>
  </si>
  <si>
    <t>哈耳庇厄討伐箱</t>
  </si>
  <si>
    <t>加爾姆討伐箱</t>
  </si>
  <si>
    <t>卡呂冬野豬討伐箱</t>
  </si>
  <si>
    <t>葛拉爾討伐箱</t>
  </si>
  <si>
    <t>斯庫爾討伐箱</t>
  </si>
  <si>
    <t>獨眼巨人討伐箱</t>
  </si>
  <si>
    <t>第二章</t>
    <phoneticPr fontId="2" type="noConversion"/>
  </si>
  <si>
    <t>唱詩人魚討伐箱</t>
  </si>
  <si>
    <t>媚惑海妖討伐箱</t>
  </si>
  <si>
    <t>巨毒海獸討伐箱</t>
  </si>
  <si>
    <t>大型海馬討伐箱</t>
  </si>
  <si>
    <t>卡刺努斯討伐箱</t>
  </si>
  <si>
    <t>斯庫拉討伐箱</t>
  </si>
  <si>
    <t>第三章</t>
    <phoneticPr fontId="2" type="noConversion"/>
  </si>
  <si>
    <t>摩索尼爾討伐箱</t>
  </si>
  <si>
    <t>格萊普尼爾討伐箱</t>
  </si>
  <si>
    <t>穆斯佩王討伐箱</t>
  </si>
  <si>
    <t>大型地獄犬討伐箱</t>
  </si>
  <si>
    <t>菲尼克司討伐箱</t>
  </si>
  <si>
    <t>強壯喀邁拉討伐箱</t>
  </si>
  <si>
    <t>第四章</t>
    <phoneticPr fontId="2" type="noConversion"/>
  </si>
  <si>
    <t>格里芬討伐箱</t>
  </si>
  <si>
    <t>安德華利討伐箱</t>
  </si>
  <si>
    <t>布羅克討伐箱</t>
  </si>
  <si>
    <t>阿爾維斯討伐箱</t>
  </si>
  <si>
    <t>斯萊布尼爾討伐箱</t>
  </si>
  <si>
    <t>彌諾陶洛斯討伐箱</t>
  </si>
  <si>
    <t>第五章</t>
    <phoneticPr fontId="2" type="noConversion"/>
  </si>
  <si>
    <t>辛德里討伐箱</t>
  </si>
  <si>
    <t>法夫尼爾討伐箱</t>
  </si>
  <si>
    <t>耶夢加得討伐箱</t>
  </si>
  <si>
    <t>芬里爾討伐箱</t>
  </si>
  <si>
    <t>英雄寶箱</t>
    <phoneticPr fontId="2" type="noConversion"/>
  </si>
  <si>
    <t>編號</t>
  </si>
  <si>
    <t>104</t>
    <phoneticPr fontId="2" type="noConversion"/>
  </si>
  <si>
    <t>105</t>
    <phoneticPr fontId="2" type="noConversion"/>
  </si>
  <si>
    <t>106</t>
    <phoneticPr fontId="2" type="noConversion"/>
  </si>
  <si>
    <t>107</t>
    <phoneticPr fontId="2" type="noConversion"/>
  </si>
  <si>
    <t>108</t>
    <phoneticPr fontId="2" type="noConversion"/>
  </si>
  <si>
    <t>109</t>
    <phoneticPr fontId="2" type="noConversion"/>
  </si>
  <si>
    <t>110</t>
    <phoneticPr fontId="2" type="noConversion"/>
  </si>
  <si>
    <t>111</t>
  </si>
  <si>
    <t>112</t>
  </si>
  <si>
    <t>113</t>
  </si>
  <si>
    <t>122</t>
  </si>
  <si>
    <t>123</t>
  </si>
  <si>
    <t>124</t>
  </si>
  <si>
    <t>125</t>
  </si>
  <si>
    <t>126</t>
  </si>
  <si>
    <t>127</t>
  </si>
  <si>
    <t>128</t>
  </si>
  <si>
    <t>129</t>
  </si>
  <si>
    <t>130</t>
  </si>
  <si>
    <t>131</t>
  </si>
  <si>
    <t>1706</t>
  </si>
  <si>
    <t>首次S級評價獎勵</t>
    <phoneticPr fontId="2" type="noConversion"/>
  </si>
  <si>
    <t>S級評價獎勵</t>
    <phoneticPr fontId="2" type="noConversion"/>
  </si>
  <si>
    <t>A級評價獎勵</t>
    <phoneticPr fontId="2" type="noConversion"/>
  </si>
  <si>
    <t>B級評價獎勵</t>
    <phoneticPr fontId="2" type="noConversion"/>
  </si>
  <si>
    <t>C級評價獎勵</t>
    <phoneticPr fontId="2" type="noConversion"/>
  </si>
  <si>
    <t>火屬性</t>
  </si>
  <si>
    <t>光屬性</t>
  </si>
  <si>
    <t>暗屬性</t>
  </si>
  <si>
    <t>水屬性</t>
  </si>
  <si>
    <t>風屬性</t>
  </si>
  <si>
    <t>關卡屬性</t>
    <phoneticPr fontId="2" type="noConversion"/>
  </si>
  <si>
    <t>風屬性</t>
    <phoneticPr fontId="2" type="noConversion"/>
  </si>
  <si>
    <t>火屬性</t>
    <phoneticPr fontId="2" type="noConversion"/>
  </si>
  <si>
    <t>水屬性</t>
    <phoneticPr fontId="2" type="noConversion"/>
  </si>
  <si>
    <t>暗屬性</t>
    <phoneticPr fontId="2" type="noConversion"/>
  </si>
  <si>
    <t>光屬性</t>
    <phoneticPr fontId="2" type="noConversion"/>
  </si>
  <si>
    <t>魅魔槍兵</t>
  </si>
  <si>
    <t>魔族弓兵</t>
  </si>
  <si>
    <t>魅魔法師</t>
  </si>
  <si>
    <t>魅魔騎兵</t>
  </si>
  <si>
    <t>獨角海馬</t>
  </si>
  <si>
    <t>重型烈焰疣豬</t>
  </si>
  <si>
    <t>長牙烈焰疣豬</t>
  </si>
  <si>
    <t>火髶烈焰疣豬</t>
  </si>
  <si>
    <t>熔岩挖掘者</t>
  </si>
  <si>
    <t>常態溫光水蝶</t>
  </si>
  <si>
    <t>高壓溫光水蝶</t>
  </si>
  <si>
    <t>冰寒溫光水蝶</t>
  </si>
  <si>
    <t>溫光水蝶亞種</t>
  </si>
  <si>
    <t>叢林漫步者</t>
  </si>
  <si>
    <t>草原漫步者</t>
  </si>
  <si>
    <t>樹林漫步者</t>
  </si>
  <si>
    <t>森之領主</t>
  </si>
  <si>
    <t>曼陀蘿</t>
  </si>
  <si>
    <t>斯芬克斯</t>
  </si>
  <si>
    <t>法夫尼爾</t>
  </si>
  <si>
    <t>尼德霍爾</t>
  </si>
  <si>
    <t>帝國隊長</t>
  </si>
  <si>
    <t>帝國士兵</t>
  </si>
  <si>
    <t>冬盟隊長</t>
  </si>
  <si>
    <t>冬盟士兵</t>
  </si>
  <si>
    <t>冰蠻族隊長</t>
  </si>
  <si>
    <t>冰蠻族士兵</t>
  </si>
  <si>
    <t>薩迦</t>
  </si>
  <si>
    <t>梅杜莎</t>
  </si>
  <si>
    <t>安菲特里忒</t>
  </si>
  <si>
    <t>亞特蘭特拿羽毛筆</t>
  </si>
  <si>
    <t>幻影毒海獸</t>
  </si>
  <si>
    <t>斯芬克斯</t>
    <phoneticPr fontId="2" type="noConversion"/>
  </si>
  <si>
    <t>世界BOSS</t>
    <phoneticPr fontId="2" type="noConversion"/>
  </si>
  <si>
    <t>ID</t>
  </si>
  <si>
    <t>6</t>
  </si>
  <si>
    <t>3003</t>
  </si>
  <si>
    <t>3006</t>
  </si>
  <si>
    <t>100002</t>
  </si>
  <si>
    <t>100003</t>
  </si>
  <si>
    <t>100004</t>
  </si>
  <si>
    <t>100005</t>
  </si>
  <si>
    <t>100006</t>
  </si>
  <si>
    <t>100007</t>
  </si>
  <si>
    <t>100008</t>
  </si>
  <si>
    <t>100009</t>
  </si>
  <si>
    <t>100010</t>
  </si>
  <si>
    <t>100202</t>
  </si>
  <si>
    <t>100203</t>
  </si>
  <si>
    <t>100204</t>
  </si>
  <si>
    <t>100205</t>
  </si>
  <si>
    <t>100206</t>
  </si>
  <si>
    <t>100207</t>
  </si>
  <si>
    <t>100208</t>
  </si>
  <si>
    <t>100209</t>
  </si>
  <si>
    <t>100210</t>
  </si>
  <si>
    <t>100302</t>
  </si>
  <si>
    <t>100303</t>
  </si>
  <si>
    <t>100304</t>
  </si>
  <si>
    <t>100305</t>
  </si>
  <si>
    <t>100306</t>
  </si>
  <si>
    <t>100307</t>
  </si>
  <si>
    <t>100308</t>
  </si>
  <si>
    <t>100309</t>
  </si>
  <si>
    <t>100310</t>
  </si>
  <si>
    <t>100402</t>
  </si>
  <si>
    <t>100403</t>
  </si>
  <si>
    <t>100404</t>
  </si>
  <si>
    <t>100405</t>
  </si>
  <si>
    <t>100406</t>
  </si>
  <si>
    <t>100407</t>
  </si>
  <si>
    <t>100408</t>
  </si>
  <si>
    <t>100409</t>
  </si>
  <si>
    <t>100410</t>
  </si>
  <si>
    <t>100502</t>
  </si>
  <si>
    <t>100503</t>
  </si>
  <si>
    <t>100504</t>
  </si>
  <si>
    <t>100505</t>
  </si>
  <si>
    <t>100506</t>
  </si>
  <si>
    <t>100507</t>
  </si>
  <si>
    <t>100508</t>
  </si>
  <si>
    <t>100509</t>
  </si>
  <si>
    <t>100510</t>
  </si>
  <si>
    <t>100702</t>
  </si>
  <si>
    <t>100703</t>
  </si>
  <si>
    <t>100704</t>
  </si>
  <si>
    <t>100705</t>
  </si>
  <si>
    <t>100706</t>
  </si>
  <si>
    <t>100707</t>
  </si>
  <si>
    <t>100708</t>
  </si>
  <si>
    <t>100709</t>
  </si>
  <si>
    <t>100710</t>
  </si>
  <si>
    <t>100802</t>
  </si>
  <si>
    <t>100803</t>
  </si>
  <si>
    <t>100804</t>
  </si>
  <si>
    <t>100805</t>
  </si>
  <si>
    <t>100806</t>
  </si>
  <si>
    <t>100807</t>
  </si>
  <si>
    <t>100808</t>
  </si>
  <si>
    <t>100809</t>
  </si>
  <si>
    <t>100810</t>
  </si>
  <si>
    <t>100902</t>
  </si>
  <si>
    <t>100903</t>
  </si>
  <si>
    <t>100904</t>
  </si>
  <si>
    <t>100905</t>
  </si>
  <si>
    <t>100906</t>
  </si>
  <si>
    <t>100907</t>
  </si>
  <si>
    <t>100908</t>
  </si>
  <si>
    <t>100909</t>
  </si>
  <si>
    <t>100910</t>
  </si>
  <si>
    <t>101002</t>
  </si>
  <si>
    <t>101003</t>
  </si>
  <si>
    <t>101004</t>
  </si>
  <si>
    <t>101005</t>
  </si>
  <si>
    <t>101006</t>
  </si>
  <si>
    <t>101007</t>
  </si>
  <si>
    <t>101008</t>
  </si>
  <si>
    <t>101009</t>
  </si>
  <si>
    <t>101010</t>
  </si>
  <si>
    <t>101102</t>
  </si>
  <si>
    <t>101103</t>
  </si>
  <si>
    <t>101104</t>
  </si>
  <si>
    <t>101105</t>
  </si>
  <si>
    <t>101106</t>
  </si>
  <si>
    <t>101107</t>
  </si>
  <si>
    <t>101108</t>
  </si>
  <si>
    <t>101109</t>
  </si>
  <si>
    <t>101110</t>
  </si>
  <si>
    <t>101202</t>
  </si>
  <si>
    <t>101203</t>
  </si>
  <si>
    <t>101204</t>
  </si>
  <si>
    <t>101205</t>
  </si>
  <si>
    <t>101206</t>
  </si>
  <si>
    <t>101207</t>
  </si>
  <si>
    <t>101208</t>
  </si>
  <si>
    <t>101209</t>
  </si>
  <si>
    <t>101210</t>
  </si>
  <si>
    <t>101302</t>
  </si>
  <si>
    <t>101303</t>
  </si>
  <si>
    <t>101304</t>
  </si>
  <si>
    <t>101305</t>
  </si>
  <si>
    <t>101306</t>
  </si>
  <si>
    <t>101307</t>
  </si>
  <si>
    <t>101308</t>
  </si>
  <si>
    <t>101309</t>
  </si>
  <si>
    <t>101310</t>
  </si>
  <si>
    <t>101402</t>
  </si>
  <si>
    <t>101403</t>
  </si>
  <si>
    <t>101404</t>
  </si>
  <si>
    <t>101405</t>
  </si>
  <si>
    <t>101406</t>
  </si>
  <si>
    <t>101407</t>
  </si>
  <si>
    <t>101408</t>
  </si>
  <si>
    <t>101409</t>
  </si>
  <si>
    <t>101410</t>
  </si>
  <si>
    <t>101502</t>
  </si>
  <si>
    <t>101503</t>
  </si>
  <si>
    <t>101504</t>
  </si>
  <si>
    <t>101505</t>
  </si>
  <si>
    <t>101506</t>
  </si>
  <si>
    <t>101507</t>
  </si>
  <si>
    <t>101508</t>
  </si>
  <si>
    <t>101509</t>
  </si>
  <si>
    <t>101510</t>
  </si>
  <si>
    <t>101602</t>
  </si>
  <si>
    <t>101603</t>
  </si>
  <si>
    <t>101604</t>
  </si>
  <si>
    <t>101605</t>
  </si>
  <si>
    <t>101606</t>
  </si>
  <si>
    <t>101607</t>
  </si>
  <si>
    <t>101608</t>
  </si>
  <si>
    <t>101609</t>
  </si>
  <si>
    <t>101610</t>
  </si>
  <si>
    <t>101702</t>
  </si>
  <si>
    <t>101703</t>
  </si>
  <si>
    <t>101704</t>
  </si>
  <si>
    <t>101705</t>
  </si>
  <si>
    <t>101706</t>
  </si>
  <si>
    <t>101707</t>
  </si>
  <si>
    <t>101708</t>
  </si>
  <si>
    <t>101709</t>
  </si>
  <si>
    <t>101710</t>
  </si>
  <si>
    <t>101802</t>
  </si>
  <si>
    <t>101803</t>
  </si>
  <si>
    <t>101804</t>
  </si>
  <si>
    <t>101805</t>
  </si>
  <si>
    <t>101806</t>
  </si>
  <si>
    <t>101807</t>
  </si>
  <si>
    <t>101808</t>
  </si>
  <si>
    <t>101809</t>
  </si>
  <si>
    <t>101810</t>
  </si>
  <si>
    <t>101901</t>
  </si>
  <si>
    <t>101902</t>
  </si>
  <si>
    <t>101903</t>
  </si>
  <si>
    <t>101904</t>
  </si>
  <si>
    <t>101905</t>
  </si>
  <si>
    <t>101906</t>
  </si>
  <si>
    <t>101907</t>
  </si>
  <si>
    <t>101908</t>
  </si>
  <si>
    <t>101909</t>
  </si>
  <si>
    <t>101910</t>
  </si>
  <si>
    <t>80%除風抗性</t>
  </si>
  <si>
    <t>80%除水抗性</t>
  </si>
  <si>
    <t>80%除光抗性</t>
  </si>
  <si>
    <t>80%除暗抗性</t>
  </si>
  <si>
    <t>80%除火抗性</t>
  </si>
  <si>
    <t>100%除風抗性</t>
  </si>
  <si>
    <t>100%除水抗性</t>
  </si>
  <si>
    <t>100%除光抗性</t>
  </si>
  <si>
    <t>100%除暗抗性</t>
  </si>
  <si>
    <t>100%除火抗性</t>
  </si>
  <si>
    <t>抓取抗性100%</t>
  </si>
  <si>
    <t>10每內死亡</t>
  </si>
  <si>
    <t>獅子衝刺攻擊(光)</t>
  </si>
  <si>
    <t>森林妖精全體補血補SP</t>
    <rPh sb="0" eb="1">
      <t>ｲﾔ</t>
    </rPh>
    <rPh sb="3" eb="4">
      <t>ｶｾﾞ</t>
    </rPh>
    <phoneticPr fontId="2" type="noConversion"/>
  </si>
  <si>
    <t>人魚王全體補血+攻速攻擊</t>
    <rPh sb="0" eb="1">
      <t>ｲﾔ</t>
    </rPh>
    <rPh sb="3" eb="4">
      <t>ｶｾﾞ</t>
    </rPh>
    <phoneticPr fontId="2" type="noConversion"/>
  </si>
  <si>
    <t>白精靈巨大化隊友</t>
    <rPh sb="0" eb="1">
      <t>ｲﾔ</t>
    </rPh>
    <rPh sb="3" eb="4">
      <t>ｶｾﾞ</t>
    </rPh>
    <phoneticPr fontId="2" type="noConversion"/>
  </si>
  <si>
    <t>黑精靈縮小化目標</t>
    <rPh sb="0" eb="1">
      <t>ｲﾔ</t>
    </rPh>
    <rPh sb="3" eb="4">
      <t>ｶｾﾞ</t>
    </rPh>
    <phoneticPr fontId="2" type="noConversion"/>
  </si>
  <si>
    <t>黑精靈全體扣防扣攻補自身SP2</t>
    <rPh sb="0" eb="1">
      <t>ｲﾔ</t>
    </rPh>
    <rPh sb="3" eb="4">
      <t>ｶｾﾞ</t>
    </rPh>
    <phoneticPr fontId="2" type="noConversion"/>
  </si>
  <si>
    <t>人魚王全體+攻速攻擊</t>
    <rPh sb="0" eb="1">
      <t>ｲﾔ</t>
    </rPh>
    <rPh sb="3" eb="4">
      <t>ｶｾﾞ</t>
    </rPh>
    <phoneticPr fontId="2" type="noConversion"/>
  </si>
  <si>
    <t>消除狀態</t>
  </si>
  <si>
    <t>CD20普攻擊退風箭雨(風)</t>
  </si>
  <si>
    <t>CD20技能擊退風箭雨(風)</t>
  </si>
  <si>
    <t>CD20普攻緩速水箭雨(水)</t>
  </si>
  <si>
    <t>CD20技能緩速水箭雨(水)</t>
  </si>
  <si>
    <t>CD20普攻燃燒5%火箭雨(火)</t>
  </si>
  <si>
    <t>CD20技能燃燒5%火箭雨(火)</t>
  </si>
  <si>
    <t>CD20普攻消正面光箭雨(光)</t>
  </si>
  <si>
    <t>CD20技能消正面光箭雨(光)</t>
  </si>
  <si>
    <t>CD20普攻減防暗箭雨(暗)</t>
  </si>
  <si>
    <t>CD20技能減防暗箭雨(暗)</t>
  </si>
  <si>
    <t>CD25普攻擊退龍捲風(風)</t>
  </si>
  <si>
    <t>CD25技能擊退龍捲風(風)</t>
  </si>
  <si>
    <t>CD25普攻緩速落冰錐(水)</t>
  </si>
  <si>
    <t>CD25技能緩速落冰錐(水)</t>
  </si>
  <si>
    <t>CD25普攻燃燒5%火龍捲(火)</t>
  </si>
  <si>
    <t>CD25技能燃燒5%火龍捲(火)</t>
  </si>
  <si>
    <t>CD25普攻消正面落雷(光)</t>
  </si>
  <si>
    <t>CD25技能消正面落雷(光)</t>
  </si>
  <si>
    <t>奧德修斯普攻連擊2(風屬性)</t>
  </si>
  <si>
    <t>奧德修斯普攻連擊3(風屬性)</t>
  </si>
  <si>
    <t>戰矛連襲3</t>
  </si>
  <si>
    <t>戰矛連襲4</t>
  </si>
  <si>
    <t>戰矛連襲5</t>
  </si>
  <si>
    <t>束縛旋刀3</t>
  </si>
  <si>
    <t>束縛旋刀4</t>
  </si>
  <si>
    <t>布倫希爾德普攻2衝鋒</t>
  </si>
  <si>
    <t>命脈I</t>
  </si>
  <si>
    <t>命脈III</t>
  </si>
  <si>
    <t>命脈IV</t>
  </si>
  <si>
    <t>命脈V</t>
  </si>
  <si>
    <t>命脈VI</t>
  </si>
  <si>
    <t>命脈VII</t>
  </si>
  <si>
    <t>命脈VIII</t>
  </si>
  <si>
    <t>命脈IX</t>
  </si>
  <si>
    <t>命脈X</t>
  </si>
  <si>
    <t>血性I</t>
  </si>
  <si>
    <t>血性II</t>
  </si>
  <si>
    <t>血性III</t>
  </si>
  <si>
    <t>血性IV</t>
  </si>
  <si>
    <t>血性V</t>
  </si>
  <si>
    <t>血性VI</t>
  </si>
  <si>
    <t>血性VII</t>
  </si>
  <si>
    <t>血性VIII</t>
  </si>
  <si>
    <t>血性IX</t>
  </si>
  <si>
    <t>血性X</t>
  </si>
  <si>
    <t>破風I</t>
  </si>
  <si>
    <t>破風II</t>
  </si>
  <si>
    <t>破風III</t>
  </si>
  <si>
    <t>破風IV</t>
  </si>
  <si>
    <t>破風V</t>
  </si>
  <si>
    <t>破風VI</t>
  </si>
  <si>
    <t>破風VII</t>
  </si>
  <si>
    <t>破風VIII</t>
  </si>
  <si>
    <t>破風IX</t>
  </si>
  <si>
    <t>破風X</t>
  </si>
  <si>
    <t>僻水I</t>
  </si>
  <si>
    <t>僻水II</t>
  </si>
  <si>
    <t>僻水III</t>
  </si>
  <si>
    <t>僻水IV</t>
  </si>
  <si>
    <t>僻水V</t>
  </si>
  <si>
    <t>僻水VI</t>
  </si>
  <si>
    <t>僻水VII</t>
  </si>
  <si>
    <t>僻水VIII</t>
  </si>
  <si>
    <t>僻水IX</t>
  </si>
  <si>
    <t>僻水X</t>
  </si>
  <si>
    <t>光抵I</t>
  </si>
  <si>
    <t>光抵II</t>
  </si>
  <si>
    <t>光抵III</t>
  </si>
  <si>
    <t>光抵IV</t>
  </si>
  <si>
    <t>光抵V</t>
  </si>
  <si>
    <t>光抵VI</t>
  </si>
  <si>
    <t>光抵VII</t>
  </si>
  <si>
    <t>光抵VIII</t>
  </si>
  <si>
    <t>光抵IX</t>
  </si>
  <si>
    <t>光抵X</t>
  </si>
  <si>
    <t>疾走I</t>
  </si>
  <si>
    <t>疾走II</t>
  </si>
  <si>
    <t>疾走III</t>
  </si>
  <si>
    <t>疾走IV</t>
  </si>
  <si>
    <t>疾走V</t>
  </si>
  <si>
    <t>疾走VI</t>
  </si>
  <si>
    <t>疾走VII</t>
  </si>
  <si>
    <t>疾走VIII</t>
  </si>
  <si>
    <t>疾走IX</t>
  </si>
  <si>
    <t>疾走X</t>
  </si>
  <si>
    <t>不朽I</t>
  </si>
  <si>
    <t>不朽II</t>
  </si>
  <si>
    <t>不朽III</t>
  </si>
  <si>
    <t>不朽IV</t>
  </si>
  <si>
    <t>不朽V</t>
  </si>
  <si>
    <t>不朽VI</t>
  </si>
  <si>
    <t>不朽VII</t>
  </si>
  <si>
    <t>不朽VIII</t>
  </si>
  <si>
    <t>不朽IX</t>
  </si>
  <si>
    <t>不朽X</t>
  </si>
  <si>
    <t>無懼I</t>
  </si>
  <si>
    <t>無懼II</t>
  </si>
  <si>
    <t>無懼III</t>
  </si>
  <si>
    <t>無懼IV</t>
  </si>
  <si>
    <t>無懼V</t>
  </si>
  <si>
    <t>無懼VI</t>
  </si>
  <si>
    <t>無懼VII</t>
  </si>
  <si>
    <t>無懼VIII</t>
  </si>
  <si>
    <t>無懼IX</t>
  </si>
  <si>
    <t>無懼X</t>
  </si>
  <si>
    <t>意志I</t>
  </si>
  <si>
    <t>意志II</t>
  </si>
  <si>
    <t>意志III</t>
  </si>
  <si>
    <t>意志IV</t>
  </si>
  <si>
    <t>意志V</t>
  </si>
  <si>
    <t>意志VI</t>
  </si>
  <si>
    <t>意志VII</t>
  </si>
  <si>
    <t>意志VIII</t>
  </si>
  <si>
    <t>意志IX</t>
  </si>
  <si>
    <t>意志X</t>
  </si>
  <si>
    <t>適性I</t>
  </si>
  <si>
    <t>適性II</t>
  </si>
  <si>
    <t>適性III</t>
  </si>
  <si>
    <t>適性IV</t>
  </si>
  <si>
    <t>適性V</t>
  </si>
  <si>
    <t>適性VI</t>
  </si>
  <si>
    <t>適性VII</t>
  </si>
  <si>
    <t>適性VIII</t>
  </si>
  <si>
    <t>適性IX</t>
  </si>
  <si>
    <t>適性X</t>
  </si>
  <si>
    <t>儀式劍</t>
  </si>
  <si>
    <t>瑪那魔杖</t>
  </si>
  <si>
    <t>韋蘭的飛行翼</t>
  </si>
  <si>
    <t>妖精召喚書</t>
  </si>
  <si>
    <t>森林妖精全體補血</t>
    <rPh sb="0" eb="1">
      <t>ｲﾔ</t>
    </rPh>
    <rPh sb="3" eb="4">
      <t>ｶｾﾞ</t>
    </rPh>
    <phoneticPr fontId="2" type="noConversion"/>
  </si>
  <si>
    <t>享樂與榮耀</t>
  </si>
  <si>
    <t>金針短劍</t>
  </si>
  <si>
    <t>擄獲長弓</t>
  </si>
  <si>
    <t>阿里翁權杖</t>
  </si>
  <si>
    <t>阿提卡劍</t>
  </si>
  <si>
    <t>格拉墨的殘影</t>
  </si>
  <si>
    <t>屠龍槍</t>
  </si>
  <si>
    <t>巨人大劍</t>
  </si>
  <si>
    <t>愛情之淚</t>
  </si>
  <si>
    <t>詛咒之弓</t>
  </si>
  <si>
    <t>不屈之槍</t>
  </si>
  <si>
    <t>星座的守護</t>
  </si>
  <si>
    <t>月痕勾爪</t>
  </si>
  <si>
    <t>女神戰斧</t>
  </si>
  <si>
    <t>狩獵短刃</t>
  </si>
  <si>
    <t>雷霆劍</t>
  </si>
  <si>
    <t>勝者之矛</t>
  </si>
  <si>
    <t>海的餽贈</t>
  </si>
  <si>
    <t>永恆風暴</t>
  </si>
  <si>
    <t>閃電的具象</t>
  </si>
  <si>
    <t>九重天的權威</t>
  </si>
  <si>
    <t>歷史石板</t>
  </si>
  <si>
    <t>飛鷹羽冠</t>
  </si>
  <si>
    <t>月影獵弓</t>
  </si>
  <si>
    <t>閃耀之星</t>
  </si>
  <si>
    <t>戀愛腰帶</t>
  </si>
  <si>
    <t>隔音耳罩</t>
  </si>
  <si>
    <t>未來捲軸</t>
  </si>
  <si>
    <t>命運天秤</t>
  </si>
  <si>
    <t>臣服之杖</t>
  </si>
  <si>
    <t>黃金冠冕</t>
  </si>
  <si>
    <t>戰神槍</t>
  </si>
  <si>
    <t>紫杉獵弓</t>
  </si>
  <si>
    <t>稻穗之劍</t>
  </si>
  <si>
    <t>煉火錘</t>
  </si>
  <si>
    <t>酒神杖</t>
  </si>
  <si>
    <t>春之藤籃</t>
  </si>
  <si>
    <t>限時被動技</t>
  </si>
  <si>
    <t>被動2</t>
  </si>
  <si>
    <t>被動2ID</t>
  </si>
  <si>
    <t>被動3ID</t>
  </si>
  <si>
    <t>被動4ID</t>
  </si>
  <si>
    <t>被動5ID</t>
  </si>
  <si>
    <t>被動6ID</t>
  </si>
  <si>
    <t>被動7ID</t>
  </si>
  <si>
    <t>被動8ID</t>
  </si>
  <si>
    <t>被動9ID</t>
  </si>
  <si>
    <t>被動10ID</t>
  </si>
  <si>
    <t>被動3</t>
  </si>
  <si>
    <t>被動4</t>
  </si>
  <si>
    <t>被動5</t>
  </si>
  <si>
    <t>被動6</t>
  </si>
  <si>
    <t>被動7</t>
  </si>
  <si>
    <t>被動8</t>
  </si>
  <si>
    <t>被動9</t>
  </si>
  <si>
    <t>被動10</t>
  </si>
  <si>
    <t>被動1ID</t>
    <phoneticPr fontId="2" type="noConversion"/>
  </si>
  <si>
    <t>被動1</t>
    <phoneticPr fontId="2" type="noConversion"/>
  </si>
  <si>
    <t>負面時間減免80%</t>
  </si>
  <si>
    <t>負面時間減免65%</t>
  </si>
  <si>
    <t>負面時間減免50%</t>
  </si>
  <si>
    <t>維多福妮爾普攻連擊2(光屬性)</t>
  </si>
  <si>
    <t>維多福妮爾普攻連擊3(光屬性)</t>
  </si>
  <si>
    <t>サブスキル</t>
  </si>
  <si>
    <t>封魔の盾</t>
    <rPh sb="0" eb="1">
      <t>ﾌｳ</t>
    </rPh>
    <rPh sb="1" eb="2">
      <t>ﾏ</t>
    </rPh>
    <rPh sb="3" eb="4">
      <t>ﾀﾃ</t>
    </rPh>
    <phoneticPr fontId="1" type="noConversion"/>
  </si>
  <si>
    <t>烈火の心</t>
    <rPh sb="3" eb="4">
      <t>ｺｺﾛ</t>
    </rPh>
    <phoneticPr fontId="1" type="noConversion"/>
  </si>
  <si>
    <t>シャープエッジ</t>
  </si>
  <si>
    <t>王家の呪印</t>
    <rPh sb="0" eb="2">
      <t>ｵｳｹ</t>
    </rPh>
    <rPh sb="3" eb="5">
      <t>ｼﾞｭｲﾝ</t>
    </rPh>
    <phoneticPr fontId="1" type="noConversion"/>
  </si>
  <si>
    <t>ディザスター</t>
  </si>
  <si>
    <t>デビルズラック</t>
  </si>
  <si>
    <t>ゴースト・ダンス</t>
  </si>
  <si>
    <t>垣間見える禁忌</t>
    <rPh sb="0" eb="3">
      <t>ｶｲﾏﾐ</t>
    </rPh>
    <rPh sb="5" eb="7">
      <t>ｷﾝｷ</t>
    </rPh>
    <phoneticPr fontId="1" type="noConversion"/>
  </si>
  <si>
    <t>愛による虜</t>
    <rPh sb="0" eb="1">
      <t>ｱｲ</t>
    </rPh>
    <rPh sb="4" eb="5">
      <t>ﾄﾘｺ</t>
    </rPh>
    <phoneticPr fontId="1" type="noConversion"/>
  </si>
  <si>
    <t>キャッチハート</t>
  </si>
  <si>
    <t>バスターヴィント</t>
  </si>
  <si>
    <t>不滅の旅路</t>
    <rPh sb="0" eb="2">
      <t>ﾌﾒﾂ</t>
    </rPh>
    <rPh sb="3" eb="5">
      <t>ﾀﾋﾞｼﾞ</t>
    </rPh>
    <phoneticPr fontId="1" type="noConversion"/>
  </si>
  <si>
    <t>災厄の審判</t>
    <rPh sb="3" eb="5">
      <t>シンﾊﾟン</t>
    </rPh>
    <phoneticPr fontId="1" type="noConversion"/>
  </si>
  <si>
    <t>支配の王座</t>
    <rPh sb="0" eb="2">
      <t>シハイ</t>
    </rPh>
    <phoneticPr fontId="1" type="noConversion"/>
  </si>
  <si>
    <t>断罪のアティーカ</t>
    <rPh sb="0" eb="2">
      <t>ﾀﾞﾝｻﾞｲ</t>
    </rPh>
    <phoneticPr fontId="1" type="noConversion"/>
  </si>
  <si>
    <t>アンチバイト</t>
  </si>
  <si>
    <t>四方旋風刀</t>
    <rPh sb="0" eb="2">
      <t>ｼﾎｳ</t>
    </rPh>
    <rPh sb="2" eb="4">
      <t>ｾﾝﾌﾟｳ</t>
    </rPh>
    <rPh sb="4" eb="5">
      <t>ﾄｳ</t>
    </rPh>
    <phoneticPr fontId="1" type="noConversion"/>
  </si>
  <si>
    <t>絶命の鼓音</t>
    <rPh sb="0" eb="2">
      <t>ｾﾞﾂﾒｲ</t>
    </rPh>
    <rPh sb="3" eb="4">
      <t>ﾂﾂﾞﾐ</t>
    </rPh>
    <rPh sb="4" eb="5">
      <t>ｵﾄ</t>
    </rPh>
    <phoneticPr fontId="1" type="noConversion"/>
  </si>
  <si>
    <t>アブソルートシールド</t>
  </si>
  <si>
    <t>神剣の領域</t>
    <rPh sb="0" eb="1">
      <t>カミ</t>
    </rPh>
    <rPh sb="1" eb="2">
      <t>ケン</t>
    </rPh>
    <rPh sb="3" eb="5">
      <t>リョウイキ</t>
    </rPh>
    <phoneticPr fontId="1" type="noConversion"/>
  </si>
  <si>
    <t>ドラゴンハウリング</t>
  </si>
  <si>
    <t>獣の囁き</t>
    <rPh sb="0" eb="1">
      <t>ｼﾞュウ</t>
    </rPh>
    <rPh sb="2" eb="3">
      <t>ササヤ</t>
    </rPh>
    <phoneticPr fontId="1" type="noConversion"/>
  </si>
  <si>
    <t>ブラッドバーサーカー</t>
  </si>
  <si>
    <t>狂戦士の戦</t>
    <rPh sb="0" eb="3">
      <t>ｷｮｳｾﾝｼ</t>
    </rPh>
    <rPh sb="4" eb="5">
      <t>ｲｸｻ</t>
    </rPh>
    <phoneticPr fontId="1" type="noConversion"/>
  </si>
  <si>
    <t>ディバインシェルター</t>
  </si>
  <si>
    <t>光輝なる洗礼</t>
    <rPh sb="0" eb="2">
      <t>ｺｳｷ</t>
    </rPh>
    <rPh sb="4" eb="6">
      <t>センレイ</t>
    </rPh>
    <phoneticPr fontId="1" type="noConversion"/>
  </si>
  <si>
    <t>戦女神の魂</t>
    <rPh sb="0" eb="3">
      <t>ｲｸｻﾒｶﾞﾐ</t>
    </rPh>
    <rPh sb="4" eb="5">
      <t>タマシイ</t>
    </rPh>
    <phoneticPr fontId="1" type="noConversion"/>
  </si>
  <si>
    <t>我に恐れる心なし</t>
    <rPh sb="0" eb="1">
      <t>ﾜﾚ</t>
    </rPh>
    <rPh sb="2" eb="3">
      <t>ｵｿ</t>
    </rPh>
    <rPh sb="5" eb="6">
      <t>ｺｺﾛ</t>
    </rPh>
    <phoneticPr fontId="1" type="noConversion"/>
  </si>
  <si>
    <t>守護の翼</t>
    <rPh sb="3" eb="4">
      <t>ツﾊﾞサ</t>
    </rPh>
    <phoneticPr fontId="1" type="noConversion"/>
  </si>
  <si>
    <t>風の絆</t>
    <rPh sb="0" eb="1">
      <t>カｾﾞ</t>
    </rPh>
    <rPh sb="2" eb="3">
      <t>キｽﾞナ</t>
    </rPh>
    <phoneticPr fontId="1" type="noConversion"/>
  </si>
  <si>
    <t>イーグルアイズ</t>
  </si>
  <si>
    <t>コンセントレーション</t>
  </si>
  <si>
    <t>悪火斬</t>
    <rPh sb="0" eb="1">
      <t>アク</t>
    </rPh>
    <rPh sb="1" eb="2">
      <t>ヒ</t>
    </rPh>
    <phoneticPr fontId="1" type="noConversion"/>
  </si>
  <si>
    <t>フレイムインパクト</t>
  </si>
  <si>
    <t>リトリートマジック</t>
  </si>
  <si>
    <t>生者の詩歌</t>
    <rPh sb="0" eb="2">
      <t>ｾｲｼﾞｬ</t>
    </rPh>
    <rPh sb="3" eb="5">
      <t>ｼｲｶ</t>
    </rPh>
    <phoneticPr fontId="1" type="noConversion"/>
  </si>
  <si>
    <t>グラオザームの爪</t>
    <rPh sb="7" eb="8">
      <t>ﾂﾒ</t>
    </rPh>
    <phoneticPr fontId="1" type="noConversion"/>
  </si>
  <si>
    <t>ワイルドソウル</t>
  </si>
  <si>
    <t>ブレイズマッサカー</t>
  </si>
  <si>
    <t>女神に与えられし守護</t>
    <rPh sb="0" eb="2">
      <t>メｶﾞミ</t>
    </rPh>
    <rPh sb="3" eb="4">
      <t>ｱﾀ</t>
    </rPh>
    <rPh sb="8" eb="10">
      <t>ｼｭｺﾞ</t>
    </rPh>
    <phoneticPr fontId="1" type="noConversion"/>
  </si>
  <si>
    <t>致命なる狩殺</t>
    <rPh sb="0" eb="2">
      <t>ﾁﾒｲ</t>
    </rPh>
    <rPh sb="4" eb="6">
      <t>ｼｭｻﾂ</t>
    </rPh>
    <phoneticPr fontId="1" type="noConversion"/>
  </si>
  <si>
    <t>神速疾走</t>
    <rPh sb="0" eb="2">
      <t>ｼﾝｿｸ</t>
    </rPh>
    <rPh sb="2" eb="4">
      <t>ｼｯｿｳ</t>
    </rPh>
    <phoneticPr fontId="1" type="noConversion"/>
  </si>
  <si>
    <t>アロガンスの手綱</t>
    <rPh sb="6" eb="8">
      <t>ﾀﾂﾞﾅ</t>
    </rPh>
    <phoneticPr fontId="1" type="noConversion"/>
  </si>
  <si>
    <t>アイアントランプル</t>
  </si>
  <si>
    <t>命脈II</t>
  </si>
  <si>
    <t>堅固I</t>
  </si>
  <si>
    <t>堅固II</t>
  </si>
  <si>
    <t>堅固III</t>
  </si>
  <si>
    <t>堅固IV</t>
  </si>
  <si>
    <t>堅固V</t>
  </si>
  <si>
    <t>堅固VI</t>
  </si>
  <si>
    <t>堅固VII</t>
  </si>
  <si>
    <t>堅固VIII</t>
  </si>
  <si>
    <t>堅固IX</t>
  </si>
  <si>
    <t>堅固X</t>
  </si>
  <si>
    <t>好戦I</t>
  </si>
  <si>
    <t>好戦II</t>
  </si>
  <si>
    <t>好戦III</t>
  </si>
  <si>
    <t>好戦IV</t>
  </si>
  <si>
    <t>好戦V</t>
  </si>
  <si>
    <t>好戦VI</t>
  </si>
  <si>
    <t>好戦VII</t>
  </si>
  <si>
    <t>好戦VIII</t>
  </si>
  <si>
    <t>好戦IX</t>
  </si>
  <si>
    <t>好戦X</t>
  </si>
  <si>
    <t>迅速I</t>
  </si>
  <si>
    <t>迅速II</t>
  </si>
  <si>
    <t>迅速III</t>
  </si>
  <si>
    <t>迅速IV</t>
  </si>
  <si>
    <t>迅速V</t>
  </si>
  <si>
    <t>迅速VI</t>
  </si>
  <si>
    <t>迅速VII</t>
  </si>
  <si>
    <t>迅速VIII</t>
  </si>
  <si>
    <t>迅速IX</t>
  </si>
  <si>
    <t>迅速X</t>
  </si>
  <si>
    <t>激怒I</t>
  </si>
  <si>
    <t>激怒II</t>
  </si>
  <si>
    <t>激怒III</t>
  </si>
  <si>
    <t>激怒IV</t>
  </si>
  <si>
    <t>激怒V</t>
  </si>
  <si>
    <t>激怒VI</t>
  </si>
  <si>
    <t>激怒VII</t>
  </si>
  <si>
    <t>激怒VIII</t>
  </si>
  <si>
    <t>激怒IX</t>
  </si>
  <si>
    <t>激怒X</t>
  </si>
  <si>
    <t>活性I</t>
  </si>
  <si>
    <t>強靱I</t>
  </si>
  <si>
    <t>強靱II</t>
  </si>
  <si>
    <t>強靱III</t>
  </si>
  <si>
    <t>強靱IV</t>
  </si>
  <si>
    <t>強靱V</t>
  </si>
  <si>
    <t>強靱VI</t>
  </si>
  <si>
    <t>強靱VII</t>
  </si>
  <si>
    <t>強靱VIII</t>
  </si>
  <si>
    <t>強靱IX</t>
  </si>
  <si>
    <t>強靱X</t>
  </si>
  <si>
    <t>炎断I</t>
  </si>
  <si>
    <t>炎断II</t>
  </si>
  <si>
    <t>炎断III</t>
  </si>
  <si>
    <t>炎断IV</t>
  </si>
  <si>
    <t>炎断V</t>
  </si>
  <si>
    <t>炎断VI</t>
  </si>
  <si>
    <t>炎断VII</t>
  </si>
  <si>
    <t>炎断VIII</t>
  </si>
  <si>
    <t>炎断IX</t>
  </si>
  <si>
    <t>炎断X</t>
  </si>
  <si>
    <t>御魔I</t>
  </si>
  <si>
    <t>御魔II</t>
  </si>
  <si>
    <t>御魔III</t>
  </si>
  <si>
    <t>御魔IV</t>
  </si>
  <si>
    <t>御魔V</t>
  </si>
  <si>
    <t>御魔VI</t>
  </si>
  <si>
    <t>御魔VII</t>
  </si>
  <si>
    <t>御魔VIII</t>
  </si>
  <si>
    <t>御魔IX</t>
  </si>
  <si>
    <t>御魔X</t>
  </si>
  <si>
    <t>爆発I</t>
  </si>
  <si>
    <t>爆発II</t>
  </si>
  <si>
    <t>爆発III</t>
  </si>
  <si>
    <t>爆発IV</t>
  </si>
  <si>
    <t>爆発V</t>
  </si>
  <si>
    <t>爆発VI</t>
  </si>
  <si>
    <t>爆発VII</t>
  </si>
  <si>
    <t>爆発VIII</t>
  </si>
  <si>
    <t>爆発IX</t>
  </si>
  <si>
    <t>爆発X</t>
  </si>
  <si>
    <t>凝集I</t>
  </si>
  <si>
    <t>凝集II</t>
  </si>
  <si>
    <t>凝集III</t>
  </si>
  <si>
    <t>凝集IV</t>
  </si>
  <si>
    <t>凝集V</t>
  </si>
  <si>
    <t>凝集VI</t>
  </si>
  <si>
    <t>凝集VII</t>
  </si>
  <si>
    <t>凝集VIII</t>
  </si>
  <si>
    <t>凝集IX</t>
  </si>
  <si>
    <t>凝集X</t>
  </si>
  <si>
    <t>ブリーシンガメン</t>
  </si>
  <si>
    <t>コルヌコピアの角</t>
  </si>
  <si>
    <t>永久のガングニール</t>
    <rPh sb="0" eb="2">
      <t>ﾄﾜ</t>
    </rPh>
    <phoneticPr fontId="1" type="noConversion"/>
  </si>
  <si>
    <t>雲舟の指輪</t>
    <rPh sb="0" eb="1">
      <t>ｸﾓ</t>
    </rPh>
    <rPh sb="1" eb="2">
      <t>ﾌﾅ</t>
    </rPh>
    <rPh sb="3" eb="5">
      <t>ﾕﾋﾞﾜ</t>
    </rPh>
    <phoneticPr fontId="1" type="noConversion"/>
  </si>
  <si>
    <t>イージスチャーム</t>
  </si>
  <si>
    <t>ミョルニルのブレスレット</t>
  </si>
  <si>
    <t>祝福のトロフィー</t>
    <rPh sb="0" eb="2">
      <t>ｼｭｸﾌｸ</t>
    </rPh>
    <phoneticPr fontId="1" type="noConversion"/>
  </si>
  <si>
    <t>レーヴァテイン</t>
  </si>
  <si>
    <t>キネの冠</t>
  </si>
  <si>
    <t>ミスティルテインの刃</t>
    <rPh sb="9" eb="10">
      <t>ｼﾞﾝ</t>
    </rPh>
    <phoneticPr fontId="1" type="noConversion"/>
  </si>
  <si>
    <t>悪の目</t>
    <rPh sb="0" eb="1">
      <t>ｱｸ</t>
    </rPh>
    <rPh sb="2" eb="3">
      <t>ﾒ</t>
    </rPh>
    <phoneticPr fontId="1" type="noConversion"/>
  </si>
  <si>
    <t>シルバークラウン</t>
  </si>
  <si>
    <t>ゴールドウエストチェーン</t>
  </si>
  <si>
    <t>霧の封印瓶</t>
    <rPh sb="0" eb="1">
      <t>ｷﾘ</t>
    </rPh>
    <rPh sb="2" eb="4">
      <t>ﾌｳｲﾝ</t>
    </rPh>
    <rPh sb="4" eb="5">
      <t>ﾋﾞﾝ</t>
    </rPh>
    <phoneticPr fontId="1" type="noConversion"/>
  </si>
  <si>
    <t>紫衣神紋</t>
    <rPh sb="0" eb="1">
      <t>ﾑﾗｻｷ</t>
    </rPh>
    <rPh sb="1" eb="2">
      <t>ｷﾞﾇ</t>
    </rPh>
    <phoneticPr fontId="1" type="noConversion"/>
  </si>
  <si>
    <t>血煉の戦槍</t>
    <rPh sb="0" eb="1">
      <t>ﾁ</t>
    </rPh>
    <rPh sb="1" eb="2">
      <t>ﾚﾝ</t>
    </rPh>
    <rPh sb="3" eb="4">
      <t>ｾﾝ</t>
    </rPh>
    <rPh sb="4" eb="5">
      <t>ﾔﾘ</t>
    </rPh>
    <phoneticPr fontId="1" type="noConversion"/>
  </si>
  <si>
    <t>羽つきサンダル</t>
    <rPh sb="0" eb="1">
      <t>ﾊﾈ</t>
    </rPh>
    <phoneticPr fontId="1" type="noConversion"/>
  </si>
  <si>
    <t>日輪のオーブ</t>
    <rPh sb="0" eb="1">
      <t>ﾋ</t>
    </rPh>
    <rPh sb="1" eb="2">
      <t>ﾘﾝ</t>
    </rPh>
    <phoneticPr fontId="1" type="noConversion"/>
  </si>
  <si>
    <t>銀月の弓</t>
    <rPh sb="0" eb="1">
      <t>ｷﾞﾝ</t>
    </rPh>
    <rPh sb="1" eb="2">
      <t>ﾂｷ</t>
    </rPh>
    <rPh sb="3" eb="4">
      <t>ﾕﾐ</t>
    </rPh>
    <phoneticPr fontId="1" type="noConversion"/>
  </si>
  <si>
    <t>アクエリアス</t>
  </si>
  <si>
    <t>ムスの紋章</t>
  </si>
  <si>
    <t>暴風の眼</t>
    <rPh sb="0" eb="2">
      <t>ﾎﾞｳﾌｳ</t>
    </rPh>
    <rPh sb="3" eb="4">
      <t>ｶﾞﾝ</t>
    </rPh>
    <phoneticPr fontId="1" type="noConversion"/>
  </si>
  <si>
    <t>光の葉</t>
    <rPh sb="0" eb="1">
      <t>ﾋｶﾘ</t>
    </rPh>
    <rPh sb="2" eb="3">
      <t>ﾊﾞ</t>
    </rPh>
    <phoneticPr fontId="1" type="noConversion"/>
  </si>
  <si>
    <t>星空の薄紗</t>
    <rPh sb="0" eb="2">
      <t>ﾎｼｿﾞﾗ</t>
    </rPh>
    <phoneticPr fontId="1" type="noConversion"/>
  </si>
  <si>
    <t>ユグドラシルの鍵</t>
    <rPh sb="7" eb="8">
      <t>ｶｷﾞ</t>
    </rPh>
    <phoneticPr fontId="1" type="noConversion"/>
  </si>
  <si>
    <t>怪物名稱</t>
    <phoneticPr fontId="2" type="noConversion"/>
  </si>
  <si>
    <t>輸出</t>
    <phoneticPr fontId="2" type="noConversion"/>
  </si>
  <si>
    <t>唐格紐斯特與唐格理斯尼</t>
    <phoneticPr fontId="2" type="noConversion"/>
  </si>
  <si>
    <t>英雄鋼刀</t>
    <phoneticPr fontId="2" type="noConversion"/>
  </si>
  <si>
    <t>封印之匣</t>
    <phoneticPr fontId="2" type="noConversion"/>
  </si>
  <si>
    <t>復仇血刃</t>
    <phoneticPr fontId="2" type="noConversion"/>
  </si>
  <si>
    <t>聖槍極光</t>
    <phoneticPr fontId="2" type="noConversion"/>
  </si>
  <si>
    <t>魔女的祝福</t>
    <phoneticPr fontId="2" type="noConversion"/>
  </si>
  <si>
    <t>鉛指虎</t>
    <phoneticPr fontId="2" type="noConversion"/>
  </si>
  <si>
    <t>雷蒙德</t>
  </si>
  <si>
    <t>狄克</t>
  </si>
  <si>
    <t>修</t>
  </si>
  <si>
    <t>阿娜絲</t>
  </si>
  <si>
    <t>阿妮塔</t>
  </si>
  <si>
    <t>賽德里克</t>
  </si>
  <si>
    <t>亞德拉圖</t>
  </si>
  <si>
    <t>艾維斯</t>
  </si>
  <si>
    <t>貝琳達</t>
  </si>
  <si>
    <t>路德</t>
  </si>
  <si>
    <t>維克多</t>
  </si>
  <si>
    <t>赫柏特</t>
  </si>
  <si>
    <t>卡菈</t>
  </si>
  <si>
    <t>希爾達</t>
  </si>
  <si>
    <t>吉榭爾</t>
  </si>
  <si>
    <t>畢維斯</t>
  </si>
  <si>
    <t>希瑞爾</t>
  </si>
  <si>
    <t>康拉德</t>
  </si>
  <si>
    <t>辛菲</t>
  </si>
  <si>
    <t>夏佐</t>
  </si>
  <si>
    <t>亞特蘭特</t>
  </si>
  <si>
    <t>艾德可</t>
  </si>
  <si>
    <t>亞瑟</t>
  </si>
  <si>
    <t>瑪蒂娜</t>
  </si>
  <si>
    <t>歐錫恩</t>
  </si>
  <si>
    <t>赫爾曼</t>
  </si>
  <si>
    <t>巴澤爾</t>
  </si>
  <si>
    <t>妮爾</t>
  </si>
  <si>
    <t>希貝兒</t>
  </si>
  <si>
    <t>莎莉絲特</t>
  </si>
  <si>
    <t>戴安娜</t>
  </si>
  <si>
    <t>菲比斯</t>
  </si>
  <si>
    <t>阿芙蘿黛</t>
  </si>
  <si>
    <t>布拉德</t>
  </si>
  <si>
    <t>艾多斯</t>
  </si>
  <si>
    <t>克利絲汀</t>
  </si>
  <si>
    <t>紫蘭</t>
  </si>
  <si>
    <t>特麗莎</t>
  </si>
  <si>
    <t>蕾佳娜</t>
  </si>
  <si>
    <t>古斯塔夫</t>
  </si>
  <si>
    <t>阿諾德</t>
  </si>
  <si>
    <t>羅莎</t>
  </si>
  <si>
    <t>伏拉亞</t>
  </si>
  <si>
    <t>菲利克斯</t>
  </si>
  <si>
    <t>奧莉薇亞</t>
  </si>
  <si>
    <t>維多福妮爾</t>
  </si>
  <si>
    <t>神罰的斯芬克斯</t>
    <phoneticPr fontId="2" type="noConversion"/>
  </si>
  <si>
    <t>幻影瑪蒂娜</t>
  </si>
  <si>
    <t>幻影赫爾曼</t>
  </si>
  <si>
    <t>※一波怪數量盡量不要超過6隻，不然畫面會很亂</t>
    <phoneticPr fontId="2" type="noConversion"/>
  </si>
  <si>
    <t>※如果關卡設計成要讓人拖曳殺後排遠程怪那遠程怪的防禦別太高或是火力不要能秒戰士不然玩家拖曳到後排反而被打死或是扣更多血</t>
    <phoneticPr fontId="2" type="noConversion"/>
  </si>
  <si>
    <t>蒼穹雷鳴</t>
    <rPh sb="0" eb="2">
      <t>ｿｳｷｭｳ</t>
    </rPh>
    <rPh sb="2" eb="4">
      <t>ﾗｲﾒｲ</t>
    </rPh>
    <phoneticPr fontId="2" type="noConversion"/>
  </si>
  <si>
    <t>栄光へと至る道</t>
    <rPh sb="0" eb="2">
      <t>ｴｲｺｳ</t>
    </rPh>
    <rPh sb="4" eb="5">
      <t>ｲﾀ</t>
    </rPh>
    <rPh sb="6" eb="7">
      <t>ﾐﾁ</t>
    </rPh>
    <phoneticPr fontId="2" type="noConversion"/>
  </si>
  <si>
    <t>勝利へと至る道</t>
    <rPh sb="0" eb="2">
      <t>ｼｮｳﾘ</t>
    </rPh>
    <rPh sb="4" eb="5">
      <t>ｲﾀ</t>
    </rPh>
    <rPh sb="6" eb="7">
      <t>ﾐﾁ</t>
    </rPh>
    <phoneticPr fontId="2" type="noConversion"/>
  </si>
  <si>
    <t>永界神話の聖鎧</t>
    <rPh sb="0" eb="4">
      <t>ｴｲｶｲｼﾝﾜ</t>
    </rPh>
    <rPh sb="5" eb="7">
      <t>ｾｲﾖﾛｲ</t>
    </rPh>
    <phoneticPr fontId="2" type="noConversion"/>
  </si>
  <si>
    <t>神聖の輝き</t>
    <rPh sb="0" eb="2">
      <t>シンセイ</t>
    </rPh>
    <rPh sb="3" eb="4">
      <t>ｶｶﾞﾔ</t>
    </rPh>
    <phoneticPr fontId="2" type="noConversion"/>
  </si>
  <si>
    <t>魂死の鎌刃</t>
    <rPh sb="0" eb="1">
      <t>ﾀﾏｼｲ</t>
    </rPh>
    <rPh sb="1" eb="2">
      <t>ｼ</t>
    </rPh>
    <rPh sb="3" eb="4">
      <t>ｶﾏ</t>
    </rPh>
    <phoneticPr fontId="2" type="noConversion"/>
  </si>
  <si>
    <t>黄泉の領域</t>
    <rPh sb="3" eb="5">
      <t>リョウイキ</t>
    </rPh>
    <phoneticPr fontId="2" type="noConversion"/>
  </si>
  <si>
    <t>運命の啓示</t>
    <rPh sb="0" eb="2">
      <t>ウンメイ</t>
    </rPh>
    <phoneticPr fontId="2" type="noConversion"/>
  </si>
  <si>
    <t>時鐘の祈り</t>
    <rPh sb="0" eb="1">
      <t>ﾄｷ</t>
    </rPh>
    <rPh sb="1" eb="2">
      <t>カネ</t>
    </rPh>
    <rPh sb="3" eb="4">
      <t>イノ</t>
    </rPh>
    <phoneticPr fontId="2" type="noConversion"/>
  </si>
  <si>
    <t>月影の連矢</t>
    <rPh sb="0" eb="2">
      <t>ﾂｷｶｹﾞ</t>
    </rPh>
    <rPh sb="3" eb="4">
      <t>ﾚﾝ</t>
    </rPh>
    <rPh sb="4" eb="5">
      <t>ﾔ</t>
    </rPh>
    <phoneticPr fontId="2" type="noConversion"/>
  </si>
  <si>
    <t>渾身の一矢</t>
    <rPh sb="0" eb="2">
      <t>ｺﾝｼﾝ</t>
    </rPh>
    <rPh sb="3" eb="5">
      <t>ｲﾁﾔ</t>
    </rPh>
    <phoneticPr fontId="2" type="noConversion"/>
  </si>
  <si>
    <t>無限の熾炎</t>
    <rPh sb="0" eb="2">
      <t>ﾑｹﾞﾝ</t>
    </rPh>
    <rPh sb="3" eb="4">
      <t>ｵｷ</t>
    </rPh>
    <rPh sb="4" eb="5">
      <t>ｴﾝ</t>
    </rPh>
    <phoneticPr fontId="2" type="noConversion"/>
  </si>
  <si>
    <t>輝ける大地</t>
    <rPh sb="0" eb="1">
      <t>ｶｶﾞﾔ</t>
    </rPh>
    <rPh sb="3" eb="5">
      <t>ﾀﾞｲﾁ</t>
    </rPh>
    <phoneticPr fontId="2" type="noConversion"/>
  </si>
  <si>
    <t>永劫の焔</t>
    <rPh sb="0" eb="2">
      <t>ｴｲｺﾞｳ</t>
    </rPh>
    <rPh sb="3" eb="4">
      <t>ﾎﾑﾗ</t>
    </rPh>
    <phoneticPr fontId="2" type="noConversion"/>
  </si>
  <si>
    <t>奪魂のエレジー</t>
    <rPh sb="0" eb="1">
      <t>ウﾊﾞ</t>
    </rPh>
    <rPh sb="1" eb="2">
      <t>タマシイ</t>
    </rPh>
    <phoneticPr fontId="2" type="noConversion"/>
  </si>
  <si>
    <t>運命の焔鳥</t>
    <rPh sb="0" eb="2">
      <t>ｳﾝﾒｲ</t>
    </rPh>
    <rPh sb="3" eb="5">
      <t>ﾎﾑﾗﾁｮｳ</t>
    </rPh>
    <phoneticPr fontId="2" type="noConversion"/>
  </si>
  <si>
    <t>無残の兆し</t>
    <rPh sb="0" eb="2">
      <t>ﾑｻﾞﾝ</t>
    </rPh>
    <rPh sb="3" eb="4">
      <t>ｷｻﾞ</t>
    </rPh>
    <phoneticPr fontId="2" type="noConversion"/>
  </si>
  <si>
    <t>真実の秤</t>
    <rPh sb="0" eb="2">
      <t>シンｼﾞツ</t>
    </rPh>
    <phoneticPr fontId="2" type="noConversion"/>
  </si>
  <si>
    <t>不公平の予言</t>
    <rPh sb="0" eb="3">
      <t>フコウヘイ</t>
    </rPh>
    <rPh sb="4" eb="6">
      <t>ﾖｹﾞﾝ</t>
    </rPh>
    <phoneticPr fontId="2" type="noConversion"/>
  </si>
  <si>
    <t>極光の奥義</t>
    <rPh sb="0" eb="2">
      <t>ｷｮｯｺｳ</t>
    </rPh>
    <rPh sb="3" eb="5">
      <t>ｵｳｷﾞ</t>
    </rPh>
    <phoneticPr fontId="2" type="noConversion"/>
  </si>
  <si>
    <t>絶対支配</t>
    <rPh sb="0" eb="4">
      <t>ｾﾞｯﾀｲｼﾊｲ</t>
    </rPh>
    <phoneticPr fontId="2" type="noConversion"/>
  </si>
  <si>
    <t>戦の魂</t>
    <rPh sb="0" eb="1">
      <t>セン</t>
    </rPh>
    <rPh sb="2" eb="3">
      <t>タマシイ</t>
    </rPh>
    <phoneticPr fontId="2" type="noConversion"/>
  </si>
  <si>
    <t>毒氷の凍矢</t>
    <rPh sb="0" eb="1">
      <t>ﾄﾞｸ</t>
    </rPh>
    <rPh sb="1" eb="2">
      <t>コオリ</t>
    </rPh>
    <rPh sb="3" eb="4">
      <t>ｺｵ</t>
    </rPh>
    <rPh sb="4" eb="5">
      <t>ﾔ</t>
    </rPh>
    <phoneticPr fontId="2" type="noConversion"/>
  </si>
  <si>
    <t>栄光の剣</t>
    <rPh sb="0" eb="2">
      <t>ｴｲｺｳ</t>
    </rPh>
    <rPh sb="3" eb="4">
      <t>ケン</t>
    </rPh>
    <phoneticPr fontId="2" type="noConversion"/>
  </si>
  <si>
    <t>火神の槌</t>
    <rPh sb="3" eb="4">
      <t>ﾂﾁ</t>
    </rPh>
    <phoneticPr fontId="2" type="noConversion"/>
  </si>
  <si>
    <t>精錬されし英雄</t>
    <rPh sb="0" eb="2">
      <t>ｾｲﾚﾝ</t>
    </rPh>
    <rPh sb="5" eb="7">
      <t>ｴｲﾕｳ</t>
    </rPh>
    <phoneticPr fontId="2" type="noConversion"/>
  </si>
  <si>
    <t>酒神の大祭祀</t>
    <rPh sb="3" eb="4">
      <t>ﾀﾞｲ</t>
    </rPh>
    <phoneticPr fontId="2" type="noConversion"/>
  </si>
  <si>
    <t>命の黄金林檎</t>
    <rPh sb="0" eb="1">
      <t>ｲﾉﾁ</t>
    </rPh>
    <rPh sb="2" eb="6">
      <t>ｵｳｺﾞﾝﾘﾝｺﾞ</t>
    </rPh>
    <phoneticPr fontId="2" type="noConversion"/>
  </si>
  <si>
    <t>時間の支配</t>
    <rPh sb="0" eb="2">
      <t>ｼﾞカン</t>
    </rPh>
    <rPh sb="3" eb="5">
      <t>シハイ</t>
    </rPh>
    <phoneticPr fontId="2" type="noConversion"/>
  </si>
  <si>
    <t>301#1</t>
  </si>
  <si>
    <t>0-00神廟</t>
  </si>
  <si>
    <t>CH0</t>
    <phoneticPr fontId="2" type="noConversion"/>
  </si>
  <si>
    <t>0-01森林</t>
  </si>
  <si>
    <t>0-02森林</t>
  </si>
  <si>
    <t>0-03山路</t>
    <phoneticPr fontId="2" type="noConversion"/>
  </si>
  <si>
    <t>0-04村莊</t>
  </si>
  <si>
    <t>0-05遺跡附近</t>
  </si>
  <si>
    <t>0-06遺跡</t>
  </si>
  <si>
    <t>0-07遺跡大廳</t>
  </si>
  <si>
    <t/>
  </si>
  <si>
    <t>0-08遺跡密室</t>
  </si>
  <si>
    <t>0-09地下密室</t>
  </si>
  <si>
    <t>0-10遺跡</t>
  </si>
  <si>
    <t>0-11遺跡附近</t>
  </si>
  <si>
    <t>0-12森林</t>
  </si>
  <si>
    <t>0-13森林深處</t>
  </si>
  <si>
    <t>0-14村莊附近</t>
  </si>
  <si>
    <t>CH1</t>
    <phoneticPr fontId="2" type="noConversion"/>
  </si>
  <si>
    <t>1-01森林</t>
  </si>
  <si>
    <t>1-02深き森</t>
    <rPh sb="4" eb="5">
      <t>ﾌｶ</t>
    </rPh>
    <phoneticPr fontId="1" type="noConversion"/>
  </si>
  <si>
    <t>1-03森の村</t>
    <rPh sb="4" eb="5">
      <t>ﾓﾘ</t>
    </rPh>
    <rPh sb="6" eb="7">
      <t>ﾑﾗ</t>
    </rPh>
    <phoneticPr fontId="1" type="noConversion"/>
  </si>
  <si>
    <t>1-04村の周辺</t>
    <rPh sb="6" eb="8">
      <t>ｼｭｳﾍﾝ</t>
    </rPh>
    <phoneticPr fontId="1" type="noConversion"/>
  </si>
  <si>
    <t>1-05森林</t>
  </si>
  <si>
    <t>1-06深き森</t>
    <rPh sb="4" eb="5">
      <t>ﾌｶ</t>
    </rPh>
    <phoneticPr fontId="1" type="noConversion"/>
  </si>
  <si>
    <t>1-07遺跡付近</t>
  </si>
  <si>
    <t>1-08森林</t>
  </si>
  <si>
    <t>1-09雑木林</t>
    <rPh sb="4" eb="7">
      <t>ｿﾞｳｷﾊﾞﾔｼ</t>
    </rPh>
    <phoneticPr fontId="1" type="noConversion"/>
  </si>
  <si>
    <t>1-10森林</t>
  </si>
  <si>
    <t>1-11村の周辺</t>
    <rPh sb="6" eb="8">
      <t>ｼｭｳﾍﾝ</t>
    </rPh>
    <phoneticPr fontId="1" type="noConversion"/>
  </si>
  <si>
    <t>1-12無人の村</t>
  </si>
  <si>
    <t>1-13村の周辺</t>
    <rPh sb="6" eb="8">
      <t>ｼｭｳﾍﾝ</t>
    </rPh>
    <phoneticPr fontId="1" type="noConversion"/>
  </si>
  <si>
    <t>1-14洞穴</t>
  </si>
  <si>
    <t>1-15洞穴付近</t>
  </si>
  <si>
    <t>1-16村の付近</t>
  </si>
  <si>
    <t>1-17森林</t>
  </si>
  <si>
    <t>1-18川辺</t>
  </si>
  <si>
    <t>1-19滝のそば</t>
  </si>
  <si>
    <t>1-20川辺</t>
  </si>
  <si>
    <t>1-21森林</t>
  </si>
  <si>
    <t>1-22遺跡の門</t>
  </si>
  <si>
    <t>1-23遺跡付近</t>
  </si>
  <si>
    <t>1-24遺跡の裏門</t>
  </si>
  <si>
    <t>1-25遺跡の中庭</t>
  </si>
  <si>
    <t>1-26遺跡</t>
  </si>
  <si>
    <t>1-27遺跡</t>
  </si>
  <si>
    <t>1-28遺跡の中庭</t>
  </si>
  <si>
    <t>1-29遺跡</t>
  </si>
  <si>
    <t>1-30花園迷宮</t>
  </si>
  <si>
    <t>1-31迷宮の中央</t>
  </si>
  <si>
    <t>1-32遺跡の中庭</t>
  </si>
  <si>
    <t>1-33遺跡</t>
  </si>
  <si>
    <t>1-34遺跡の中庭</t>
  </si>
  <si>
    <t>1-35遺跡の中庭</t>
  </si>
  <si>
    <t>1-36遺跡の門</t>
  </si>
  <si>
    <t>1-37遺跡付近</t>
  </si>
  <si>
    <t>1-38森林</t>
  </si>
  <si>
    <t>1-39森の境</t>
    <rPh sb="6" eb="7">
      <t>ｻｶｲ</t>
    </rPh>
    <phoneticPr fontId="1" type="noConversion"/>
  </si>
  <si>
    <t>1-40草原</t>
  </si>
  <si>
    <t>1-41樹林付近</t>
  </si>
  <si>
    <t>1-42樹林</t>
  </si>
  <si>
    <t>CH2</t>
    <phoneticPr fontId="2" type="noConversion"/>
  </si>
  <si>
    <t>2-01小道</t>
    <rPh sb="4" eb="6">
      <t>ｺﾐﾁ</t>
    </rPh>
    <phoneticPr fontId="1" type="noConversion"/>
  </si>
  <si>
    <t>2-02地底の小道</t>
    <rPh sb="7" eb="9">
      <t>ｺﾐﾁ</t>
    </rPh>
    <phoneticPr fontId="1" type="noConversion"/>
  </si>
  <si>
    <t>2-03地底トンネル</t>
  </si>
  <si>
    <t>2-04海の洞窟</t>
  </si>
  <si>
    <t>2-05海底トンネル</t>
  </si>
  <si>
    <t>2-06海底トンネル</t>
  </si>
  <si>
    <t>2-07封印の地</t>
  </si>
  <si>
    <t>2-08分かれ道</t>
  </si>
  <si>
    <t>2-09海底トンネル</t>
  </si>
  <si>
    <t>2-10海の洞窟</t>
  </si>
  <si>
    <t>2-11分かれ道</t>
  </si>
  <si>
    <t>2-12キャンプ</t>
  </si>
  <si>
    <t>2-13遺跡</t>
  </si>
  <si>
    <t>2-14封印の地</t>
  </si>
  <si>
    <t>2-15遺跡</t>
  </si>
  <si>
    <t>2-16遺跡の小道</t>
    <rPh sb="7" eb="9">
      <t>ｺﾐﾁ</t>
    </rPh>
    <phoneticPr fontId="1" type="noConversion"/>
  </si>
  <si>
    <t>2-17遺跡の外周</t>
  </si>
  <si>
    <t>2-18石柱</t>
  </si>
  <si>
    <t>2-19遺跡の中庭</t>
  </si>
  <si>
    <t>2-20遺跡の花園</t>
  </si>
  <si>
    <t>2-21石柱</t>
  </si>
  <si>
    <t>2-22遺跡の内門</t>
  </si>
  <si>
    <t>2-23遺跡のトンネル</t>
  </si>
  <si>
    <t>2-24遺跡の部屋</t>
  </si>
  <si>
    <t>2-25遺跡の部屋</t>
  </si>
  <si>
    <t>2-26遺跡の門</t>
  </si>
  <si>
    <t>2-27遺跡の内門</t>
  </si>
  <si>
    <t>2-28遺跡の広間</t>
    <rPh sb="7" eb="9">
      <t>ﾋﾛﾏ</t>
    </rPh>
    <phoneticPr fontId="1" type="noConversion"/>
  </si>
  <si>
    <t>2-29渦</t>
  </si>
  <si>
    <t>2-30帝都の幻影</t>
  </si>
  <si>
    <t>2-31海城の幻影</t>
  </si>
  <si>
    <t>2-32帝国の幻影</t>
  </si>
  <si>
    <t>2-33遺跡の密室</t>
  </si>
  <si>
    <t>2-34遺跡の密室</t>
  </si>
  <si>
    <t>2-35封印の地</t>
  </si>
  <si>
    <t>2-36海辺</t>
  </si>
  <si>
    <t>2-37海辺</t>
  </si>
  <si>
    <t>2-38街の外</t>
  </si>
  <si>
    <t>2-39街の裏</t>
  </si>
  <si>
    <t>2-40刑場</t>
  </si>
  <si>
    <t>2-41城門</t>
  </si>
  <si>
    <t>2-42封印の地</t>
  </si>
  <si>
    <t>CH3</t>
    <phoneticPr fontId="2" type="noConversion"/>
  </si>
  <si>
    <t>3-01燃燒之地</t>
  </si>
  <si>
    <t>3-02火山附近</t>
  </si>
  <si>
    <t>3-03山壁通道</t>
  </si>
  <si>
    <t>3-04山壁通道</t>
  </si>
  <si>
    <t>3-05吊橋</t>
  </si>
  <si>
    <t>3-06崖邊</t>
  </si>
  <si>
    <t>3-07遺跡附近</t>
    <phoneticPr fontId="2" type="noConversion"/>
  </si>
  <si>
    <t>3-08神秘遺跡</t>
  </si>
  <si>
    <t>3-09遺跡內部</t>
  </si>
  <si>
    <t>3-10遺跡通道</t>
  </si>
  <si>
    <t>3-11遺跡通道</t>
  </si>
  <si>
    <t>3-12遺跡大廳</t>
  </si>
  <si>
    <t>3-13遺跡通道</t>
    <phoneticPr fontId="2" type="noConversion"/>
  </si>
  <si>
    <t>3-14遺跡通道</t>
    <phoneticPr fontId="2" type="noConversion"/>
  </si>
  <si>
    <t>3-15火山附近</t>
  </si>
  <si>
    <t>3-16乾燥平原</t>
  </si>
  <si>
    <t>3-17平原附近</t>
  </si>
  <si>
    <t>3-18沙丘</t>
  </si>
  <si>
    <t>3-19赤色道路</t>
  </si>
  <si>
    <t>3-20小山丘</t>
  </si>
  <si>
    <t>3-21隱密營地</t>
    <phoneticPr fontId="2" type="noConversion"/>
  </si>
  <si>
    <t>3-22沙丘</t>
  </si>
  <si>
    <t>3-23熔岩之路</t>
  </si>
  <si>
    <t>3-24熔岩營帳</t>
  </si>
  <si>
    <t>3-25隱密營地</t>
  </si>
  <si>
    <t>3-26熔岩之路</t>
  </si>
  <si>
    <t>3-27遺跡附近</t>
  </si>
  <si>
    <t>3-28露天遺跡</t>
    <phoneticPr fontId="2" type="noConversion"/>
  </si>
  <si>
    <t>3-29遺跡庭院</t>
  </si>
  <si>
    <t>3-30遺跡附近</t>
  </si>
  <si>
    <t>3-31熔岩之路</t>
  </si>
  <si>
    <t>3-32熔岩營帳</t>
  </si>
  <si>
    <t>3-33休息營區</t>
  </si>
  <si>
    <t>3-34火之營帳</t>
  </si>
  <si>
    <t>3-35遺跡附近</t>
    <phoneticPr fontId="2" type="noConversion"/>
  </si>
  <si>
    <t>3-36神秘遺跡</t>
    <phoneticPr fontId="2" type="noConversion"/>
  </si>
  <si>
    <t>3-37遺跡通道</t>
  </si>
  <si>
    <t>3-38遺跡密室</t>
  </si>
  <si>
    <t>3-39遺跡通道</t>
  </si>
  <si>
    <t>3-40通道盡頭</t>
  </si>
  <si>
    <t>3-41神秘房間</t>
  </si>
  <si>
    <t>3-42傳送陣</t>
    <phoneticPr fontId="2" type="noConversion"/>
  </si>
  <si>
    <t>CH4</t>
    <phoneticPr fontId="2" type="noConversion"/>
  </si>
  <si>
    <t>4-01無名遺跡</t>
    <rPh sb="4" eb="6">
      <t>ムメイ</t>
    </rPh>
    <phoneticPr fontId="1" type="noConversion"/>
  </si>
  <si>
    <t>4-02魔獣洞穴</t>
  </si>
  <si>
    <t>4-03遺跡通路</t>
  </si>
  <si>
    <t>4-04遺跡通路</t>
  </si>
  <si>
    <t>4-05遺跡通路</t>
  </si>
  <si>
    <t>4-06遺跡広間</t>
    <rPh sb="6" eb="8">
      <t>ﾋﾛﾏ</t>
    </rPh>
    <phoneticPr fontId="1" type="noConversion"/>
  </si>
  <si>
    <t>4-07遺跡広間</t>
    <rPh sb="6" eb="8">
      <t>ﾋﾛﾏ</t>
    </rPh>
    <phoneticPr fontId="1" type="noConversion"/>
  </si>
  <si>
    <t>4-08遺跡花園</t>
  </si>
  <si>
    <t>4-09遺跡広場</t>
  </si>
  <si>
    <t>4-10遺跡大門</t>
  </si>
  <si>
    <t>4-11森林</t>
  </si>
  <si>
    <t>4-12森林</t>
  </si>
  <si>
    <t>4-13湖畔</t>
    <rPh sb="4" eb="6">
      <t>コハン</t>
    </rPh>
    <phoneticPr fontId="2" type="noConversion"/>
  </si>
  <si>
    <t>4-14神秘遺跡</t>
  </si>
  <si>
    <t>4-15山中の小道</t>
    <rPh sb="7" eb="9">
      <t>コミチ</t>
    </rPh>
    <phoneticPr fontId="1" type="noConversion"/>
  </si>
  <si>
    <t>4-16霧中の遺跡</t>
  </si>
  <si>
    <t>4-17遺跡内</t>
  </si>
  <si>
    <t>4-18遺跡内</t>
  </si>
  <si>
    <t>4-19遺跡広間</t>
    <rPh sb="6" eb="8">
      <t>ﾋﾛﾏ</t>
    </rPh>
    <phoneticPr fontId="1" type="noConversion"/>
  </si>
  <si>
    <t>4-20遺跡祭壇</t>
  </si>
  <si>
    <t>4-21遺跡通路</t>
  </si>
  <si>
    <t>4-22山中の小道</t>
  </si>
  <si>
    <t>4-23森林</t>
  </si>
  <si>
    <t>4-24森林</t>
  </si>
  <si>
    <t>4-25森林</t>
  </si>
  <si>
    <t>4-26林中の脇道</t>
  </si>
  <si>
    <t>4-27遺跡祭壇</t>
  </si>
  <si>
    <t>4-28思い出の幻境</t>
  </si>
  <si>
    <t>4-29思い出の幻境</t>
  </si>
  <si>
    <t>4-30森林湖畔</t>
  </si>
  <si>
    <t>4-31神秘遺跡</t>
  </si>
  <si>
    <t>4-32遺跡密室</t>
  </si>
  <si>
    <t>4-33遺跡花園</t>
  </si>
  <si>
    <t>4-34遺跡花房</t>
  </si>
  <si>
    <t>4-35思い出の幻境</t>
  </si>
  <si>
    <t>4-36神秘遺跡</t>
  </si>
  <si>
    <t>4-37森林湖畔</t>
  </si>
  <si>
    <t>4-38思い出の幻境</t>
  </si>
  <si>
    <t>4-39幻境戦場</t>
  </si>
  <si>
    <t>4-40幻境戦場</t>
  </si>
  <si>
    <t>4-41幻境戦場</t>
  </si>
  <si>
    <t>4-42転送陣</t>
  </si>
  <si>
    <t>CH5</t>
    <phoneticPr fontId="2" type="noConversion"/>
  </si>
  <si>
    <t>5-01墓地</t>
    <rPh sb="4" eb="6">
      <t>ﾎﾞﾁ</t>
    </rPh>
    <phoneticPr fontId="1" type="noConversion"/>
  </si>
  <si>
    <t>5-02西歩道</t>
  </si>
  <si>
    <t>5-03南歩道</t>
  </si>
  <si>
    <t>5-04北歩道</t>
  </si>
  <si>
    <t>5-05東歩道</t>
  </si>
  <si>
    <t>5-06砂利歩道</t>
  </si>
  <si>
    <t>5-07迷宮</t>
  </si>
  <si>
    <t>5-08東部迷宮</t>
  </si>
  <si>
    <t>5-09東歩道</t>
  </si>
  <si>
    <t>5-10南歩道</t>
  </si>
  <si>
    <t>5-11南部迷宮</t>
  </si>
  <si>
    <t>5-12西部迷宮</t>
  </si>
  <si>
    <t>5-13花園</t>
  </si>
  <si>
    <t>5-14柱門</t>
    <rPh sb="4" eb="5">
      <t>ﾊｼﾗ</t>
    </rPh>
    <rPh sb="5" eb="6">
      <t>ﾓﾝ</t>
    </rPh>
    <phoneticPr fontId="2" type="noConversion"/>
  </si>
  <si>
    <t>5-15花園</t>
  </si>
  <si>
    <t>5-16西部迷宮</t>
  </si>
  <si>
    <t>5-17西歩道</t>
  </si>
  <si>
    <t>5-18脇道</t>
  </si>
  <si>
    <t>5-19西外輪</t>
  </si>
  <si>
    <t>5-20西歩道</t>
  </si>
  <si>
    <t>5-21郊外</t>
    <rPh sb="4" eb="6">
      <t>コウｶﾞイ</t>
    </rPh>
    <phoneticPr fontId="2" type="noConversion"/>
  </si>
  <si>
    <t>5-22内輪歩道</t>
  </si>
  <si>
    <t>5-23幻境戦場</t>
  </si>
  <si>
    <t>5-24戦場</t>
  </si>
  <si>
    <t>5-25戦場境界</t>
  </si>
  <si>
    <t>5-26荒野</t>
  </si>
  <si>
    <t>5-27迷霧の地</t>
  </si>
  <si>
    <t>5-28霧中の幻境</t>
  </si>
  <si>
    <t>5-29転送陣</t>
  </si>
  <si>
    <t>5-30内輪歩道</t>
  </si>
  <si>
    <t>5-31西歩道</t>
  </si>
  <si>
    <t>5-32西外輪</t>
  </si>
  <si>
    <t>5-33内輪歩道</t>
  </si>
  <si>
    <t>5-34西歩道</t>
  </si>
  <si>
    <t>5-35魔女の墓</t>
  </si>
  <si>
    <t>5-36西歩道</t>
  </si>
  <si>
    <t>5-37転送部屋</t>
    <rPh sb="4" eb="6">
      <t>テンソウ</t>
    </rPh>
    <rPh sb="6" eb="8">
      <t>ヘヤ</t>
    </rPh>
    <phoneticPr fontId="1" type="noConversion"/>
  </si>
  <si>
    <t>5-38転送陣</t>
  </si>
  <si>
    <t>5-39外輪歩道</t>
  </si>
  <si>
    <t>5-40転送陣</t>
  </si>
  <si>
    <t>5-41幻境</t>
  </si>
  <si>
    <t>5-42サキャの幻境</t>
  </si>
  <si>
    <t>導引</t>
    <phoneticPr fontId="2" type="noConversion"/>
  </si>
  <si>
    <t>金色勳章(10)</t>
  </si>
  <si>
    <t>神聖糖果(20g)</t>
  </si>
  <si>
    <t>宿命之果</t>
  </si>
  <si>
    <t>82年蜜酒罐</t>
  </si>
  <si>
    <t>金召優待券</t>
  </si>
  <si>
    <t>母牛角質</t>
  </si>
  <si>
    <t>混合鬃毛</t>
  </si>
  <si>
    <t>秘語沙塵</t>
  </si>
  <si>
    <t>1029</t>
    <phoneticPr fontId="2" type="noConversion"/>
  </si>
  <si>
    <t>1034</t>
    <phoneticPr fontId="2" type="noConversion"/>
  </si>
  <si>
    <t>1035</t>
  </si>
  <si>
    <t>紅利</t>
    <phoneticPr fontId="2" type="noConversion"/>
  </si>
  <si>
    <t>金幣</t>
    <phoneticPr fontId="2" type="noConversion"/>
  </si>
  <si>
    <t>銀幣</t>
    <phoneticPr fontId="2" type="noConversion"/>
  </si>
  <si>
    <t>蜜酒罐</t>
    <phoneticPr fontId="2" type="noConversion"/>
  </si>
  <si>
    <t>AP</t>
    <phoneticPr fontId="2" type="noConversion"/>
  </si>
  <si>
    <t>金色勳章(5)</t>
    <phoneticPr fontId="2" type="noConversion"/>
  </si>
  <si>
    <t>金色勳章(15)</t>
    <phoneticPr fontId="2" type="noConversion"/>
  </si>
  <si>
    <t>測試用英雄選擇箱</t>
    <phoneticPr fontId="2" type="noConversion"/>
  </si>
  <si>
    <t>測試用道具選擇箱</t>
    <phoneticPr fontId="2" type="noConversion"/>
  </si>
  <si>
    <t>全英雄專武</t>
    <phoneticPr fontId="2" type="noConversion"/>
  </si>
  <si>
    <t>鑄造石袋I</t>
    <phoneticPr fontId="2" type="noConversion"/>
  </si>
  <si>
    <t>鑄造石袋II</t>
    <phoneticPr fontId="2" type="noConversion"/>
  </si>
  <si>
    <t>建築使用許可書</t>
    <phoneticPr fontId="2" type="noConversion"/>
  </si>
  <si>
    <t>設備使用許可書</t>
    <phoneticPr fontId="2" type="noConversion"/>
  </si>
  <si>
    <t>魔紋藥水</t>
    <phoneticPr fontId="2" type="noConversion"/>
  </si>
  <si>
    <t>討伐令</t>
    <phoneticPr fontId="2" type="noConversion"/>
  </si>
  <si>
    <t>公會科技重置券</t>
    <phoneticPr fontId="2" type="noConversion"/>
  </si>
  <si>
    <t>氣氛花束</t>
    <phoneticPr fontId="2" type="noConversion"/>
  </si>
  <si>
    <t>高級花束</t>
    <phoneticPr fontId="2" type="noConversion"/>
  </si>
  <si>
    <t>氣氛花束(10份)</t>
    <phoneticPr fontId="2" type="noConversion"/>
  </si>
  <si>
    <t>氣氛花束(20份)</t>
  </si>
  <si>
    <t>氣氛花束(30份)</t>
  </si>
  <si>
    <t>高級花束(10尊)</t>
  </si>
  <si>
    <t>高級花束(20尊)</t>
  </si>
  <si>
    <t>高級花束(30尊)</t>
  </si>
  <si>
    <t>宿命之果(25顆)</t>
    <phoneticPr fontId="2" type="noConversion"/>
  </si>
  <si>
    <t>宿命之果(50顆)</t>
    <phoneticPr fontId="2" type="noConversion"/>
  </si>
  <si>
    <t>宿命之果(100顆)</t>
    <phoneticPr fontId="2" type="noConversion"/>
  </si>
  <si>
    <t>女神贈禮</t>
    <phoneticPr fontId="2" type="noConversion"/>
  </si>
  <si>
    <t>隨選魔獸裝備寶箱</t>
    <phoneticPr fontId="2" type="noConversion"/>
  </si>
  <si>
    <t>英雄契約箱</t>
    <phoneticPr fontId="2" type="noConversion"/>
  </si>
  <si>
    <t>特價福袋</t>
    <rPh sb="0" eb="4">
      <t>ﾊﾞｺ</t>
    </rPh>
    <phoneticPr fontId="1" type="noConversion"/>
  </si>
  <si>
    <t>愛神</t>
  </si>
  <si>
    <t>大地之神</t>
  </si>
  <si>
    <t>光明之神</t>
  </si>
  <si>
    <t>黑夜之神</t>
  </si>
  <si>
    <t>浪濤海神</t>
  </si>
  <si>
    <t>真理先驅</t>
  </si>
  <si>
    <t>冥府死神</t>
  </si>
  <si>
    <t>咒術之神</t>
  </si>
  <si>
    <t>復仇邪神</t>
  </si>
  <si>
    <t>泰坦巨神</t>
  </si>
  <si>
    <t>轟鳴雷神</t>
  </si>
  <si>
    <t>至尊戰神</t>
  </si>
  <si>
    <t>飛鷹羽衣</t>
    <phoneticPr fontId="2" type="noConversion"/>
  </si>
  <si>
    <t>鷲鷹羽衣</t>
    <phoneticPr fontId="2" type="noConversion"/>
  </si>
  <si>
    <t>布拉尼雲船</t>
    <phoneticPr fontId="2" type="noConversion"/>
  </si>
  <si>
    <t>葛羅提的石臼</t>
    <phoneticPr fontId="2" type="noConversion"/>
  </si>
  <si>
    <t>福瑞之馬</t>
    <phoneticPr fontId="2" type="noConversion"/>
  </si>
  <si>
    <t>享樂與榮耀</t>
    <phoneticPr fontId="2" type="noConversion"/>
  </si>
  <si>
    <t>金針短劍</t>
    <phoneticPr fontId="2" type="noConversion"/>
  </si>
  <si>
    <t>擄獲長弓</t>
    <phoneticPr fontId="2" type="noConversion"/>
  </si>
  <si>
    <t>堅毅長征</t>
    <phoneticPr fontId="2" type="noConversion"/>
  </si>
  <si>
    <t>阿里翁權杖</t>
    <phoneticPr fontId="2" type="noConversion"/>
  </si>
  <si>
    <t>阿提卡劍</t>
    <phoneticPr fontId="2" type="noConversion"/>
  </si>
  <si>
    <t>格拉墨的殘影</t>
    <phoneticPr fontId="2" type="noConversion"/>
  </si>
  <si>
    <t>屠龍槍</t>
    <phoneticPr fontId="2" type="noConversion"/>
  </si>
  <si>
    <t>巨人大劍</t>
    <phoneticPr fontId="2" type="noConversion"/>
  </si>
  <si>
    <t>愛情之淚</t>
    <phoneticPr fontId="2" type="noConversion"/>
  </si>
  <si>
    <t>詛咒之弓</t>
    <phoneticPr fontId="2" type="noConversion"/>
  </si>
  <si>
    <t>不屈之槍</t>
    <phoneticPr fontId="2" type="noConversion"/>
  </si>
  <si>
    <t>星座的守護</t>
    <phoneticPr fontId="2" type="noConversion"/>
  </si>
  <si>
    <t>月痕勾爪</t>
    <phoneticPr fontId="2" type="noConversion"/>
  </si>
  <si>
    <t>女神戰斧</t>
    <phoneticPr fontId="2" type="noConversion"/>
  </si>
  <si>
    <t>狩獵短刃</t>
    <phoneticPr fontId="2" type="noConversion"/>
  </si>
  <si>
    <t>謊言與詭計</t>
  </si>
  <si>
    <t>鐵礦</t>
    <phoneticPr fontId="2" type="noConversion"/>
  </si>
  <si>
    <t>銀礦</t>
    <phoneticPr fontId="2" type="noConversion"/>
  </si>
  <si>
    <t>金礦</t>
    <phoneticPr fontId="2" type="noConversion"/>
  </si>
  <si>
    <t>命運寶箱II</t>
    <phoneticPr fontId="2" type="noConversion"/>
  </si>
  <si>
    <t>世界BOSS寶箱</t>
    <phoneticPr fontId="2" type="noConversion"/>
  </si>
  <si>
    <t>巨翼鳥妖討伐箱</t>
    <phoneticPr fontId="2" type="noConversion"/>
  </si>
  <si>
    <t>杜林討伐箱</t>
    <phoneticPr fontId="2" type="noConversion"/>
  </si>
  <si>
    <t>契約召喚素材</t>
    <phoneticPr fontId="2" type="noConversion"/>
  </si>
  <si>
    <t>契約召喚素材</t>
    <phoneticPr fontId="2" type="noConversion"/>
  </si>
  <si>
    <t>雷蒙德的交涉權(N)</t>
    <phoneticPr fontId="2" type="noConversion"/>
  </si>
  <si>
    <t>雷蒙德的交涉權(R)</t>
    <phoneticPr fontId="2" type="noConversion"/>
  </si>
  <si>
    <t>雷蒙德的交涉權(SR)</t>
    <phoneticPr fontId="2" type="noConversion"/>
  </si>
  <si>
    <t>狄克的交涉權(N)</t>
  </si>
  <si>
    <t>狄克的交涉權(R)</t>
    <phoneticPr fontId="2" type="noConversion"/>
  </si>
  <si>
    <t>狄克的交涉權(SR)</t>
    <phoneticPr fontId="2" type="noConversion"/>
  </si>
  <si>
    <t>修的交涉權(N)</t>
  </si>
  <si>
    <t>修的交涉權(R)</t>
    <phoneticPr fontId="2" type="noConversion"/>
  </si>
  <si>
    <t>修的交涉權(SR)</t>
    <phoneticPr fontId="2" type="noConversion"/>
  </si>
  <si>
    <t>阿娜絲的交涉權(N)</t>
  </si>
  <si>
    <t>阿娜絲的交涉權(R)</t>
    <phoneticPr fontId="2" type="noConversion"/>
  </si>
  <si>
    <t>阿娜絲的交涉權(SR)</t>
    <phoneticPr fontId="2" type="noConversion"/>
  </si>
  <si>
    <t>阿妮塔的交涉權(N)</t>
  </si>
  <si>
    <t>阿妮塔的交涉權(R)</t>
    <phoneticPr fontId="2" type="noConversion"/>
  </si>
  <si>
    <t>阿妮塔的交涉權(SR)</t>
    <phoneticPr fontId="2" type="noConversion"/>
  </si>
  <si>
    <t>賽德里克的交涉權(N)</t>
  </si>
  <si>
    <t>賽德里克的交涉權(R)</t>
  </si>
  <si>
    <t>賽德里克的交涉權(SR)</t>
  </si>
  <si>
    <t>亞德拉圖的交涉權(N)</t>
  </si>
  <si>
    <t>亞德拉圖的交涉權(R)</t>
  </si>
  <si>
    <t>亞德拉圖的交涉權(SR)</t>
  </si>
  <si>
    <t>艾維斯的交涉權(N)</t>
  </si>
  <si>
    <t>艾維斯的交涉權(R)</t>
  </si>
  <si>
    <t>艾維斯的交涉權(SR)</t>
  </si>
  <si>
    <t>貝琳達的交涉權(N)</t>
  </si>
  <si>
    <t>貝琳達的交涉權(R)</t>
  </si>
  <si>
    <t>貝琳達的交涉權(SR)</t>
  </si>
  <si>
    <t>路德的交涉權(N)</t>
  </si>
  <si>
    <t>路德的交涉權(R)</t>
  </si>
  <si>
    <t>路德的交涉權(SR)</t>
  </si>
  <si>
    <t>維克多的交涉權(N)</t>
  </si>
  <si>
    <t>維克多的交涉權(R)</t>
  </si>
  <si>
    <t>維克多的交涉權(SR)</t>
  </si>
  <si>
    <t>赫柏特的交涉權(N)</t>
  </si>
  <si>
    <t>赫柏特的交涉權(R)</t>
  </si>
  <si>
    <t>赫柏特的交涉權(SR)</t>
  </si>
  <si>
    <t>卡菈的交涉權(N)</t>
  </si>
  <si>
    <t>卡菈的交涉權(R)</t>
  </si>
  <si>
    <t>卡菈的交涉權(SR)</t>
  </si>
  <si>
    <t>希爾達的交涉權(N)</t>
  </si>
  <si>
    <t>希爾達的交涉權(R)</t>
  </si>
  <si>
    <t>希爾達的交涉權(SR)</t>
  </si>
  <si>
    <t>吉榭爾的交涉權(N)</t>
  </si>
  <si>
    <t>吉榭爾的交涉權(R)</t>
  </si>
  <si>
    <t>吉榭爾的交涉權(SR)</t>
  </si>
  <si>
    <t>畢維斯的交涉權(N)</t>
  </si>
  <si>
    <t>畢維斯的交涉權(R)</t>
  </si>
  <si>
    <t>畢維斯的交涉權(SR)</t>
  </si>
  <si>
    <t>希瑞爾的交涉權(N)</t>
  </si>
  <si>
    <t>希瑞爾的交涉權(R)</t>
  </si>
  <si>
    <t>希瑞爾的交涉權(SR)</t>
  </si>
  <si>
    <t>康拉德的交涉權(N)</t>
  </si>
  <si>
    <t>康拉德的交涉權(R)</t>
  </si>
  <si>
    <t>康拉德的交涉權(SR)</t>
  </si>
  <si>
    <t>辛菲的交涉權(N)</t>
  </si>
  <si>
    <t>辛菲的交涉權(R)</t>
  </si>
  <si>
    <t>辛菲的交涉權(SR)</t>
  </si>
  <si>
    <t>夏佐的交涉權(N)</t>
  </si>
  <si>
    <t>夏佐的交涉權(R)</t>
  </si>
  <si>
    <t>夏佐的交涉權(SR)</t>
  </si>
  <si>
    <t>亞特蘭特的交涉權(N)</t>
  </si>
  <si>
    <t>亞特蘭特的交涉權(R)</t>
  </si>
  <si>
    <t>亞特蘭特的交涉權(SR)</t>
  </si>
  <si>
    <t>艾德可的交涉權(N)</t>
  </si>
  <si>
    <t>艾德可的交涉權(R)</t>
  </si>
  <si>
    <t>艾德可的交涉權(SR)</t>
  </si>
  <si>
    <t>亞瑟的交涉權(N)</t>
  </si>
  <si>
    <t>亞瑟的交涉權(R)</t>
  </si>
  <si>
    <t>亞瑟的交涉權(SR)</t>
  </si>
  <si>
    <t>瑪蒂娜的交涉權(N)</t>
  </si>
  <si>
    <t>瑪蒂娜的交涉權(R)</t>
  </si>
  <si>
    <t>瑪蒂娜的交涉權(SR)</t>
  </si>
  <si>
    <t>歐錫恩的交涉權(N)</t>
  </si>
  <si>
    <t>歐錫恩的交涉權(R)</t>
  </si>
  <si>
    <t>歐錫恩的交涉權(SR)</t>
  </si>
  <si>
    <t>赫爾曼的交涉權(N)</t>
  </si>
  <si>
    <t>赫爾曼的交涉權(R)</t>
  </si>
  <si>
    <t>赫爾曼的交涉權(SR)</t>
  </si>
  <si>
    <t>巴澤爾的交涉權(N)</t>
  </si>
  <si>
    <t>巴澤爾的交涉權(R)</t>
  </si>
  <si>
    <t>巴澤爾的交涉權(SR)</t>
  </si>
  <si>
    <t>妮爾的交涉權(N)</t>
  </si>
  <si>
    <t>妮爾的交涉權(R)</t>
  </si>
  <si>
    <t>妮爾的交涉權(SR)</t>
  </si>
  <si>
    <t>希貝兒的交涉權(N)</t>
  </si>
  <si>
    <t>希貝兒的交涉權(R)</t>
  </si>
  <si>
    <t>希貝兒的交涉權(SR)</t>
  </si>
  <si>
    <t>莎莉絲特的交涉權(N)</t>
  </si>
  <si>
    <t>莎莉絲特的交涉權(R)</t>
  </si>
  <si>
    <t>莎莉絲特的交涉權(SR)</t>
  </si>
  <si>
    <t>戴安娜的交涉權(N)</t>
  </si>
  <si>
    <t>戴安娜的交涉權(R)</t>
  </si>
  <si>
    <t>戴安娜的交涉權(SR)</t>
  </si>
  <si>
    <t>菲比斯的交涉權(N)</t>
  </si>
  <si>
    <t>菲比斯的交涉權(R)</t>
  </si>
  <si>
    <t>菲比斯的交涉權(SR)</t>
  </si>
  <si>
    <t>阿芙蘿黛的交涉權(N)</t>
  </si>
  <si>
    <t>阿芙蘿黛的交涉權(R)</t>
  </si>
  <si>
    <t>阿芙蘿黛的交涉權(SR)</t>
  </si>
  <si>
    <t>布拉德的交涉權(N)</t>
  </si>
  <si>
    <t>布拉德的交涉權(R)</t>
  </si>
  <si>
    <t>布拉德的交涉權(SR)</t>
  </si>
  <si>
    <t>艾多斯的交涉權(N)</t>
  </si>
  <si>
    <t>艾多斯的交涉權(R)</t>
  </si>
  <si>
    <t>艾多斯的交涉權(SR)</t>
  </si>
  <si>
    <t>克利絲汀的交涉權(N)</t>
  </si>
  <si>
    <t>克利絲汀的交涉權(R)</t>
  </si>
  <si>
    <t>克利絲汀的交涉權(SR)</t>
  </si>
  <si>
    <t>紫蘭的交涉權(N)</t>
  </si>
  <si>
    <t>紫蘭的交涉權(R)</t>
  </si>
  <si>
    <t>紫蘭的交涉權(SR)</t>
  </si>
  <si>
    <t>特麗莎的交涉權(N)</t>
  </si>
  <si>
    <t>特麗莎的交涉權(R)</t>
  </si>
  <si>
    <t>特麗莎的交涉權(SR)</t>
  </si>
  <si>
    <t>蕾佳娜的交涉權(N)</t>
  </si>
  <si>
    <t>蕾佳娜的交涉權(R)</t>
  </si>
  <si>
    <t>蕾佳娜的交涉權(SR)</t>
  </si>
  <si>
    <t>古斯塔夫的交涉權(N)</t>
  </si>
  <si>
    <t>古斯塔夫的交涉權(R)</t>
  </si>
  <si>
    <t>古斯塔夫的交涉權(SR)</t>
  </si>
  <si>
    <t>阿諾德的交涉權(N)</t>
  </si>
  <si>
    <t>阿諾德的交涉權(R)</t>
  </si>
  <si>
    <t>阿諾德的交涉權(SR)</t>
  </si>
  <si>
    <t>羅莎的交涉權(N)</t>
  </si>
  <si>
    <t>羅莎的交涉權(R)</t>
  </si>
  <si>
    <t>羅莎的交涉權(SR)</t>
  </si>
  <si>
    <t>伏拉亞的交涉權(N)</t>
  </si>
  <si>
    <t>伏拉亞的交涉權(R)</t>
  </si>
  <si>
    <t>伏拉亞的交涉權(SR)</t>
  </si>
  <si>
    <t>菲利克斯的交涉權(N)</t>
  </si>
  <si>
    <t>菲利克斯的交涉權(R)</t>
  </si>
  <si>
    <t>菲利克斯的交涉權(SR)</t>
  </si>
  <si>
    <t>奧莉薇亞的交涉權(N)</t>
  </si>
  <si>
    <t>奧莉薇亞的交涉權(R)</t>
  </si>
  <si>
    <t>奧莉薇亞的交涉權(SR)</t>
  </si>
  <si>
    <t>曼陀蘿的交涉權(N)</t>
    <phoneticPr fontId="2" type="noConversion"/>
  </si>
  <si>
    <t>曼陀蘿的交涉權(N)</t>
    <phoneticPr fontId="2" type="noConversion"/>
  </si>
  <si>
    <t>曼陀蘿的交涉權(R)</t>
    <phoneticPr fontId="2" type="noConversion"/>
  </si>
  <si>
    <t>曼陀蘿的交涉權(R)</t>
    <phoneticPr fontId="2" type="noConversion"/>
  </si>
  <si>
    <t>曼陀蘿的交涉權(SR)</t>
    <phoneticPr fontId="2" type="noConversion"/>
  </si>
  <si>
    <t>曼陀蘿的交涉權(SR)</t>
    <phoneticPr fontId="2" type="noConversion"/>
  </si>
  <si>
    <t>曼陀蘿的交涉權(SSR)</t>
    <phoneticPr fontId="2" type="noConversion"/>
  </si>
  <si>
    <t>曼陀蘿的交涉權(SSR)</t>
    <phoneticPr fontId="2" type="noConversion"/>
  </si>
  <si>
    <t>曼陀蘿的交涉權(UR)</t>
    <phoneticPr fontId="2" type="noConversion"/>
  </si>
  <si>
    <t>曼陀蘿的交涉權(UR)</t>
    <phoneticPr fontId="2" type="noConversion"/>
  </si>
  <si>
    <t>雷蒙德的交涉權(SR)</t>
  </si>
  <si>
    <t>智慧碎片</t>
  </si>
  <si>
    <t>82年蜜酒罐</t>
    <phoneticPr fontId="2" type="noConversion"/>
  </si>
  <si>
    <t>金色勳章(5)</t>
  </si>
  <si>
    <t>石塊</t>
  </si>
  <si>
    <t>氣氛花束</t>
  </si>
  <si>
    <t>82年蜜酒罐</t>
    <phoneticPr fontId="2" type="noConversion"/>
  </si>
  <si>
    <t>氣氛花束</t>
    <phoneticPr fontId="2" type="noConversion"/>
  </si>
  <si>
    <t>哈耳庇厄之羽</t>
  </si>
  <si>
    <t>銅礦</t>
  </si>
  <si>
    <t>狄克的交涉權(SR)</t>
  </si>
  <si>
    <t>ソール</t>
  </si>
  <si>
    <t>ルーナ</t>
  </si>
  <si>
    <t>盟主の盃</t>
  </si>
  <si>
    <t>ヒールスクロール(小)</t>
  </si>
  <si>
    <t>アタックスクロール(小)</t>
  </si>
  <si>
    <t>ディフェンススクロール(小)</t>
  </si>
  <si>
    <t>ウインドDスクロール(小)</t>
  </si>
  <si>
    <t>ウォーターDスクロール(小)</t>
  </si>
  <si>
    <t>ファイアDスクロール(小)</t>
  </si>
  <si>
    <t>ライトDスクロール(小)</t>
  </si>
  <si>
    <t>ダークDスクロール(小)</t>
  </si>
  <si>
    <t>ウインドRスクロール(小)</t>
  </si>
  <si>
    <t>ウォーターRスクロール(小)</t>
  </si>
  <si>
    <t>ファイアRスクロール(小)</t>
    <phoneticPr fontId="2" type="noConversion"/>
  </si>
  <si>
    <t>ライトRスクロール(小)</t>
  </si>
  <si>
    <t>ダークRスクロール(小)</t>
  </si>
  <si>
    <t>小Pリカバリースクロール(小)</t>
  </si>
  <si>
    <t>Wルーナスクロール</t>
  </si>
  <si>
    <t>ヒールスクロール(中)</t>
  </si>
  <si>
    <t>アタックスクロール(中)</t>
  </si>
  <si>
    <t>ディフェンススクロール(中)</t>
  </si>
  <si>
    <t>ウインドDスクロール(中)</t>
  </si>
  <si>
    <t>ウォーターDスクロール(中)</t>
  </si>
  <si>
    <t>ファイアDスクロール(中)</t>
  </si>
  <si>
    <t>ライトDスクロール(中)</t>
  </si>
  <si>
    <t>ダークDスクロール(中)</t>
  </si>
  <si>
    <t>ウインドRスクロール(中)</t>
  </si>
  <si>
    <t>ウォーターRスクロール(中)</t>
  </si>
  <si>
    <t>ファイアRスクロール(中)</t>
  </si>
  <si>
    <t>ライトRスクロール(中)</t>
  </si>
  <si>
    <t>ダークRスクロール(中)</t>
  </si>
  <si>
    <t>ソールメダル(5)</t>
    <phoneticPr fontId="2" type="noConversion"/>
  </si>
  <si>
    <t>ソールメダル(10)</t>
    <phoneticPr fontId="2" type="noConversion"/>
  </si>
  <si>
    <t>ソールメダル(20)</t>
    <phoneticPr fontId="2" type="noConversion"/>
  </si>
  <si>
    <t>ソールメダル(40)</t>
    <phoneticPr fontId="2" type="noConversion"/>
  </si>
  <si>
    <t>特別装備ボックス(ランク1)</t>
  </si>
  <si>
    <t>装備ボックス(ランク1)</t>
  </si>
  <si>
    <t>エンチャント素材ボックス</t>
  </si>
  <si>
    <t>英雄ボックス(URランク)</t>
  </si>
  <si>
    <t>英雄ボックス(Rランク)</t>
  </si>
  <si>
    <t>英雄ランクアップ素材ボックス</t>
  </si>
  <si>
    <t>トリプルウォレット</t>
  </si>
  <si>
    <t>ルーナボックス</t>
  </si>
  <si>
    <t>盟友の盃ボックス</t>
  </si>
  <si>
    <t>ソールボックス</t>
  </si>
  <si>
    <t>ポテンシャルストーンボックス</t>
  </si>
  <si>
    <t>好感ギフトボックス</t>
  </si>
  <si>
    <t>宿命の果実ボックス</t>
    <rPh sb="3" eb="5">
      <t>ｶｼﾞﾂ</t>
    </rPh>
    <phoneticPr fontId="1" type="noConversion"/>
  </si>
  <si>
    <t>フレンドプレゼントボックス</t>
  </si>
  <si>
    <t>キャンディーボックス</t>
  </si>
  <si>
    <t>資源ボックス</t>
  </si>
  <si>
    <t>ポテンシャルストーンI</t>
  </si>
  <si>
    <t>ポテンシャルストーンII</t>
  </si>
  <si>
    <t>ポテンシャルストーンIII</t>
  </si>
  <si>
    <t>ポテンシャルストーンバッグI</t>
  </si>
  <si>
    <t>ポテンシャルストーンバッグII</t>
  </si>
  <si>
    <t>ポテンシャルストーンバッグIII</t>
  </si>
  <si>
    <t>ポテンシャルストーンバッグIV</t>
  </si>
  <si>
    <t>ポテンシャルストーンバッグV</t>
  </si>
  <si>
    <t>ソール召喚チケット</t>
  </si>
  <si>
    <t>11連ソール召喚チケット</t>
    <rPh sb="2" eb="3">
      <t>ﾚﾝ</t>
    </rPh>
    <phoneticPr fontId="1" type="noConversion"/>
  </si>
  <si>
    <t>ルーナ召喚チケット</t>
  </si>
  <si>
    <t>10連ルーナ召喚チケット</t>
    <rPh sb="2" eb="3">
      <t>ﾚﾝ</t>
    </rPh>
    <phoneticPr fontId="1" type="noConversion"/>
  </si>
  <si>
    <t>フレンド召喚チケット</t>
    <rPh sb="4" eb="6">
      <t>ｼｮｳｶﾝ</t>
    </rPh>
    <phoneticPr fontId="1" type="noConversion"/>
  </si>
  <si>
    <t>10連フレンド召喚チケット</t>
    <rPh sb="2" eb="3">
      <t>ﾚﾝ</t>
    </rPh>
    <rPh sb="7" eb="9">
      <t>ｼｮｳｶﾝ</t>
    </rPh>
    <phoneticPr fontId="1" type="noConversion"/>
  </si>
  <si>
    <t>マジックパス</t>
  </si>
  <si>
    <t>秘蔵のしずく(Rランク)</t>
  </si>
  <si>
    <t>秘蔵のしずく(SRランク)</t>
  </si>
  <si>
    <t>秘蔵のしずく(SSRランク)</t>
  </si>
  <si>
    <t>秘蔵のしずく(URランク)</t>
  </si>
  <si>
    <t>リバイブスクロール</t>
  </si>
  <si>
    <t>ルーナ(100)</t>
  </si>
  <si>
    <t>ルーナ(500)</t>
  </si>
  <si>
    <t>ルーナ(1000)</t>
  </si>
  <si>
    <t>ルーナ(5000)</t>
  </si>
  <si>
    <t>ルーナ(10000)</t>
  </si>
  <si>
    <t>ルーナ(50000)</t>
  </si>
  <si>
    <t>ルーナ(100000)</t>
  </si>
  <si>
    <t>ルーナ(500000)</t>
  </si>
  <si>
    <t>ルーナ(3000)</t>
  </si>
  <si>
    <t>ルーナ(8000)</t>
  </si>
  <si>
    <t>ルーナ(12000)</t>
  </si>
  <si>
    <t>ルーナ(15000)</t>
  </si>
  <si>
    <t>ルーナ(18000)</t>
  </si>
  <si>
    <t>ルーナ(20000)</t>
  </si>
  <si>
    <t>ルーナ(200)</t>
  </si>
  <si>
    <t>ルーナ(300)</t>
  </si>
  <si>
    <t>ルーナ(4000)</t>
  </si>
  <si>
    <t>ルーナ(2000)</t>
  </si>
  <si>
    <t>ルーナ(14000)</t>
  </si>
  <si>
    <t>ルーナ(30000)</t>
  </si>
  <si>
    <t>ルーナ(70000)</t>
  </si>
  <si>
    <t>ルーナ(150000)</t>
  </si>
  <si>
    <t>盟友の盃(100)</t>
  </si>
  <si>
    <t>盟友の盃(500)</t>
  </si>
  <si>
    <t>盟友の盃(1000)</t>
  </si>
  <si>
    <t>盟友の盃(5000)</t>
  </si>
  <si>
    <t>盟友の盃(10000)</t>
  </si>
  <si>
    <t>盟友の盃(50000)</t>
  </si>
  <si>
    <t>盟友の盃(100000)</t>
  </si>
  <si>
    <t>盟友の盃(500000)</t>
  </si>
  <si>
    <t>気品ある花束</t>
    <rPh sb="0" eb="2">
      <t>ｷﾋﾝ</t>
    </rPh>
    <rPh sb="4" eb="6">
      <t>ﾊﾅﾀﾊﾞ</t>
    </rPh>
    <phoneticPr fontId="1" type="noConversion"/>
  </si>
  <si>
    <t>大輪の花束</t>
    <rPh sb="0" eb="2">
      <t>ﾀｲﾘﾝ</t>
    </rPh>
    <rPh sb="3" eb="5">
      <t>ﾊﾅﾀﾊﾞ</t>
    </rPh>
    <phoneticPr fontId="1" type="noConversion"/>
  </si>
  <si>
    <t>82年物の蜂蜜酒</t>
    <rPh sb="5" eb="8">
      <t>ﾊﾁﾐﾂｼｭ</t>
    </rPh>
    <phoneticPr fontId="1" type="noConversion"/>
  </si>
  <si>
    <t>信頼の宝船</t>
    <rPh sb="0" eb="2">
      <t>ｼﾝﾗｲ</t>
    </rPh>
    <rPh sb="3" eb="5">
      <t>ﾀｶﾗﾌﾞﾈ</t>
    </rPh>
    <phoneticPr fontId="1" type="noConversion"/>
  </si>
  <si>
    <t>ホーリーキャンディー(20g)</t>
  </si>
  <si>
    <t>ホーリーキャンディー(40g)</t>
  </si>
  <si>
    <t>ホーリーキャンディー(80g)</t>
  </si>
  <si>
    <t>ホーリーキャンディー(120g)</t>
  </si>
  <si>
    <t>キャンディーパック(小)</t>
  </si>
  <si>
    <t>キャンディーパック(中)</t>
  </si>
  <si>
    <t>キャンディーパック(大)</t>
  </si>
  <si>
    <t>キャンディーパック(特大)</t>
  </si>
  <si>
    <t>アイテムスロット拡張パック</t>
  </si>
  <si>
    <t>英雄スロット拡張パック</t>
    <rPh sb="0" eb="2">
      <t>ｴｲﾕｳ</t>
    </rPh>
    <phoneticPr fontId="1" type="noConversion"/>
  </si>
  <si>
    <t>宿命の果実</t>
    <rPh sb="3" eb="5">
      <t>ｶｼﾞﾂ</t>
    </rPh>
    <phoneticPr fontId="1" type="noConversion"/>
  </si>
  <si>
    <t>マジックパス(10枚)</t>
  </si>
  <si>
    <t>マジックパス(20枚)</t>
  </si>
  <si>
    <t>マジックパス(30枚)</t>
  </si>
  <si>
    <t>マジックパス(40枚)</t>
  </si>
  <si>
    <t>マジックパス(50枚)</t>
  </si>
  <si>
    <t>マジックパス(65枚)</t>
  </si>
  <si>
    <t>気品ある花束(10)</t>
    <rPh sb="0" eb="2">
      <t>ｷﾋﾝ</t>
    </rPh>
    <rPh sb="4" eb="6">
      <t>ﾊﾅﾀﾊﾞ</t>
    </rPh>
    <phoneticPr fontId="1" type="noConversion"/>
  </si>
  <si>
    <t>気品ある花束(20)</t>
  </si>
  <si>
    <t>気品ある花束(30)</t>
  </si>
  <si>
    <t>大輪の花束(10)</t>
    <rPh sb="0" eb="2">
      <t>ﾀｲﾘﾝ</t>
    </rPh>
    <rPh sb="3" eb="5">
      <t>ﾊﾅﾀﾊﾞ</t>
    </rPh>
    <phoneticPr fontId="1" type="noConversion"/>
  </si>
  <si>
    <t>大輪の花束(20)</t>
  </si>
  <si>
    <t>大輪の花束(30)</t>
  </si>
  <si>
    <t>82年物の蜂蜜酒(10)</t>
    <rPh sb="2" eb="4">
      <t>ﾈﾝﾓﾉ</t>
    </rPh>
    <rPh sb="5" eb="8">
      <t>ﾊﾁﾐﾂｼｭ</t>
    </rPh>
    <phoneticPr fontId="1" type="noConversion"/>
  </si>
  <si>
    <t>82年物の蜂蜜酒(20)</t>
  </si>
  <si>
    <t>82年物の蜂蜜酒(30)</t>
  </si>
  <si>
    <t>信頼の宝船(10)</t>
  </si>
  <si>
    <t>信頼の宝船(20)</t>
  </si>
  <si>
    <t>信頼の宝船(30)</t>
  </si>
  <si>
    <t>宿命の果実(25)</t>
    <rPh sb="3" eb="5">
      <t>ｶｼﾞﾂ</t>
    </rPh>
    <phoneticPr fontId="1" type="noConversion"/>
  </si>
  <si>
    <t>宿命の果実(50)</t>
    <phoneticPr fontId="2" type="noConversion"/>
  </si>
  <si>
    <t>宿命の果実(100)</t>
    <phoneticPr fontId="2" type="noConversion"/>
  </si>
  <si>
    <t>女神の贈り物</t>
    <rPh sb="3" eb="4">
      <t>ｵｸ</t>
    </rPh>
    <rPh sb="5" eb="6">
      <t>ﾓﾉ</t>
    </rPh>
    <phoneticPr fontId="1" type="noConversion"/>
  </si>
  <si>
    <t>始まりの装備箱</t>
    <rPh sb="0" eb="1">
      <t>ﾊｼﾞ</t>
    </rPh>
    <rPh sb="6" eb="7">
      <t>ﾊﾞｺ</t>
    </rPh>
    <phoneticPr fontId="1" type="noConversion"/>
  </si>
  <si>
    <t>英雄契約箱</t>
    <rPh sb="4" eb="5">
      <t>ﾊﾞｺ</t>
    </rPh>
    <phoneticPr fontId="1" type="noConversion"/>
  </si>
  <si>
    <t>エリートボーナスボックスI</t>
  </si>
  <si>
    <t>レジェンドボーナスボックスI</t>
  </si>
  <si>
    <t>ブレイブボーナスボックスI</t>
  </si>
  <si>
    <t>ミソロジーボーナスボックスI</t>
  </si>
  <si>
    <t>チャンピオンボーナスボックスI</t>
  </si>
  <si>
    <t>美神の贈り物</t>
    <rPh sb="0" eb="2">
      <t>ﾋﾞｼﾝ</t>
    </rPh>
    <rPh sb="3" eb="4">
      <t>ｵｸ</t>
    </rPh>
    <rPh sb="5" eb="6">
      <t>ﾓﾉ</t>
    </rPh>
    <phoneticPr fontId="1" type="noConversion"/>
  </si>
  <si>
    <t>地神の贈り物</t>
    <rPh sb="3" eb="4">
      <t>ｵｸ</t>
    </rPh>
    <rPh sb="5" eb="6">
      <t>ﾓﾉ</t>
    </rPh>
    <phoneticPr fontId="1" type="noConversion"/>
  </si>
  <si>
    <t>光神の贈り物</t>
    <rPh sb="3" eb="4">
      <t>ｵｸ</t>
    </rPh>
    <rPh sb="5" eb="6">
      <t>ﾓﾉ</t>
    </rPh>
    <phoneticPr fontId="1" type="noConversion"/>
  </si>
  <si>
    <t>闇神の贈り物</t>
    <rPh sb="3" eb="4">
      <t>ｵｸ</t>
    </rPh>
    <rPh sb="5" eb="6">
      <t>ﾓﾉ</t>
    </rPh>
    <phoneticPr fontId="1" type="noConversion"/>
  </si>
  <si>
    <t>海神の贈り物</t>
    <rPh sb="3" eb="4">
      <t>ｵｸ</t>
    </rPh>
    <rPh sb="5" eb="6">
      <t>ﾓﾉ</t>
    </rPh>
    <phoneticPr fontId="1" type="noConversion"/>
  </si>
  <si>
    <t>火神の贈り物</t>
    <rPh sb="3" eb="4">
      <t>ｵｸ</t>
    </rPh>
    <rPh sb="5" eb="6">
      <t>ﾓﾉ</t>
    </rPh>
    <phoneticPr fontId="1" type="noConversion"/>
  </si>
  <si>
    <t>死神の贈り物</t>
    <rPh sb="3" eb="4">
      <t>ｵｸ</t>
    </rPh>
    <rPh sb="5" eb="6">
      <t>ﾓﾉ</t>
    </rPh>
    <phoneticPr fontId="1" type="noConversion"/>
  </si>
  <si>
    <t>風神の贈り物</t>
    <rPh sb="3" eb="4">
      <t>ｵｸ</t>
    </rPh>
    <rPh sb="5" eb="6">
      <t>ﾓﾉ</t>
    </rPh>
    <phoneticPr fontId="1" type="noConversion"/>
  </si>
  <si>
    <t>邪神の贈り物</t>
    <rPh sb="3" eb="4">
      <t>ｵｸ</t>
    </rPh>
    <rPh sb="5" eb="6">
      <t>ﾓﾉ</t>
    </rPh>
    <phoneticPr fontId="1" type="noConversion"/>
  </si>
  <si>
    <t>巨神の贈り物</t>
    <rPh sb="3" eb="4">
      <t>ｵｸ</t>
    </rPh>
    <rPh sb="5" eb="6">
      <t>ﾓﾉ</t>
    </rPh>
    <phoneticPr fontId="1" type="noConversion"/>
  </si>
  <si>
    <t>雷神の贈り物</t>
    <rPh sb="3" eb="4">
      <t>ｵｸ</t>
    </rPh>
    <rPh sb="5" eb="6">
      <t>ﾓﾉ</t>
    </rPh>
    <phoneticPr fontId="1" type="noConversion"/>
  </si>
  <si>
    <t>軍神の贈り物</t>
    <rPh sb="3" eb="4">
      <t>ｵｸ</t>
    </rPh>
    <rPh sb="5" eb="6">
      <t>ﾓﾉ</t>
    </rPh>
    <phoneticPr fontId="1" type="noConversion"/>
  </si>
  <si>
    <t>セレモニーソード</t>
  </si>
  <si>
    <t>セレモニークレイモア</t>
  </si>
  <si>
    <t>セレモニーブレード</t>
  </si>
  <si>
    <t>セレモニーアックス</t>
  </si>
  <si>
    <t>セレモニーハルバード</t>
  </si>
  <si>
    <t>セレモニースタッフ</t>
  </si>
  <si>
    <t>セレモニーボウ</t>
  </si>
  <si>
    <t>セレモニーパッド</t>
  </si>
  <si>
    <t>セレモニーグローブ</t>
  </si>
  <si>
    <t>セレモニーシールド</t>
  </si>
  <si>
    <t>セレモニーヘルム</t>
  </si>
  <si>
    <t>セレモニーリング</t>
  </si>
  <si>
    <t>セレモニーネックレス</t>
  </si>
  <si>
    <t>セレモニーフェザー</t>
  </si>
  <si>
    <t>セレモニー装備ボックス</t>
  </si>
  <si>
    <t>ギガントヘルム</t>
  </si>
  <si>
    <t>イヴィルフォーク</t>
  </si>
  <si>
    <t>パープルフルーツ</t>
  </si>
  <si>
    <t>アウズーンメット</t>
  </si>
  <si>
    <t>ミステリーイヤリング</t>
  </si>
  <si>
    <t>ワイズボトル</t>
  </si>
  <si>
    <t>ハーピーウイング</t>
  </si>
  <si>
    <t>プロテクトファング</t>
  </si>
  <si>
    <t>デリケートリング</t>
  </si>
  <si>
    <t>ブロンドウィッグ</t>
  </si>
  <si>
    <t>グリードリング</t>
  </si>
  <si>
    <t>ブルークリスタル</t>
  </si>
  <si>
    <t>チャームリボン</t>
  </si>
  <si>
    <t>セイレーンカップ</t>
  </si>
  <si>
    <t>クリスタルオーナメント</t>
  </si>
  <si>
    <t>キャンサーアーマー</t>
  </si>
  <si>
    <t>イラブレイトハンマー</t>
  </si>
  <si>
    <t>グレイプニルバインド</t>
  </si>
  <si>
    <t>フレイムジュエル</t>
  </si>
  <si>
    <t>ネザーストーン</t>
  </si>
  <si>
    <t>フェニックスサークレット</t>
  </si>
  <si>
    <t>オレンジフルーツ</t>
  </si>
  <si>
    <t>カタストロフステッキ</t>
  </si>
  <si>
    <t>グリフォンアーマー</t>
  </si>
  <si>
    <t>アンドヴァリリング</t>
  </si>
  <si>
    <t>バーニングハンマー</t>
  </si>
  <si>
    <t>アウベスハット</t>
  </si>
  <si>
    <t>ヘヴンヘルム</t>
  </si>
  <si>
    <t>フィアーアックス</t>
  </si>
  <si>
    <t>ハードハンマー</t>
  </si>
  <si>
    <t>ハニーポエム</t>
  </si>
  <si>
    <t>ポイズンボウ</t>
  </si>
  <si>
    <t>エクリプス</t>
  </si>
  <si>
    <t>ヨルムンガンド</t>
  </si>
  <si>
    <t>フェンリルチェイン</t>
  </si>
  <si>
    <t>巨人の骨</t>
  </si>
  <si>
    <t>海魔の触手</t>
  </si>
  <si>
    <t>混合した血肉</t>
    <rPh sb="0" eb="2">
      <t>ｺﾝｺﾞｳ</t>
    </rPh>
    <phoneticPr fontId="1" type="noConversion"/>
  </si>
  <si>
    <t>牝牛の角</t>
  </si>
  <si>
    <t>ささやきの砂塵</t>
  </si>
  <si>
    <t>知恵の結晶片</t>
    <rPh sb="3" eb="5">
      <t>ｹｯｼｮｳ</t>
    </rPh>
    <rPh sb="5" eb="6">
      <t>ﾍﾝ</t>
    </rPh>
    <phoneticPr fontId="1" type="noConversion"/>
  </si>
  <si>
    <t>ハーピーの羽</t>
  </si>
  <si>
    <t>巨犬の牙</t>
  </si>
  <si>
    <t>精巧な指輪の設計図</t>
    <rPh sb="6" eb="9">
      <t>ｾｯｹｲｽﾞ</t>
    </rPh>
    <phoneticPr fontId="1" type="noConversion"/>
  </si>
  <si>
    <t>精巧なウィッグの設計図</t>
    <rPh sb="8" eb="11">
      <t>ｾｯｹｲｽﾞ</t>
    </rPh>
    <phoneticPr fontId="20" type="noConversion"/>
  </si>
  <si>
    <t>スコールの牙</t>
  </si>
  <si>
    <t>マーメイドの涙粒</t>
  </si>
  <si>
    <t>セイレーンの鱗粉</t>
  </si>
  <si>
    <t>劇毒液</t>
  </si>
  <si>
    <t>クリスタルパウダー</t>
  </si>
  <si>
    <t>硬い蟹の甲羅</t>
  </si>
  <si>
    <t>精巧な槌の設計図</t>
    <rPh sb="5" eb="8">
      <t>ｾｯｹｲｽﾞ</t>
    </rPh>
    <phoneticPr fontId="1" type="noConversion"/>
  </si>
  <si>
    <t>精巧な拘束具の設計図</t>
    <rPh sb="7" eb="10">
      <t>ｾｯｹｲｽﾞ</t>
    </rPh>
    <phoneticPr fontId="1" type="noConversion"/>
  </si>
  <si>
    <t>烈炎の心</t>
  </si>
  <si>
    <t>死者の灰塵</t>
    <rPh sb="0" eb="2">
      <t>ｼｼｬ</t>
    </rPh>
    <phoneticPr fontId="1" type="noConversion"/>
  </si>
  <si>
    <t>不死鳥の翼</t>
  </si>
  <si>
    <t>キメラのたてがみ</t>
  </si>
  <si>
    <t>災厄イノシシの牙</t>
    <rPh sb="0" eb="2">
      <t>ｻｲﾔｸ</t>
    </rPh>
    <phoneticPr fontId="1" type="noConversion"/>
  </si>
  <si>
    <t>グリフォンの毛皮</t>
  </si>
  <si>
    <t>指輪のかけら</t>
  </si>
  <si>
    <t>混乱の言葉</t>
  </si>
  <si>
    <t>黒精霊の布地</t>
    <rPh sb="0" eb="3">
      <t>ｸﾛｾｲﾚｲ</t>
    </rPh>
    <phoneticPr fontId="1" type="noConversion"/>
  </si>
  <si>
    <t>ペガサスの血</t>
  </si>
  <si>
    <t>巨斧のかけら</t>
  </si>
  <si>
    <t>神槌の残骸</t>
    <rPh sb="0" eb="1">
      <t>ｼﾝ</t>
    </rPh>
    <rPh sb="1" eb="2">
      <t>ﾂﾁ</t>
    </rPh>
    <phoneticPr fontId="1" type="noConversion"/>
  </si>
  <si>
    <t>賢者の血</t>
  </si>
  <si>
    <t>毒龍の鱗</t>
  </si>
  <si>
    <t>巨狼の骨</t>
  </si>
  <si>
    <t>巨毒蛇の牙</t>
  </si>
  <si>
    <t>神を呑む魔狼の牙</t>
  </si>
  <si>
    <t>獅子心の鎧</t>
    <rPh sb="0" eb="2">
      <t>ｼｼ</t>
    </rPh>
    <phoneticPr fontId="1" type="noConversion"/>
  </si>
  <si>
    <t>奥義の魔法書</t>
  </si>
  <si>
    <t>破滅の戦槍</t>
    <rPh sb="3" eb="4">
      <t>ｾﾝ</t>
    </rPh>
    <phoneticPr fontId="1" type="noConversion"/>
  </si>
  <si>
    <t>栄誉のマント</t>
  </si>
  <si>
    <t>暴風の猟弓</t>
  </si>
  <si>
    <t>溶岩のグローブ</t>
  </si>
  <si>
    <t>奉納の短剣</t>
  </si>
  <si>
    <t>吸血の魔剣</t>
  </si>
  <si>
    <t>巨人の石錘</t>
  </si>
  <si>
    <t>蛇魔牙の刀</t>
  </si>
  <si>
    <t>光明の杖</t>
    <rPh sb="3" eb="4">
      <t>ﾂｴ</t>
    </rPh>
    <phoneticPr fontId="1" type="noConversion"/>
  </si>
  <si>
    <t>願望の羽ペン</t>
  </si>
  <si>
    <t>聖なるダガー</t>
  </si>
  <si>
    <t>破壊の巨槌</t>
  </si>
  <si>
    <t>オベリスクの聖なる槍</t>
  </si>
  <si>
    <t>獣皮のグローブ</t>
  </si>
  <si>
    <t>ルーンの重盾</t>
  </si>
  <si>
    <t>浄化の長弓</t>
  </si>
  <si>
    <t>平衡の投刀</t>
  </si>
  <si>
    <t>語法のブーツ</t>
    <rPh sb="0" eb="2">
      <t>ｺﾞﾎｳ</t>
    </rPh>
    <phoneticPr fontId="1" type="noConversion"/>
  </si>
  <si>
    <t>鏡の尖盾</t>
    <rPh sb="0" eb="1">
      <t>ｶｶﾞﾐ</t>
    </rPh>
    <phoneticPr fontId="1" type="noConversion"/>
  </si>
  <si>
    <t>栄誉の帝冠</t>
  </si>
  <si>
    <t>雷のベルト</t>
  </si>
  <si>
    <t>翼のリボン</t>
  </si>
  <si>
    <t>ブレイブリー装備ボックス</t>
  </si>
  <si>
    <t>エーギルのヘルメット</t>
  </si>
  <si>
    <t>フロディ</t>
  </si>
  <si>
    <t>リディアの剣</t>
  </si>
  <si>
    <t>デインスリープ</t>
  </si>
  <si>
    <t>ティルビング</t>
  </si>
  <si>
    <t>テュールの剣</t>
  </si>
  <si>
    <t>フルイの魔剣</t>
  </si>
  <si>
    <t>ウェイランの飛行翼</t>
  </si>
  <si>
    <t>アンドファリの黄金</t>
  </si>
  <si>
    <t>グラニ</t>
  </si>
  <si>
    <t>グラム</t>
  </si>
  <si>
    <t>ドラウプニル</t>
  </si>
  <si>
    <t>鷲の羽衣</t>
  </si>
  <si>
    <t>白鳥の羽衣</t>
  </si>
  <si>
    <t>鷹の羽衣</t>
  </si>
  <si>
    <t>至高の王座</t>
  </si>
  <si>
    <t>ブラニの雲船</t>
  </si>
  <si>
    <t>ラーウェンの魔法の投網</t>
  </si>
  <si>
    <t>ロキの魔法の投網</t>
  </si>
  <si>
    <t>グラティの石臼</t>
  </si>
  <si>
    <t>フルイの馬</t>
  </si>
  <si>
    <t>タングニストとタングリスニ</t>
  </si>
  <si>
    <t>アダマンソード</t>
  </si>
  <si>
    <t>ディライトグローリー</t>
  </si>
  <si>
    <t>金色の針剣</t>
    <rPh sb="0" eb="2">
      <t>ｺﾝｼﾞｷ</t>
    </rPh>
    <rPh sb="3" eb="4">
      <t>ハリ</t>
    </rPh>
    <rPh sb="4" eb="5">
      <t>ケン</t>
    </rPh>
    <phoneticPr fontId="1" type="noConversion"/>
  </si>
  <si>
    <t>パンドラボックス</t>
  </si>
  <si>
    <t>心慮の長弓</t>
    <rPh sb="0" eb="2">
      <t>ｼﾝﾘｮ</t>
    </rPh>
    <rPh sb="3" eb="4">
      <t>ナｶﾞ</t>
    </rPh>
    <rPh sb="4" eb="5">
      <t>ユミ</t>
    </rPh>
    <phoneticPr fontId="1" type="noConversion"/>
  </si>
  <si>
    <t>ディターミネイション</t>
  </si>
  <si>
    <t>アリオンの杖</t>
    <rPh sb="5" eb="6">
      <t>ツエ</t>
    </rPh>
    <phoneticPr fontId="1" type="noConversion"/>
  </si>
  <si>
    <t>アティーカの大剣</t>
    <rPh sb="6" eb="7">
      <t>ﾀﾞｲ</t>
    </rPh>
    <rPh sb="7" eb="8">
      <t>ケン</t>
    </rPh>
    <phoneticPr fontId="1" type="noConversion"/>
  </si>
  <si>
    <t>復讐の血刃</t>
    <rPh sb="0" eb="2">
      <t>ﾌｸｼｭｳ</t>
    </rPh>
    <rPh sb="3" eb="4">
      <t>チ</t>
    </rPh>
    <rPh sb="4" eb="5">
      <t>ｼﾞン</t>
    </rPh>
    <phoneticPr fontId="1" type="noConversion"/>
  </si>
  <si>
    <t>グラムシャドウ</t>
  </si>
  <si>
    <t>ドラゴンランス</t>
  </si>
  <si>
    <t>蛮行の巨人剣</t>
    <rPh sb="0" eb="2">
      <t>ﾊﾞﾝｺｳ</t>
    </rPh>
    <rPh sb="3" eb="5">
      <t>キョｼﾞン</t>
    </rPh>
    <rPh sb="5" eb="6">
      <t>ケン</t>
    </rPh>
    <phoneticPr fontId="1" type="noConversion"/>
  </si>
  <si>
    <t>愛情の涙</t>
    <rPh sb="0" eb="2">
      <t>アイｼﾞョウ</t>
    </rPh>
    <rPh sb="3" eb="4">
      <t>ナミﾀﾞ</t>
    </rPh>
    <phoneticPr fontId="1" type="noConversion"/>
  </si>
  <si>
    <t>聖槍オーロラ</t>
    <rPh sb="0" eb="1">
      <t>ｾｲ</t>
    </rPh>
    <rPh sb="1" eb="2">
      <t>ヤリ</t>
    </rPh>
    <phoneticPr fontId="1" type="noConversion"/>
  </si>
  <si>
    <t>呪詛弓</t>
    <rPh sb="0" eb="2">
      <t>ｼﾞｭｿ</t>
    </rPh>
    <rPh sb="2" eb="3">
      <t>ユミ</t>
    </rPh>
    <phoneticPr fontId="1" type="noConversion"/>
  </si>
  <si>
    <t>インヴィクトゥス</t>
  </si>
  <si>
    <t>魔女の祝福</t>
    <rPh sb="0" eb="2">
      <t>ﾏｼﾞｮ</t>
    </rPh>
    <rPh sb="3" eb="5">
      <t>ｼｭｸﾌｸ</t>
    </rPh>
    <phoneticPr fontId="1" type="noConversion"/>
  </si>
  <si>
    <t>星座の守護</t>
    <rPh sb="0" eb="2">
      <t>セイｻﾞ</t>
    </rPh>
    <rPh sb="3" eb="5">
      <t>ｼｭｺﾞ</t>
    </rPh>
    <phoneticPr fontId="1" type="noConversion"/>
  </si>
  <si>
    <t>月の爪痕</t>
    <rPh sb="0" eb="1">
      <t>ツキ</t>
    </rPh>
    <rPh sb="2" eb="4">
      <t>ﾂﾒｱﾄ</t>
    </rPh>
    <phoneticPr fontId="1" type="noConversion"/>
  </si>
  <si>
    <t>ゴディスアクス</t>
  </si>
  <si>
    <t>狩猟の刃</t>
    <rPh sb="0" eb="2">
      <t>ｼｭﾘｮｳ</t>
    </rPh>
    <rPh sb="3" eb="4">
      <t>ﾔｲﾊﾞ</t>
    </rPh>
    <phoneticPr fontId="1" type="noConversion"/>
  </si>
  <si>
    <t>ナックルダスター</t>
  </si>
  <si>
    <t>雷霆剣</t>
    <rPh sb="2" eb="3">
      <t>ケン</t>
    </rPh>
    <phoneticPr fontId="1" type="noConversion"/>
  </si>
  <si>
    <t>勝者の槍</t>
    <rPh sb="0" eb="2">
      <t>ｼｮｳｼｬ</t>
    </rPh>
    <rPh sb="3" eb="4">
      <t>ヤリ</t>
    </rPh>
    <phoneticPr fontId="1" type="noConversion"/>
  </si>
  <si>
    <t>シートライデント</t>
  </si>
  <si>
    <t>テンペスト</t>
  </si>
  <si>
    <t>赤雷の閃槌</t>
    <rPh sb="0" eb="2">
      <t>ｾｷﾗｲ</t>
    </rPh>
    <rPh sb="3" eb="4">
      <t>ｾﾝ</t>
    </rPh>
    <rPh sb="4" eb="5">
      <t>ﾂﾁ</t>
    </rPh>
    <phoneticPr fontId="1" type="noConversion"/>
  </si>
  <si>
    <t>九重天</t>
  </si>
  <si>
    <t>ヒストリーストーン</t>
  </si>
  <si>
    <t>飛鷹の羽冠</t>
    <rPh sb="0" eb="1">
      <t>ト</t>
    </rPh>
    <rPh sb="1" eb="2">
      <t>タカ</t>
    </rPh>
    <phoneticPr fontId="1" type="noConversion"/>
  </si>
  <si>
    <t>月影の弓</t>
    <rPh sb="0" eb="1">
      <t>ツキ</t>
    </rPh>
    <rPh sb="1" eb="2">
      <t>カｹﾞ</t>
    </rPh>
    <rPh sb="3" eb="4">
      <t>ユミ</t>
    </rPh>
    <phoneticPr fontId="1" type="noConversion"/>
  </si>
  <si>
    <t>閃耀の星</t>
    <rPh sb="3" eb="4">
      <t>ホシ</t>
    </rPh>
    <phoneticPr fontId="1" type="noConversion"/>
  </si>
  <si>
    <t>ラヴベルド</t>
  </si>
  <si>
    <t>嘘と悪戯</t>
    <rPh sb="0" eb="1">
      <t>ウソ</t>
    </rPh>
    <rPh sb="2" eb="4">
      <t>イタｽﾞラ</t>
    </rPh>
    <phoneticPr fontId="1" type="noConversion"/>
  </si>
  <si>
    <t>サウンドレス</t>
  </si>
  <si>
    <t>未来の伝書</t>
    <rPh sb="0" eb="2">
      <t>ミライ</t>
    </rPh>
    <rPh sb="3" eb="5">
      <t>ﾃﾞﾝｼｮ</t>
    </rPh>
    <phoneticPr fontId="1" type="noConversion"/>
  </si>
  <si>
    <t>運命の天秤</t>
    <rPh sb="0" eb="2">
      <t>ウンメイ</t>
    </rPh>
    <phoneticPr fontId="1" type="noConversion"/>
  </si>
  <si>
    <t>服従の杖</t>
    <rPh sb="0" eb="2">
      <t>ﾌｸｼﾞｭｳ</t>
    </rPh>
    <phoneticPr fontId="1" type="noConversion"/>
  </si>
  <si>
    <t>黄金の宝冠</t>
    <rPh sb="0" eb="2">
      <t>ｵｳｺﾞﾝ</t>
    </rPh>
    <rPh sb="3" eb="5">
      <t>ﾎｳｶﾝ</t>
    </rPh>
    <phoneticPr fontId="1" type="noConversion"/>
  </si>
  <si>
    <t>戦神の黒槍</t>
    <rPh sb="0" eb="1">
      <t>セン</t>
    </rPh>
    <rPh sb="1" eb="2">
      <t>カミ</t>
    </rPh>
    <rPh sb="3" eb="4">
      <t>ｸﾛ</t>
    </rPh>
    <rPh sb="4" eb="5">
      <t>ヤリ</t>
    </rPh>
    <phoneticPr fontId="1" type="noConversion"/>
  </si>
  <si>
    <t>イチイの狩弓</t>
    <rPh sb="4" eb="5">
      <t>ｶﾘ</t>
    </rPh>
    <rPh sb="5" eb="6">
      <t>ﾕﾐ</t>
    </rPh>
    <phoneticPr fontId="1" type="noConversion"/>
  </si>
  <si>
    <t>稲穂の麗剣</t>
    <rPh sb="0" eb="2">
      <t>ｲﾅﾎ</t>
    </rPh>
    <rPh sb="3" eb="4">
      <t>ﾚｲ</t>
    </rPh>
    <rPh sb="4" eb="5">
      <t>ケン</t>
    </rPh>
    <phoneticPr fontId="1" type="noConversion"/>
  </si>
  <si>
    <t>メテオライトハンマー</t>
  </si>
  <si>
    <t>酒神の杖</t>
    <rPh sb="0" eb="1">
      <t>サケ</t>
    </rPh>
    <rPh sb="1" eb="2">
      <t>カミ</t>
    </rPh>
    <rPh sb="3" eb="4">
      <t>ツエ</t>
    </rPh>
    <phoneticPr fontId="1" type="noConversion"/>
  </si>
  <si>
    <t>魔法のバスケット</t>
    <rPh sb="0" eb="1">
      <t>マ</t>
    </rPh>
    <rPh sb="1" eb="2">
      <t>ホウ</t>
    </rPh>
    <phoneticPr fontId="1" type="noConversion"/>
  </si>
  <si>
    <t>銅鉱</t>
  </si>
  <si>
    <t>鉄鉱</t>
  </si>
  <si>
    <t>銀鉱</t>
  </si>
  <si>
    <t>金鉱</t>
  </si>
  <si>
    <t>運命の宝箱I</t>
  </si>
  <si>
    <t>アウズンブラ討伐ボックス</t>
  </si>
  <si>
    <t>キメラ討伐ボックス</t>
  </si>
  <si>
    <t>スフィンクス討伐ボックス</t>
  </si>
  <si>
    <t>ケイロン討伐ボックス</t>
  </si>
  <si>
    <t>ハーピー討伐ボックス</t>
  </si>
  <si>
    <t>グラム討伐ボックス</t>
  </si>
  <si>
    <t>カリュドーンの猪討伐ボックス</t>
  </si>
  <si>
    <t>グラー討伐ボックス</t>
  </si>
  <si>
    <t>ドゥーリン討伐ボックス</t>
  </si>
  <si>
    <t>スコール討伐ボックス</t>
  </si>
  <si>
    <t>サイクロプス討伐ボックス</t>
  </si>
  <si>
    <t>マーメイド討伐ボックス</t>
  </si>
  <si>
    <t>セイレーン討伐ボックス</t>
  </si>
  <si>
    <t>クラーケン討伐ボックス</t>
  </si>
  <si>
    <t>ビッグヒッポキャンパス討伐ボックス</t>
  </si>
  <si>
    <t>カルキノス討伐ボックス</t>
  </si>
  <si>
    <t>スキュラ討伐ボックス</t>
  </si>
  <si>
    <t>モートソグニル討伐ボックス</t>
  </si>
  <si>
    <t>グレイプニール討伐ボックス</t>
  </si>
  <si>
    <t>ムスペル王討伐ボックス</t>
  </si>
  <si>
    <t>ビッグヘルハウンド討伐ボックス</t>
  </si>
  <si>
    <t>フェニックス討伐ボックス</t>
  </si>
  <si>
    <t>ストロングキメラ討伐ボックス</t>
  </si>
  <si>
    <t>グリフォン討伐ボックス</t>
  </si>
  <si>
    <t>アンドファリ討伐ボックス</t>
  </si>
  <si>
    <t>ブルック討伐ボックス</t>
  </si>
  <si>
    <t>アウベス討伐ボックス</t>
  </si>
  <si>
    <t>スレイプニール討伐ボックス</t>
  </si>
  <si>
    <t>ミノタウロス討伐ボックス</t>
  </si>
  <si>
    <t>シンドリ討伐ボックス</t>
  </si>
  <si>
    <t>ファフニール討伐ボックス</t>
  </si>
  <si>
    <t>ヨルムンガンド討伐ボックス</t>
  </si>
  <si>
    <t>フェンリル討伐ボックス</t>
  </si>
  <si>
    <t>レイモンド契約書(N)</t>
  </si>
  <si>
    <t>レイモンド契約書(R)</t>
  </si>
  <si>
    <t>ディック契約書(N)</t>
  </si>
  <si>
    <t>ディック契約書(R)</t>
  </si>
  <si>
    <t>シュー契約書(N)</t>
  </si>
  <si>
    <t>シュー契約書(R)</t>
  </si>
  <si>
    <t>アナス契約書(N)</t>
  </si>
  <si>
    <t>アナス契約書(R)</t>
  </si>
  <si>
    <t>アニータ契約書(N)</t>
  </si>
  <si>
    <t>アニータ契約書(R)</t>
  </si>
  <si>
    <t>レイモンド的交涉權(N)</t>
  </si>
  <si>
    <t>レイモンド的交涉權(R)</t>
    <phoneticPr fontId="2" type="noConversion"/>
  </si>
  <si>
    <t>レイモンド的交涉權(SR)</t>
  </si>
  <si>
    <t>ディック的交涉權(N)</t>
  </si>
  <si>
    <t>ディック的交涉權(R)</t>
    <phoneticPr fontId="2" type="noConversion"/>
  </si>
  <si>
    <t>ディック的交涉權(SR)</t>
  </si>
  <si>
    <t>シュー的交涉權(N)</t>
  </si>
  <si>
    <t>シュー的交涉權(R)</t>
    <phoneticPr fontId="2" type="noConversion"/>
  </si>
  <si>
    <t>シュー的交涉權(SR)</t>
  </si>
  <si>
    <t>アナス的交涉權(N)</t>
  </si>
  <si>
    <t>アナス的交涉權(R)</t>
    <phoneticPr fontId="2" type="noConversion"/>
  </si>
  <si>
    <t>アナス的交涉權(SR)</t>
  </si>
  <si>
    <t>アニータ的交涉權(N)</t>
    <phoneticPr fontId="2" type="noConversion"/>
  </si>
  <si>
    <t>アニータ的交涉權(R)</t>
    <phoneticPr fontId="2" type="noConversion"/>
  </si>
  <si>
    <t>アニータ的交涉權(SR)</t>
  </si>
  <si>
    <t>セドリックの交渉権(N)</t>
    <phoneticPr fontId="2" type="noConversion"/>
  </si>
  <si>
    <t>セドリックの交渉権(R)</t>
    <phoneticPr fontId="2" type="noConversion"/>
  </si>
  <si>
    <t>セドリックの交渉権(SR)</t>
    <phoneticPr fontId="2" type="noConversion"/>
  </si>
  <si>
    <t>エルドレッドの交渉権(N)</t>
    <phoneticPr fontId="2" type="noConversion"/>
  </si>
  <si>
    <t>エルドレッドの交渉権(R)</t>
    <phoneticPr fontId="2" type="noConversion"/>
  </si>
  <si>
    <t>エルドレッドの交渉権(SR)</t>
    <phoneticPr fontId="2" type="noConversion"/>
  </si>
  <si>
    <t>エイビスの交渉権(N)</t>
  </si>
  <si>
    <t>エイビスの交渉権(R)</t>
  </si>
  <si>
    <t>エイビスの交渉権(SR)</t>
  </si>
  <si>
    <t>べリンダの交渉権(N)</t>
  </si>
  <si>
    <t>べリンダの交渉権(R)</t>
  </si>
  <si>
    <t>べリンダの交渉権(SR)</t>
  </si>
  <si>
    <t>ロッドの交渉権(N)</t>
  </si>
  <si>
    <t>ロッドの交渉権(R)</t>
  </si>
  <si>
    <t>ロッドの交渉権(SR)</t>
  </si>
  <si>
    <t>ビクターの交渉権(N)</t>
  </si>
  <si>
    <t>ビクターの交渉権(R)</t>
  </si>
  <si>
    <t>ビクターの交渉権(SR)</t>
  </si>
  <si>
    <t>ハーバートの交渉権(N)</t>
  </si>
  <si>
    <t>ハーバートの交渉権(R)</t>
  </si>
  <si>
    <t>ハーバートの交渉権(SR)</t>
  </si>
  <si>
    <t>カーラの交渉権(N)</t>
  </si>
  <si>
    <t>カーラの交渉権(R)</t>
  </si>
  <si>
    <t>カーラの交渉権(SR)</t>
  </si>
  <si>
    <t>ヒルダの交渉権(N)</t>
  </si>
  <si>
    <t>ヒルダの交渉権(R)</t>
  </si>
  <si>
    <t>ヒルダの交渉権(SR)</t>
  </si>
  <si>
    <t>ジゼルの交渉権(N)</t>
  </si>
  <si>
    <t>ジゼルの交渉権(R)</t>
  </si>
  <si>
    <t>ジゼルの交渉権(SR)</t>
  </si>
  <si>
    <t>べビスの交渉権(N)</t>
  </si>
  <si>
    <t>べビスの交渉権(R)</t>
  </si>
  <si>
    <t>べビスの交渉権(SR)</t>
  </si>
  <si>
    <t>シュライヤーの交渉権(N)</t>
  </si>
  <si>
    <t>シュライヤーの交渉権(R)</t>
  </si>
  <si>
    <t>シュライヤーの交渉権(SR)</t>
  </si>
  <si>
    <t>コンラッドの交渉権(N)</t>
  </si>
  <si>
    <t>コンラッドの交渉権(R)</t>
  </si>
  <si>
    <t>コンラッドの交渉権(SR)</t>
  </si>
  <si>
    <t>シンフェの交渉権(N)</t>
  </si>
  <si>
    <t>シンフェの交渉権(R)</t>
  </si>
  <si>
    <t>シンフェの交渉権(SR)</t>
  </si>
  <si>
    <t>シャゾの交渉権(N)</t>
  </si>
  <si>
    <t>シャゾの交渉権(R)</t>
  </si>
  <si>
    <t>シャゾの交渉権(SR)</t>
  </si>
  <si>
    <t>アトランタの交渉権(N)</t>
  </si>
  <si>
    <t>アトランタの交渉権(R)</t>
  </si>
  <si>
    <t>アトランタの交渉権(SR)</t>
  </si>
  <si>
    <t>エディックの交渉権(N)</t>
  </si>
  <si>
    <t>エディックの交渉権(R)</t>
  </si>
  <si>
    <t>エディックの交渉権(SR)</t>
  </si>
  <si>
    <t>アーサーの交渉権(N)</t>
  </si>
  <si>
    <t>アーサーの交渉権(R)</t>
  </si>
  <si>
    <t>アーサーの交渉権(SR)</t>
  </si>
  <si>
    <t>マルティナの交渉権(N)</t>
  </si>
  <si>
    <t>マルティナの交渉権(R)</t>
  </si>
  <si>
    <t>マルティナの交渉権(SR)</t>
  </si>
  <si>
    <t>オースンの交渉権(N)</t>
  </si>
  <si>
    <t>オースンの交渉権(R)</t>
  </si>
  <si>
    <t>オースンの交渉権(SR)</t>
  </si>
  <si>
    <t>ヘルマンの交渉権(N)</t>
  </si>
  <si>
    <t>ヘルマンの交渉権(R)</t>
  </si>
  <si>
    <t>ヘルマンの交渉権(SR)</t>
  </si>
  <si>
    <t>バーゼルの交渉権(N)</t>
  </si>
  <si>
    <t>バーゼルの交渉権(R)</t>
  </si>
  <si>
    <t>バーゼルの交渉権(SR)</t>
  </si>
  <si>
    <t>ネルの交渉権(N)</t>
  </si>
  <si>
    <t>ネルの交渉権(R)</t>
  </si>
  <si>
    <t>ネルの交渉権(SR)</t>
  </si>
  <si>
    <t>シビラの交渉権(N)</t>
  </si>
  <si>
    <t>シビラの交渉権(R)</t>
  </si>
  <si>
    <t>シビラの交渉権(SR)</t>
  </si>
  <si>
    <t>セレストの交渉権(N)</t>
  </si>
  <si>
    <t>セレストの交渉権(R)</t>
  </si>
  <si>
    <t>セレストの交渉権(SR)</t>
  </si>
  <si>
    <t>ダイアナの交渉権(N)</t>
  </si>
  <si>
    <t>ダイアナの交渉権(R)</t>
  </si>
  <si>
    <t>ダイアナの交渉権(SR)</t>
  </si>
  <si>
    <t>フェイビスの交渉権(N)</t>
  </si>
  <si>
    <t>フェイビスの交渉権(R)</t>
  </si>
  <si>
    <t>フェイビスの交渉権(SR)</t>
  </si>
  <si>
    <t>アフロディの交渉権(N)</t>
  </si>
  <si>
    <t>アフロディの交渉権(R)</t>
  </si>
  <si>
    <t>アフロディの交渉権(SR)</t>
  </si>
  <si>
    <t>ブラッドの交渉権(N)</t>
  </si>
  <si>
    <t>ブラッドの交渉権(R)</t>
  </si>
  <si>
    <t>ブラッドの交渉権(SR)</t>
  </si>
  <si>
    <t>エディオスの交渉権(N)</t>
  </si>
  <si>
    <t>エディオスの交渉権(R)</t>
  </si>
  <si>
    <t>エディオスの交渉権(SR)</t>
  </si>
  <si>
    <t>クリスティンの交渉権(N)</t>
  </si>
  <si>
    <t>クリスティンの交渉権(R)</t>
  </si>
  <si>
    <t>クリスティンの交渉権(SR)</t>
  </si>
  <si>
    <t>ズランの交渉権(N)</t>
  </si>
  <si>
    <t>ズランの交渉権(R)</t>
  </si>
  <si>
    <t>ズランの交渉権(SR)</t>
  </si>
  <si>
    <t>テレサの交渉権(N)</t>
  </si>
  <si>
    <t>テレサの交渉権(R)</t>
  </si>
  <si>
    <t>テレサの交渉権(SR)</t>
  </si>
  <si>
    <t>レッジーナの交渉権(N)</t>
  </si>
  <si>
    <t>レッジーナの交渉権(R)</t>
  </si>
  <si>
    <t>レッジーナの交渉権(SR)</t>
  </si>
  <si>
    <t>グスタフの交渉権(N)</t>
  </si>
  <si>
    <t>グスタフの交渉権(R)</t>
  </si>
  <si>
    <t>グスタフの交渉権(SR)</t>
  </si>
  <si>
    <t>アーノルドの交渉権(N)</t>
  </si>
  <si>
    <t>アーノルドの交渉権(R)</t>
  </si>
  <si>
    <t>アーノルドの交渉権(SR)</t>
  </si>
  <si>
    <t>ローサの交渉権(N)</t>
  </si>
  <si>
    <t>ローサの交渉権(R)</t>
  </si>
  <si>
    <t>ローサの交渉権(SR)</t>
  </si>
  <si>
    <t>フローラの交渉権(N)</t>
  </si>
  <si>
    <t>フローラの交渉権(R)</t>
  </si>
  <si>
    <t>フローラの交渉権(SR)</t>
  </si>
  <si>
    <t>フェリックスの交渉権(N)</t>
  </si>
  <si>
    <t>フェリックスの交渉権(R)</t>
  </si>
  <si>
    <t>フェリックスの交渉権(SR)</t>
  </si>
  <si>
    <t>オリビアの交渉権(N)</t>
  </si>
  <si>
    <t>オリビアの交渉権(R)</t>
  </si>
  <si>
    <t>オリビアの交渉権(SR)</t>
  </si>
  <si>
    <t>金色勳章(10)</t>
    <phoneticPr fontId="2" type="noConversion"/>
  </si>
  <si>
    <t>巨犬之牙</t>
  </si>
  <si>
    <t>修的交涉權(SR)</t>
  </si>
  <si>
    <t>災禍豬牙</t>
  </si>
  <si>
    <t>精工戒指設計圖</t>
  </si>
  <si>
    <t>精工假髮設計圖</t>
  </si>
  <si>
    <t>斯庫爾之牙</t>
  </si>
  <si>
    <t>1/1001</t>
  </si>
  <si>
    <t>阿妮塔的交涉權(SR)</t>
  </si>
  <si>
    <t>巨人骨骼</t>
  </si>
  <si>
    <t>人魚淚珠</t>
  </si>
  <si>
    <t>海妖鱗粉</t>
  </si>
  <si>
    <t>劇毒汁液</t>
  </si>
  <si>
    <t>水晶藍粉</t>
  </si>
  <si>
    <t>堅硬蟹殼</t>
  </si>
  <si>
    <t>海魔之觸</t>
  </si>
  <si>
    <t>精工之槌設計圖</t>
  </si>
  <si>
    <t>精工拴套設計圖</t>
  </si>
  <si>
    <t>混合血肉</t>
  </si>
  <si>
    <t>死沉灰燼</t>
  </si>
  <si>
    <t>不死鳥羽翼</t>
  </si>
  <si>
    <t>獅鴛皮毛</t>
  </si>
  <si>
    <t>戒指的碎塊</t>
  </si>
  <si>
    <t>混亂之語</t>
  </si>
  <si>
    <t>黑精靈的布塊</t>
  </si>
  <si>
    <t>神駒之血</t>
  </si>
  <si>
    <t>巨斧碎塊</t>
  </si>
  <si>
    <t>鍛造的殘塊</t>
  </si>
  <si>
    <t>賢者之血</t>
  </si>
  <si>
    <t>毒龍麟</t>
  </si>
  <si>
    <t>巨狼之骨</t>
  </si>
  <si>
    <t>巨毒蛇之牙</t>
  </si>
  <si>
    <t>噬神魔狼之牙</t>
  </si>
  <si>
    <t>巡礼者の聖地（初級）</t>
    <rPh sb="7" eb="9">
      <t>ｼｮｷｭｳ</t>
    </rPh>
    <phoneticPr fontId="1" type="noConversion"/>
  </si>
  <si>
    <t>巡礼者の聖地（中級）</t>
    <rPh sb="7" eb="9">
      <t>ﾁｭｳｷｭｳ</t>
    </rPh>
    <phoneticPr fontId="1" type="noConversion"/>
  </si>
  <si>
    <t>巡礼者の聖地（上級）</t>
    <rPh sb="7" eb="9">
      <t>ｼﾞｮｳｷｭｳ</t>
    </rPh>
    <phoneticPr fontId="1" type="noConversion"/>
  </si>
  <si>
    <t>英雄好感道具關卡</t>
    <phoneticPr fontId="2" type="noConversion"/>
  </si>
  <si>
    <t>エトナ火山（初級）</t>
    <rPh sb="6" eb="8">
      <t>ｼｮｷｭｳ</t>
    </rPh>
    <phoneticPr fontId="1" type="noConversion"/>
  </si>
  <si>
    <t>エトナ火山（中級）</t>
    <rPh sb="6" eb="8">
      <t>ﾁｭｳｷｭｳ</t>
    </rPh>
    <phoneticPr fontId="1" type="noConversion"/>
  </si>
  <si>
    <t>エトナ火山（上級）</t>
    <rPh sb="6" eb="8">
      <t>ｼﾞｮｳｷｭｳ</t>
    </rPh>
    <phoneticPr fontId="1" type="noConversion"/>
  </si>
  <si>
    <t>潛能素材關卡</t>
  </si>
  <si>
    <t>深淵海域（初級）</t>
    <rPh sb="5" eb="7">
      <t>ｼｮｷｭｳ</t>
    </rPh>
    <phoneticPr fontId="1" type="noConversion"/>
  </si>
  <si>
    <t>深淵海域（中級）</t>
    <rPh sb="5" eb="7">
      <t>ﾁｭｳｷｭｳ</t>
    </rPh>
    <phoneticPr fontId="1" type="noConversion"/>
  </si>
  <si>
    <t>深淵海域（上級）</t>
    <rPh sb="5" eb="7">
      <t>ｼﾞｮｳｷｭｳ</t>
    </rPh>
    <phoneticPr fontId="1" type="noConversion"/>
  </si>
  <si>
    <t>宿命果實關卡</t>
  </si>
  <si>
    <t>薄暗い秘林（初級）</t>
    <rPh sb="6" eb="8">
      <t>ｼｮｷｭｳ</t>
    </rPh>
    <phoneticPr fontId="1" type="noConversion"/>
  </si>
  <si>
    <t>薄暗い秘林（中級）</t>
    <rPh sb="6" eb="8">
      <t>ﾁｭｳｷｭｳ</t>
    </rPh>
    <phoneticPr fontId="1" type="noConversion"/>
  </si>
  <si>
    <t>薄暗い秘林（上級）</t>
    <rPh sb="6" eb="8">
      <t>ｼﾞｮｳｷｭｳ</t>
    </rPh>
    <phoneticPr fontId="1" type="noConversion"/>
  </si>
  <si>
    <t>英雄經驗關卡</t>
  </si>
  <si>
    <t>霧影峡谷（初級）</t>
    <rPh sb="5" eb="7">
      <t>ｼｮｷｭｳ</t>
    </rPh>
    <phoneticPr fontId="1" type="noConversion"/>
  </si>
  <si>
    <t>霧影峡谷（中級）</t>
    <rPh sb="5" eb="7">
      <t>ﾁｭｳｷｭｳ</t>
    </rPh>
    <phoneticPr fontId="1" type="noConversion"/>
  </si>
  <si>
    <t>霧影峡谷（上級）</t>
    <rPh sb="5" eb="7">
      <t>ｼﾞｮｳｷｭｳ</t>
    </rPh>
    <phoneticPr fontId="1" type="noConversion"/>
  </si>
  <si>
    <t>晶石關卡</t>
  </si>
  <si>
    <t>幻境の墓地（初級）</t>
    <rPh sb="6" eb="8">
      <t>ｼｮｷｭｳ</t>
    </rPh>
    <phoneticPr fontId="1" type="noConversion"/>
  </si>
  <si>
    <t>幻境の墓地（中級）</t>
    <rPh sb="6" eb="8">
      <t>ﾁｭｳｷｭｳ</t>
    </rPh>
    <phoneticPr fontId="1" type="noConversion"/>
  </si>
  <si>
    <t>幻境の墓地（上級）</t>
    <rPh sb="6" eb="8">
      <t>ｼﾞｮｳｷｭｳ</t>
    </rPh>
    <phoneticPr fontId="1" type="noConversion"/>
  </si>
  <si>
    <t>好友贈禮道具關卡</t>
    <phoneticPr fontId="2" type="noConversion"/>
  </si>
  <si>
    <t>ダラスの迷城（初級）</t>
    <rPh sb="7" eb="9">
      <t>ｼｮｷｭｳ</t>
    </rPh>
    <phoneticPr fontId="1" type="noConversion"/>
  </si>
  <si>
    <t>ダラスの迷城（中級）</t>
    <rPh sb="7" eb="9">
      <t>ﾁｭｳｷｭｳ</t>
    </rPh>
    <phoneticPr fontId="1" type="noConversion"/>
  </si>
  <si>
    <t>ダラスの迷城（上級）</t>
    <rPh sb="7" eb="9">
      <t>ｼﾞｮｳｷｭｳ</t>
    </rPh>
    <phoneticPr fontId="1" type="noConversion"/>
  </si>
  <si>
    <t>AP恢復關卡</t>
    <phoneticPr fontId="2" type="noConversion"/>
  </si>
  <si>
    <t>神聖の森(郊外)</t>
    <rPh sb="5" eb="7">
      <t>ｺｳｶﾞｲ</t>
    </rPh>
    <phoneticPr fontId="1" type="noConversion"/>
  </si>
  <si>
    <t>神聖の森(内部)</t>
    <rPh sb="5" eb="7">
      <t>ナイﾌﾞ</t>
    </rPh>
    <phoneticPr fontId="1" type="noConversion"/>
  </si>
  <si>
    <t>神聖の森(深奥)</t>
    <rPh sb="5" eb="7">
      <t>ｼﾝｵｳ</t>
    </rPh>
    <phoneticPr fontId="1" type="noConversion"/>
  </si>
  <si>
    <t>曜日活動關卡</t>
    <phoneticPr fontId="2" type="noConversion"/>
  </si>
  <si>
    <t>鑄造石關卡</t>
    <phoneticPr fontId="2" type="noConversion"/>
  </si>
  <si>
    <t>高級花束</t>
  </si>
  <si>
    <t>潛能神石</t>
  </si>
  <si>
    <t>潛能祕石</t>
  </si>
  <si>
    <t>潛能盧石</t>
  </si>
  <si>
    <t>曼陀蘿的交涉權(N)</t>
  </si>
  <si>
    <t>曼陀蘿的交涉權(R)</t>
  </si>
  <si>
    <t>S評價銀幣4000</t>
    <phoneticPr fontId="2" type="noConversion"/>
  </si>
  <si>
    <t>S評價銀幣10000</t>
    <phoneticPr fontId="2" type="noConversion"/>
  </si>
  <si>
    <t>S評價銀幣18000</t>
    <phoneticPr fontId="2" type="noConversion"/>
  </si>
  <si>
    <t>厚禮之船</t>
  </si>
  <si>
    <t>AP恢復5(每日2次)</t>
    <phoneticPr fontId="2" type="noConversion"/>
  </si>
  <si>
    <t>AP恢復10(每日2次)</t>
    <phoneticPr fontId="2" type="noConversion"/>
  </si>
  <si>
    <t>AP恢復15(每日2次)</t>
    <phoneticPr fontId="2" type="noConversion"/>
  </si>
  <si>
    <t>宿命關卡(專武關卡)</t>
    <phoneticPr fontId="2" type="noConversion"/>
  </si>
  <si>
    <t>メドゥーサの洞穴</t>
    <phoneticPr fontId="2" type="noConversion"/>
  </si>
  <si>
    <t>雷蒙德的交涉權(N)</t>
  </si>
  <si>
    <t>命運寶箱I</t>
  </si>
  <si>
    <t>雷蒙德的交涉權(R)</t>
  </si>
  <si>
    <t>新手導引關卡</t>
    <phoneticPr fontId="2" type="noConversion"/>
  </si>
  <si>
    <t>石塊</t>
    <phoneticPr fontId="2" type="noConversion"/>
  </si>
  <si>
    <t>銅礦</t>
    <phoneticPr fontId="2" type="noConversion"/>
  </si>
  <si>
    <t>玩家用英雄</t>
    <phoneticPr fontId="2" type="noConversion"/>
  </si>
  <si>
    <t>寵物NPC</t>
    <phoneticPr fontId="2" type="noConversion"/>
  </si>
  <si>
    <t>野生幽靈貓</t>
    <phoneticPr fontId="2" type="noConversion"/>
  </si>
  <si>
    <t>立繪2版</t>
    <phoneticPr fontId="2" type="noConversion"/>
  </si>
  <si>
    <t>花環希貝兒</t>
    <phoneticPr fontId="2" type="noConversion"/>
  </si>
  <si>
    <t>魔獸</t>
    <phoneticPr fontId="2" type="noConversion"/>
  </si>
  <si>
    <t>火蠻族士兵</t>
    <phoneticPr fontId="2" type="noConversion"/>
  </si>
  <si>
    <t>鬥士</t>
    <phoneticPr fontId="2" type="noConversion"/>
  </si>
  <si>
    <t>力士</t>
    <phoneticPr fontId="2" type="noConversion"/>
  </si>
  <si>
    <t>暴躁公牛</t>
    <phoneticPr fontId="2" type="noConversion"/>
  </si>
  <si>
    <t>小飛馬</t>
    <phoneticPr fontId="2" type="noConversion"/>
  </si>
  <si>
    <t>大螯怪</t>
    <phoneticPr fontId="2" type="noConversion"/>
  </si>
  <si>
    <t>拉塔托斯克</t>
    <phoneticPr fontId="2" type="noConversion"/>
  </si>
  <si>
    <t>獨眼怪</t>
  </si>
  <si>
    <t>飛馬</t>
    <phoneticPr fontId="2" type="noConversion"/>
  </si>
  <si>
    <t>邪惡龍</t>
    <phoneticPr fontId="2" type="noConversion"/>
  </si>
  <si>
    <t>耶夢加得</t>
    <phoneticPr fontId="2" type="noConversion"/>
  </si>
  <si>
    <t>史瓦帝法利</t>
    <phoneticPr fontId="2" type="noConversion"/>
  </si>
  <si>
    <t>叢林漫步者</t>
    <phoneticPr fontId="2" type="noConversion"/>
  </si>
  <si>
    <t>卡刺努斯</t>
    <phoneticPr fontId="2" type="noConversion"/>
  </si>
  <si>
    <t>巴西利斯克</t>
    <phoneticPr fontId="2" type="noConversion"/>
  </si>
  <si>
    <t>法夫尼爾</t>
    <phoneticPr fontId="2" type="noConversion"/>
  </si>
  <si>
    <t>哈耳庇厄</t>
    <phoneticPr fontId="2" type="noConversion"/>
  </si>
  <si>
    <t>喀戎</t>
    <phoneticPr fontId="2" type="noConversion"/>
  </si>
  <si>
    <t>沙包訓練牛</t>
    <phoneticPr fontId="2" type="noConversion"/>
  </si>
  <si>
    <t>阿娜絲</t>
    <phoneticPr fontId="2" type="noConversion"/>
  </si>
  <si>
    <t>賞金獵人</t>
    <phoneticPr fontId="2" type="noConversion"/>
  </si>
  <si>
    <t>沙包訓練牛(遠程)</t>
    <phoneticPr fontId="2" type="noConversion"/>
  </si>
  <si>
    <t>120秒內死亡逃跑怪物</t>
    <phoneticPr fontId="2" type="noConversion"/>
  </si>
  <si>
    <t>爆食的卡呂冬野豬</t>
    <phoneticPr fontId="2" type="noConversion"/>
  </si>
  <si>
    <t>吞噬的斯庫爾</t>
    <phoneticPr fontId="2" type="noConversion"/>
  </si>
  <si>
    <t>魅音之塞壬</t>
    <phoneticPr fontId="2" type="noConversion"/>
  </si>
  <si>
    <t>匠師格萊普尼爾</t>
    <phoneticPr fontId="2" type="noConversion"/>
  </si>
  <si>
    <t>穆斯佩燃燒者</t>
    <phoneticPr fontId="2" type="noConversion"/>
  </si>
  <si>
    <t>刻耳柏洛斯</t>
    <phoneticPr fontId="2" type="noConversion"/>
  </si>
  <si>
    <t>匠師安德華利</t>
    <phoneticPr fontId="2" type="noConversion"/>
  </si>
  <si>
    <t>世界的耶夢加得</t>
    <phoneticPr fontId="2" type="noConversion"/>
  </si>
  <si>
    <t>幻影梅杜莎</t>
    <phoneticPr fontId="2" type="noConversion"/>
  </si>
  <si>
    <t>幻影斯芬克斯</t>
    <phoneticPr fontId="2" type="noConversion"/>
  </si>
  <si>
    <t>幻影布拉德</t>
    <phoneticPr fontId="2" type="noConversion"/>
  </si>
  <si>
    <t>幻影獨眼霸王</t>
    <phoneticPr fontId="2" type="noConversion"/>
  </si>
  <si>
    <t>幻影卡呂冬</t>
    <phoneticPr fontId="2" type="noConversion"/>
  </si>
  <si>
    <t>幻影古斯塔夫</t>
    <phoneticPr fontId="2" type="noConversion"/>
  </si>
  <si>
    <t>幻影耶夢加得</t>
    <phoneticPr fontId="2" type="noConversion"/>
  </si>
  <si>
    <t>幻影妮爾</t>
    <phoneticPr fontId="2" type="noConversion"/>
  </si>
  <si>
    <t>幻影獅鷲王</t>
    <phoneticPr fontId="2" type="noConversion"/>
  </si>
  <si>
    <t>幻影亞瑟</t>
    <phoneticPr fontId="2" type="noConversion"/>
  </si>
  <si>
    <t>幻影冰巨人法師</t>
    <phoneticPr fontId="2" type="noConversion"/>
  </si>
  <si>
    <t>幻影菲比斯</t>
    <phoneticPr fontId="2" type="noConversion"/>
  </si>
  <si>
    <t>牙勇者</t>
    <phoneticPr fontId="2" type="noConversion"/>
  </si>
  <si>
    <t>羅莎(官方)</t>
    <phoneticPr fontId="2" type="noConversion"/>
  </si>
  <si>
    <t>測試怪</t>
    <phoneticPr fontId="2" type="noConversion"/>
  </si>
  <si>
    <t>哈耳庇厄_測試</t>
    <phoneticPr fontId="2" type="noConversion"/>
  </si>
  <si>
    <t>斯庫拉</t>
    <phoneticPr fontId="2" type="noConversion"/>
  </si>
  <si>
    <t>亞爾曼</t>
  </si>
  <si>
    <t>里格</t>
  </si>
  <si>
    <t>瑪夏</t>
  </si>
  <si>
    <t>伊薇拉</t>
  </si>
  <si>
    <t>米諾斯</t>
  </si>
  <si>
    <t>倪克斯</t>
  </si>
  <si>
    <t>卡莉歐</t>
  </si>
  <si>
    <t>805/883/872/1208/843/943</t>
  </si>
  <si>
    <t>804/891/883/872/843/943</t>
  </si>
  <si>
    <t>802/891/883/872/843/943</t>
  </si>
  <si>
    <t>813/883/872/843/943</t>
  </si>
  <si>
    <t>804/893/883/872/843/943</t>
  </si>
  <si>
    <t>803/883/872/843/943</t>
  </si>
  <si>
    <t>803/882/872/843/943</t>
  </si>
  <si>
    <t>803/891/882/872/843/943</t>
  </si>
  <si>
    <t>803/882/891/872/843/943</t>
  </si>
  <si>
    <t>803/872/882/872/843/943</t>
  </si>
  <si>
    <t>1137/882/872/843/943</t>
  </si>
  <si>
    <t>803/872/882/843/943</t>
  </si>
  <si>
    <t>較遠法術普攻 (水屬性)</t>
  </si>
  <si>
    <t>較遠法術普攻 (火屬性)</t>
  </si>
  <si>
    <t>較遠法術普攻 (光屬性)</t>
  </si>
  <si>
    <t>CD40技能太陽爆裂(火)</t>
    <rPh sb="0" eb="2">
      <t>ﾑｹﾞﾝ</t>
    </rPh>
    <rPh sb="3" eb="4">
      <t>ｵｷ</t>
    </rPh>
    <rPh sb="4" eb="5">
      <t>ｴﾝ</t>
    </rPh>
    <phoneticPr fontId="2" type="noConversion"/>
  </si>
  <si>
    <t>シャープエッジ2</t>
  </si>
  <si>
    <t>ゴースト・ダンス1</t>
  </si>
  <si>
    <t>ゴースト・ダンス2</t>
  </si>
  <si>
    <t>愛による虜2</t>
  </si>
  <si>
    <t>新英雄主動</t>
    <rPh sb="0" eb="5">
      <t>ﾀﾂﾞﾅ</t>
    </rPh>
    <phoneticPr fontId="1" type="noConversion"/>
  </si>
  <si>
    <t>天雷</t>
  </si>
  <si>
    <t>飛鷹之格里芬</t>
  </si>
  <si>
    <t>匠師安德華利</t>
  </si>
  <si>
    <t>匠師布羅克</t>
  </si>
  <si>
    <t>懼日者阿爾維斯</t>
  </si>
  <si>
    <t>思想的斯萊布尼爾</t>
  </si>
  <si>
    <t>殘暴者彌諾陶洛斯</t>
  </si>
  <si>
    <t>匠師辛德里</t>
  </si>
  <si>
    <t>怨怒之葛拉爾</t>
  </si>
  <si>
    <t>詛咒之法夫尼爾</t>
  </si>
  <si>
    <t>吞噬之斯庫爾</t>
  </si>
  <si>
    <t>世界的耶夢加得</t>
  </si>
  <si>
    <t>冬日之芬里爾</t>
  </si>
  <si>
    <t>3001</t>
    <phoneticPr fontId="2" type="noConversion"/>
  </si>
  <si>
    <t>100001</t>
    <phoneticPr fontId="2" type="noConversion"/>
  </si>
  <si>
    <t>100201</t>
    <phoneticPr fontId="2" type="noConversion"/>
  </si>
  <si>
    <t>100301</t>
    <phoneticPr fontId="2" type="noConversion"/>
  </si>
  <si>
    <t>100401</t>
    <phoneticPr fontId="2" type="noConversion"/>
  </si>
  <si>
    <t>100501</t>
    <phoneticPr fontId="2" type="noConversion"/>
  </si>
  <si>
    <t>100601</t>
    <phoneticPr fontId="2" type="noConversion"/>
  </si>
  <si>
    <t>100701</t>
    <phoneticPr fontId="2" type="noConversion"/>
  </si>
  <si>
    <t>100801</t>
    <phoneticPr fontId="2" type="noConversion"/>
  </si>
  <si>
    <t>100901</t>
    <phoneticPr fontId="2" type="noConversion"/>
  </si>
  <si>
    <t>101001</t>
    <phoneticPr fontId="2" type="noConversion"/>
  </si>
  <si>
    <t>101101</t>
    <phoneticPr fontId="2" type="noConversion"/>
  </si>
  <si>
    <t>101201</t>
    <phoneticPr fontId="2" type="noConversion"/>
  </si>
  <si>
    <t>101301</t>
    <phoneticPr fontId="2" type="noConversion"/>
  </si>
  <si>
    <t>101401</t>
    <phoneticPr fontId="2" type="noConversion"/>
  </si>
  <si>
    <t>101501</t>
    <phoneticPr fontId="2" type="noConversion"/>
  </si>
  <si>
    <t>101601</t>
    <phoneticPr fontId="2" type="noConversion"/>
  </si>
  <si>
    <t>101701</t>
    <phoneticPr fontId="2" type="noConversion"/>
  </si>
  <si>
    <t>101801</t>
    <phoneticPr fontId="2" type="noConversion"/>
  </si>
  <si>
    <t>怪物通用普攻</t>
    <phoneticPr fontId="2" type="noConversion"/>
  </si>
  <si>
    <t>斬擊類普通攻擊 (風屬性)</t>
    <phoneticPr fontId="2" type="noConversion"/>
  </si>
  <si>
    <t>斬擊類普通攻擊 (水屬性)</t>
    <phoneticPr fontId="2" type="noConversion"/>
  </si>
  <si>
    <t>斬擊類普通攻擊 (火屬性)</t>
    <phoneticPr fontId="2" type="noConversion"/>
  </si>
  <si>
    <t>斬擊類普通攻擊 (光屬性)</t>
    <phoneticPr fontId="2" type="noConversion"/>
  </si>
  <si>
    <t>斬擊類普通攻擊 (暗屬性)</t>
    <phoneticPr fontId="2" type="noConversion"/>
  </si>
  <si>
    <t>斬擊類普通攻擊 (特殊)</t>
    <phoneticPr fontId="2" type="noConversion"/>
  </si>
  <si>
    <t>刺擊類普通攻擊 (風屬性)</t>
    <phoneticPr fontId="2" type="noConversion"/>
  </si>
  <si>
    <t>刺擊類普通攻擊 (水屬性)</t>
    <phoneticPr fontId="2" type="noConversion"/>
  </si>
  <si>
    <t>刺擊類普通攻擊 (火屬性)</t>
    <phoneticPr fontId="2" type="noConversion"/>
  </si>
  <si>
    <t>刺擊類普通攻擊 (光屬性)</t>
    <phoneticPr fontId="2" type="noConversion"/>
  </si>
  <si>
    <t>刺擊類普通攻擊 (暗屬性)</t>
    <phoneticPr fontId="2" type="noConversion"/>
  </si>
  <si>
    <t>刺擊類普通攻擊 (特殊)</t>
    <phoneticPr fontId="2" type="noConversion"/>
  </si>
  <si>
    <t>撞擊類普通攻擊 (風屬性)</t>
    <phoneticPr fontId="2" type="noConversion"/>
  </si>
  <si>
    <t>撞擊類普通攻擊 (水屬性)</t>
    <phoneticPr fontId="2" type="noConversion"/>
  </si>
  <si>
    <t>撞擊類普通攻擊 (火屬性)</t>
    <phoneticPr fontId="2" type="noConversion"/>
  </si>
  <si>
    <t>撞擊類普通攻擊 (光屬性)</t>
    <phoneticPr fontId="2" type="noConversion"/>
  </si>
  <si>
    <t>撞擊類普通攻擊 (暗屬性)</t>
    <phoneticPr fontId="2" type="noConversion"/>
  </si>
  <si>
    <t>撞擊類普通攻擊 (特殊)</t>
    <phoneticPr fontId="2" type="noConversion"/>
  </si>
  <si>
    <t>迴旋刀刃(風屬性)</t>
    <phoneticPr fontId="2" type="noConversion"/>
  </si>
  <si>
    <t>射擊類普通攻擊 (水屬性)</t>
    <phoneticPr fontId="2" type="noConversion"/>
  </si>
  <si>
    <t>射擊類普通攻擊 (火屬性)</t>
    <phoneticPr fontId="2" type="noConversion"/>
  </si>
  <si>
    <t>射擊類普通攻擊 (光屬性)</t>
    <phoneticPr fontId="2" type="noConversion"/>
  </si>
  <si>
    <t>射擊類普通攻擊 (暗屬性)</t>
    <phoneticPr fontId="2" type="noConversion"/>
  </si>
  <si>
    <t>射擊類普通攻擊 (特殊)</t>
    <phoneticPr fontId="2" type="noConversion"/>
  </si>
  <si>
    <t>轟擊類普通攻擊 (風屬性)</t>
    <phoneticPr fontId="2" type="noConversion"/>
  </si>
  <si>
    <t>轟擊類普通攻擊 (水屬性)</t>
    <phoneticPr fontId="2" type="noConversion"/>
  </si>
  <si>
    <t>轟擊類普通攻擊 (火屬性)</t>
    <phoneticPr fontId="2" type="noConversion"/>
  </si>
  <si>
    <t>轟擊類普通攻擊 (光屬性)</t>
    <phoneticPr fontId="2" type="noConversion"/>
  </si>
  <si>
    <t>轟擊類普通攻擊 (暗屬性)</t>
    <phoneticPr fontId="2" type="noConversion"/>
  </si>
  <si>
    <t>轟擊類普通攻擊 (特殊)</t>
    <phoneticPr fontId="2" type="noConversion"/>
  </si>
  <si>
    <t>轟擊類普通攻擊 (火屬性)(較近)</t>
    <phoneticPr fontId="2" type="noConversion"/>
  </si>
  <si>
    <t>綠光球(風屬性)</t>
    <phoneticPr fontId="2" type="noConversion"/>
  </si>
  <si>
    <t>潑沙(風屬性)</t>
    <phoneticPr fontId="2" type="noConversion"/>
  </si>
  <si>
    <t>丟酒桶(風屬性)</t>
    <phoneticPr fontId="2" type="noConversion"/>
  </si>
  <si>
    <t>刺擊類普通攻擊 (水屬性)(較近)</t>
    <phoneticPr fontId="2" type="noConversion"/>
  </si>
  <si>
    <t>音波(風屬性)</t>
    <phoneticPr fontId="2" type="noConversion"/>
  </si>
  <si>
    <t>測試主動技能</t>
    <phoneticPr fontId="2" type="noConversion"/>
  </si>
  <si>
    <t>測試被動技能</t>
    <phoneticPr fontId="2" type="noConversion"/>
  </si>
  <si>
    <t>自身反擊</t>
    <phoneticPr fontId="2" type="noConversion"/>
  </si>
  <si>
    <t>自身反擊2</t>
    <phoneticPr fontId="2" type="noConversion"/>
  </si>
  <si>
    <t>玩家召喚技能</t>
    <phoneticPr fontId="2" type="noConversion"/>
  </si>
  <si>
    <t>必死反彈傷害</t>
    <phoneticPr fontId="2" type="noConversion"/>
  </si>
  <si>
    <t>通用被動</t>
    <phoneticPr fontId="2" type="noConversion"/>
  </si>
  <si>
    <t>30%除風抗性</t>
    <phoneticPr fontId="2" type="noConversion"/>
  </si>
  <si>
    <t>30%除水抗性</t>
    <phoneticPr fontId="2" type="noConversion"/>
  </si>
  <si>
    <t>30%除光抗性</t>
    <phoneticPr fontId="2" type="noConversion"/>
  </si>
  <si>
    <t>30%除暗抗性</t>
    <phoneticPr fontId="2" type="noConversion"/>
  </si>
  <si>
    <t>30%除火抗性</t>
    <phoneticPr fontId="2" type="noConversion"/>
  </si>
  <si>
    <t>50%除風抗性</t>
    <phoneticPr fontId="2" type="noConversion"/>
  </si>
  <si>
    <t>50%除水抗性</t>
    <phoneticPr fontId="2" type="noConversion"/>
  </si>
  <si>
    <t>50%除光抗性</t>
    <phoneticPr fontId="2" type="noConversion"/>
  </si>
  <si>
    <t>50%除暗抗性</t>
    <phoneticPr fontId="2" type="noConversion"/>
  </si>
  <si>
    <t>50%除火抗性</t>
    <phoneticPr fontId="2" type="noConversion"/>
  </si>
  <si>
    <t>負面時間減免30%</t>
    <phoneticPr fontId="2" type="noConversion"/>
  </si>
  <si>
    <t>50%全抗性</t>
    <phoneticPr fontId="2" type="noConversion"/>
  </si>
  <si>
    <t>進場SP全滿</t>
    <phoneticPr fontId="2" type="noConversion"/>
  </si>
  <si>
    <t>進場SP50</t>
    <phoneticPr fontId="2" type="noConversion"/>
  </si>
  <si>
    <t>進場SP40</t>
    <phoneticPr fontId="2" type="noConversion"/>
  </si>
  <si>
    <t>免疫負面</t>
    <phoneticPr fontId="2" type="noConversion"/>
  </si>
  <si>
    <t>抓取抗性50%</t>
    <phoneticPr fontId="2" type="noConversion"/>
  </si>
  <si>
    <t>流血抗性100%</t>
    <phoneticPr fontId="2" type="noConversion"/>
  </si>
  <si>
    <t>流血抗性95%</t>
    <phoneticPr fontId="2" type="noConversion"/>
  </si>
  <si>
    <t>流血抗性90%</t>
    <phoneticPr fontId="2" type="noConversion"/>
  </si>
  <si>
    <t>流血抗性85%</t>
    <phoneticPr fontId="2" type="noConversion"/>
  </si>
  <si>
    <t>流血抗性80%</t>
    <phoneticPr fontId="2" type="noConversion"/>
  </si>
  <si>
    <t>流血抗性70%</t>
    <phoneticPr fontId="2" type="noConversion"/>
  </si>
  <si>
    <t>流血抗性60%</t>
    <phoneticPr fontId="2" type="noConversion"/>
  </si>
  <si>
    <t>流血抗性50%</t>
    <phoneticPr fontId="2" type="noConversion"/>
  </si>
  <si>
    <t>流血抗性40%</t>
    <phoneticPr fontId="2" type="noConversion"/>
  </si>
  <si>
    <t>流血抗性30%</t>
    <phoneticPr fontId="2" type="noConversion"/>
  </si>
  <si>
    <t>被打有30%機率往後跑</t>
    <phoneticPr fontId="2" type="noConversion"/>
  </si>
  <si>
    <t>被打有10%機率往後跑</t>
    <phoneticPr fontId="2" type="noConversion"/>
  </si>
  <si>
    <t>流血抗性99%</t>
    <phoneticPr fontId="2" type="noConversion"/>
  </si>
  <si>
    <t>無敵</t>
    <phoneticPr fontId="2" type="noConversion"/>
  </si>
  <si>
    <t>嘲諷全場</t>
    <phoneticPr fontId="2" type="noConversion"/>
  </si>
  <si>
    <t>黑化(黑霧+魔法陣特效)</t>
    <phoneticPr fontId="2" type="noConversion"/>
  </si>
  <si>
    <t>5每內死亡</t>
    <phoneticPr fontId="2" type="noConversion"/>
  </si>
  <si>
    <t>1每內死亡</t>
    <phoneticPr fontId="2" type="noConversion"/>
  </si>
  <si>
    <t>60每內死亡</t>
    <phoneticPr fontId="2" type="noConversion"/>
  </si>
  <si>
    <t>召喚物20每內死亡(含黑霧+魔法陣特效)</t>
    <phoneticPr fontId="2" type="noConversion"/>
  </si>
  <si>
    <t>15每內死亡</t>
    <phoneticPr fontId="2" type="noConversion"/>
  </si>
  <si>
    <t>不會移動</t>
    <phoneticPr fontId="2" type="noConversion"/>
  </si>
  <si>
    <t>一直逃跑</t>
    <phoneticPr fontId="2" type="noConversion"/>
  </si>
  <si>
    <t>單體火擊退100普攻擊</t>
    <phoneticPr fontId="2" type="noConversion"/>
  </si>
  <si>
    <t>無法回血</t>
    <phoneticPr fontId="2" type="noConversion"/>
  </si>
  <si>
    <t>擊退90%抗性</t>
    <phoneticPr fontId="2" type="noConversion"/>
  </si>
  <si>
    <t>怪物特殊技能</t>
    <phoneticPr fontId="2" type="noConversion"/>
  </si>
  <si>
    <r>
      <t>獅子衝刺攻擊(光)</t>
    </r>
    <r>
      <rPr>
        <sz val="12"/>
        <rFont val="新細明體"/>
        <family val="1"/>
        <charset val="136"/>
      </rPr>
      <t/>
    </r>
    <phoneticPr fontId="2" type="noConversion"/>
  </si>
  <si>
    <t>獅子衝刺攻擊(光)2_100%機率</t>
    <phoneticPr fontId="2" type="noConversion"/>
  </si>
  <si>
    <t>牛攻擊(風)</t>
    <phoneticPr fontId="2" type="noConversion"/>
  </si>
  <si>
    <t>牛擊退攻擊(風)_20%機率</t>
    <phoneticPr fontId="2" type="noConversion"/>
  </si>
  <si>
    <t>獅老大單體強力扣血</t>
    <phoneticPr fontId="2" type="noConversion"/>
  </si>
  <si>
    <t>牛老大擊退</t>
    <phoneticPr fontId="2" type="noConversion"/>
  </si>
  <si>
    <t>鹿緩速攻擊</t>
    <phoneticPr fontId="2" type="noConversion"/>
  </si>
  <si>
    <t>飛馬每秒回血2%被動</t>
    <phoneticPr fontId="2" type="noConversion"/>
  </si>
  <si>
    <t>大鹿扣全範圍SP(光)</t>
    <phoneticPr fontId="2" type="noConversion"/>
  </si>
  <si>
    <t>大飛馬攻擊往後跑(光)</t>
    <phoneticPr fontId="2" type="noConversion"/>
  </si>
  <si>
    <t>大飛馬攻擊往後跑(光)2_20%機率</t>
    <phoneticPr fontId="2" type="noConversion"/>
  </si>
  <si>
    <t>大飛馬攻擊往後跑(困難)(光)</t>
    <phoneticPr fontId="2" type="noConversion"/>
  </si>
  <si>
    <t>大鹿緩速攻擊</t>
    <phoneticPr fontId="2" type="noConversion"/>
  </si>
  <si>
    <t>大飛馬屬性抗性被動</t>
    <phoneticPr fontId="2" type="noConversion"/>
  </si>
  <si>
    <t>大飛馬每秒回血1%+屬性抗性被動</t>
    <phoneticPr fontId="2" type="noConversion"/>
  </si>
  <si>
    <t>穆斯佩擊退攻擊(火)_30%機率</t>
    <phoneticPr fontId="2" type="noConversion"/>
  </si>
  <si>
    <t>穆斯佩擊退攻擊(火)_40%機率+降防</t>
    <phoneticPr fontId="2" type="noConversion"/>
  </si>
  <si>
    <t>穆斯佩擊退攻擊(火)_50%機率+降防+無法抓取</t>
    <phoneticPr fontId="2" type="noConversion"/>
  </si>
  <si>
    <t>穆斯佩原爆術</t>
    <phoneticPr fontId="2" type="noConversion"/>
  </si>
  <si>
    <t>人魚補血</t>
    <phoneticPr fontId="2" type="noConversion"/>
  </si>
  <si>
    <t>人魚全體睡眠</t>
    <phoneticPr fontId="2" type="noConversion"/>
  </si>
  <si>
    <t>海妖混亂</t>
    <phoneticPr fontId="2" type="noConversion"/>
  </si>
  <si>
    <t>卡律布狄斯(小)自爆_目標傷害+中毒</t>
    <phoneticPr fontId="2" type="noConversion"/>
  </si>
  <si>
    <t>卡律布狄斯(小)自爆2_對自身傷害</t>
    <phoneticPr fontId="2" type="noConversion"/>
  </si>
  <si>
    <t>卡律布狄斯(大)擊退攻擊(水)_100%機率</t>
    <phoneticPr fontId="2" type="noConversion"/>
  </si>
  <si>
    <t>卡律布狄斯(大)反射傷害10%+對風屬性以外抗性30%</t>
    <phoneticPr fontId="2" type="noConversion"/>
  </si>
  <si>
    <t>冰巨人暈眩攻擊(暗)_20%機率</t>
    <phoneticPr fontId="2" type="noConversion"/>
  </si>
  <si>
    <t>冰巨人反射傷害10%</t>
    <phoneticPr fontId="2" type="noConversion"/>
  </si>
  <si>
    <t>法師巨人</t>
    <phoneticPr fontId="2" type="noConversion"/>
  </si>
  <si>
    <t>長老巨_消除負面_攻擊加速</t>
    <phoneticPr fontId="2" type="noConversion"/>
  </si>
  <si>
    <t>尤彌爾暈眩攻擊(暗)</t>
    <phoneticPr fontId="2" type="noConversion"/>
  </si>
  <si>
    <t>尤彌爾暈眩攻擊(暗)2_30%機率施放無敵</t>
    <phoneticPr fontId="2" type="noConversion"/>
  </si>
  <si>
    <t>尤彌爾暈眩冰牙_血量低時施放</t>
    <phoneticPr fontId="2" type="noConversion"/>
  </si>
  <si>
    <t>大飛馬快死施放補血並加速移動</t>
    <phoneticPr fontId="2" type="noConversion"/>
  </si>
  <si>
    <t>豬長距離擊退攻擊(光)_100%機率</t>
    <phoneticPr fontId="2" type="noConversion"/>
  </si>
  <si>
    <t>豬攻擊自身擊退睡眠_100%機率</t>
    <phoneticPr fontId="2" type="noConversion"/>
  </si>
  <si>
    <t>人面獅王範圍暈眩_血量低時施放</t>
    <phoneticPr fontId="2" type="noConversion"/>
  </si>
  <si>
    <t>人馬王全體補血狂暴_血量低時施放</t>
    <phoneticPr fontId="2" type="noConversion"/>
  </si>
  <si>
    <t>人面獅王衝刺_血量低時施放</t>
    <phoneticPr fontId="2" type="noConversion"/>
  </si>
  <si>
    <t>人馬王後退並召喚人面獅王且自身無法回能(讓大技只會放一次)</t>
    <phoneticPr fontId="2" type="noConversion"/>
  </si>
  <si>
    <t>鳥王攻擊</t>
    <phoneticPr fontId="2" type="noConversion"/>
  </si>
  <si>
    <t>鳥王擊退定身</t>
    <phoneticPr fontId="2" type="noConversion"/>
  </si>
  <si>
    <t>螃蟹反射傷害30%對異常狀態免疫</t>
    <phoneticPr fontId="2" type="noConversion"/>
  </si>
  <si>
    <t>海妖王全體混亂</t>
    <phoneticPr fontId="2" type="noConversion"/>
  </si>
  <si>
    <t>巨毒海獸普攻中毒</t>
    <phoneticPr fontId="2" type="noConversion"/>
  </si>
  <si>
    <t>海馬普攻連擊</t>
    <phoneticPr fontId="2" type="noConversion"/>
  </si>
  <si>
    <t>海馬王隨機目標沉默水泡</t>
    <phoneticPr fontId="2" type="noConversion"/>
  </si>
  <si>
    <t>螃蟹王反射傷害10%對異常狀態免疫+BOSS 30%抗性</t>
    <phoneticPr fontId="2" type="noConversion"/>
  </si>
  <si>
    <t>螃蟹王自身範圍擊退暈眩</t>
    <phoneticPr fontId="2" type="noConversion"/>
  </si>
  <si>
    <t>巨毒海獸自爆</t>
    <phoneticPr fontId="2" type="noConversion"/>
  </si>
  <si>
    <t>巨毒海獸自爆2_對自身傷害</t>
    <phoneticPr fontId="2" type="noConversion"/>
  </si>
  <si>
    <t>狗普攻</t>
    <phoneticPr fontId="2" type="noConversion"/>
  </si>
  <si>
    <t>狗王普攻</t>
    <phoneticPr fontId="2" type="noConversion"/>
  </si>
  <si>
    <t>鬃毛豪豬普強力攻擊退暈眩</t>
    <phoneticPr fontId="2" type="noConversion"/>
  </si>
  <si>
    <t>鬃毛豪豬自身擊退並暈眩扣防加速往後跑</t>
    <phoneticPr fontId="2" type="noConversion"/>
  </si>
  <si>
    <t>精靈鼠混亂狀態技能</t>
    <phoneticPr fontId="2" type="noConversion"/>
  </si>
  <si>
    <t>巨型獅鷲_擊退</t>
    <phoneticPr fontId="2" type="noConversion"/>
  </si>
  <si>
    <t>雷金_被動免疫除暗抗性</t>
    <phoneticPr fontId="2" type="noConversion"/>
  </si>
  <si>
    <t>雷金_沉默</t>
    <phoneticPr fontId="2" type="noConversion"/>
  </si>
  <si>
    <t>杜林_全體嘲諷</t>
    <phoneticPr fontId="2" type="noConversion"/>
  </si>
  <si>
    <t>斯庫爾普攻</t>
    <phoneticPr fontId="2" type="noConversion"/>
  </si>
  <si>
    <t>斯庫爾普攻2_回血</t>
    <phoneticPr fontId="2" type="noConversion"/>
  </si>
  <si>
    <t>斯庫爾狂暴技能</t>
    <phoneticPr fontId="2" type="noConversion"/>
  </si>
  <si>
    <t>獨眼巨人普攻擊退</t>
    <phoneticPr fontId="2" type="noConversion"/>
  </si>
  <si>
    <t>獨眼巨人_範圍暈眩技能</t>
    <phoneticPr fontId="2" type="noConversion"/>
  </si>
  <si>
    <t>斯庫拉範圍普攻</t>
    <phoneticPr fontId="2" type="noConversion"/>
  </si>
  <si>
    <t>斯庫拉全體機率恐懼技能</t>
    <phoneticPr fontId="2" type="noConversion"/>
  </si>
  <si>
    <t>火鳥_持續扣血與對除水屬性100%抗性</t>
    <phoneticPr fontId="2" type="noConversion"/>
  </si>
  <si>
    <t>摩索尼爾普攻30%暈眩</t>
    <phoneticPr fontId="2" type="noConversion"/>
  </si>
  <si>
    <t>摩索尼爾普攻20%機率加功速</t>
    <phoneticPr fontId="2" type="noConversion"/>
  </si>
  <si>
    <t>格萊普尼爾普攻30%拉人</t>
    <phoneticPr fontId="2" type="noConversion"/>
  </si>
  <si>
    <t>穆斯佩王範圍普攻+擊退</t>
    <phoneticPr fontId="2" type="noConversion"/>
  </si>
  <si>
    <t>地獄犬烈炎爆破</t>
    <phoneticPr fontId="2" type="noConversion"/>
  </si>
  <si>
    <t>火鳥王_持續扣血與對除水屬性100%抗性</t>
    <phoneticPr fontId="2" type="noConversion"/>
  </si>
  <si>
    <t>火鳥王重生</t>
    <phoneticPr fontId="2" type="noConversion"/>
  </si>
  <si>
    <t>火鳥王全體普攻</t>
    <phoneticPr fontId="2" type="noConversion"/>
  </si>
  <si>
    <t>獅王普攻</t>
    <phoneticPr fontId="2" type="noConversion"/>
  </si>
  <si>
    <t>獅王普攻2_回血</t>
    <phoneticPr fontId="2" type="noConversion"/>
  </si>
  <si>
    <t>地獄犬普攻燃燒</t>
    <phoneticPr fontId="2" type="noConversion"/>
  </si>
  <si>
    <t>刻耳柏洛斯普攻</t>
    <phoneticPr fontId="2" type="noConversion"/>
  </si>
  <si>
    <t>刻耳柏洛斯普攻隨機目標</t>
    <phoneticPr fontId="2" type="noConversion"/>
  </si>
  <si>
    <t>地獄犬王炎爆</t>
    <phoneticPr fontId="2" type="noConversion"/>
  </si>
  <si>
    <t>格里芬攻擊(光)</t>
    <phoneticPr fontId="2" type="noConversion"/>
  </si>
  <si>
    <t>格里芬攻擊(光)吸血</t>
    <phoneticPr fontId="2" type="noConversion"/>
  </si>
  <si>
    <t>翼蜥普攻中毒</t>
    <phoneticPr fontId="2" type="noConversion"/>
  </si>
  <si>
    <t>翼蜥50%除風抗性_被打有20%機率逃跑</t>
    <phoneticPr fontId="2" type="noConversion"/>
  </si>
  <si>
    <t>小米陶暈眩攻擊(光)_25%機率</t>
    <phoneticPr fontId="2" type="noConversion"/>
  </si>
  <si>
    <t>胡金緩移動速攻擊</t>
    <phoneticPr fontId="2" type="noConversion"/>
  </si>
  <si>
    <t>維多福妮爾普攻連擊1(光屬性)</t>
    <phoneticPr fontId="2" type="noConversion"/>
  </si>
  <si>
    <t>米陶諾斯擊退攻擊(暗)_50%機率</t>
    <phoneticPr fontId="2" type="noConversion"/>
  </si>
  <si>
    <t>米陶諾斯暈眩主動</t>
    <phoneticPr fontId="2" type="noConversion"/>
  </si>
  <si>
    <t>米陶諾斯被打加防+除光抗性</t>
    <phoneticPr fontId="2" type="noConversion"/>
  </si>
  <si>
    <t>格里芬龍捲風</t>
    <phoneticPr fontId="2" type="noConversion"/>
  </si>
  <si>
    <t>安德利華混亂攻擊_30%機率</t>
    <phoneticPr fontId="2" type="noConversion"/>
  </si>
  <si>
    <t>安德利華全體混亂</t>
    <phoneticPr fontId="2" type="noConversion"/>
  </si>
  <si>
    <t>布羅克擊退攻擊</t>
    <phoneticPr fontId="2" type="noConversion"/>
  </si>
  <si>
    <t>阿爾維斯全體暈眩普攻</t>
    <phoneticPr fontId="2" type="noConversion"/>
  </si>
  <si>
    <t>斯萊布尼爾普攻隨機目標</t>
    <phoneticPr fontId="2" type="noConversion"/>
  </si>
  <si>
    <t>斯萊布尼爾召喚</t>
    <phoneticPr fontId="2" type="noConversion"/>
  </si>
  <si>
    <t>斯萊布尼爾召喚2</t>
    <phoneticPr fontId="2" type="noConversion"/>
  </si>
  <si>
    <t>召喚飛馬自身扣血</t>
    <phoneticPr fontId="2" type="noConversion"/>
  </si>
  <si>
    <t>卡律布狄斯召喚(簡單)</t>
    <phoneticPr fontId="2" type="noConversion"/>
  </si>
  <si>
    <t>卡律布狄斯召喚(簡單)2</t>
    <phoneticPr fontId="2" type="noConversion"/>
  </si>
  <si>
    <t>卡律布狄斯召喚(一般)</t>
    <phoneticPr fontId="2" type="noConversion"/>
  </si>
  <si>
    <t>卡律布狄斯召喚(一般)2</t>
    <phoneticPr fontId="2" type="noConversion"/>
  </si>
  <si>
    <t>卡律布狄斯召喚(困難)</t>
    <phoneticPr fontId="2" type="noConversion"/>
  </si>
  <si>
    <t>卡律布狄斯召喚(困難)2</t>
    <phoneticPr fontId="2" type="noConversion"/>
  </si>
  <si>
    <t>辛德里攻擊(暗)_100%機率暈眩</t>
    <phoneticPr fontId="2" type="noConversion"/>
  </si>
  <si>
    <t>葛拉爾攻擊(暗)_100%機率降攻速移動速</t>
    <phoneticPr fontId="2" type="noConversion"/>
  </si>
  <si>
    <t>法夫尼爾普攻隨機目標</t>
    <phoneticPr fontId="2" type="noConversion"/>
  </si>
  <si>
    <t>法夫尼爾普攻隨機3名目標</t>
    <phoneticPr fontId="2" type="noConversion"/>
  </si>
  <si>
    <t>法夫尼爾普攻隨機3名目標2</t>
    <phoneticPr fontId="2" type="noConversion"/>
  </si>
  <si>
    <t>斯庫爾自身回血100%爆擊</t>
    <phoneticPr fontId="2" type="noConversion"/>
  </si>
  <si>
    <t>耶夢加得普攻中毒</t>
    <phoneticPr fontId="2" type="noConversion"/>
  </si>
  <si>
    <t>耶夢加得技能機率逃跑</t>
    <phoneticPr fontId="2" type="noConversion"/>
  </si>
  <si>
    <t>耶夢加得30%除光抗性_被打有20%機率逃跑</t>
    <phoneticPr fontId="2" type="noConversion"/>
  </si>
  <si>
    <t>芬里爾範圍燃燒普攻</t>
    <phoneticPr fontId="2" type="noConversion"/>
  </si>
  <si>
    <t>芬里爾火龍捲吸人</t>
    <phoneticPr fontId="2" type="noConversion"/>
  </si>
  <si>
    <t>法夫尼爾30%除光抗性_被打有20%機率逃跑</t>
    <phoneticPr fontId="2" type="noConversion"/>
  </si>
  <si>
    <t>哈耳庇厄擊退定身</t>
    <phoneticPr fontId="2" type="noConversion"/>
  </si>
  <si>
    <t>哈耳庇厄召喚</t>
    <phoneticPr fontId="2" type="noConversion"/>
  </si>
  <si>
    <t>加爾姆普攻_流血</t>
    <phoneticPr fontId="2" type="noConversion"/>
  </si>
  <si>
    <t>加爾姆普攻2_回血機率衝刺</t>
    <phoneticPr fontId="2" type="noConversion"/>
  </si>
  <si>
    <t>牛王自身衝刺</t>
    <phoneticPr fontId="2" type="noConversion"/>
  </si>
  <si>
    <t>邪惡龍普攻隨機目標</t>
    <phoneticPr fontId="2" type="noConversion"/>
  </si>
  <si>
    <t>邪惡龍被打有30%機率逃跑</t>
    <phoneticPr fontId="2" type="noConversion"/>
  </si>
  <si>
    <t>訓練用毒海獸自爆</t>
    <phoneticPr fontId="2" type="noConversion"/>
  </si>
  <si>
    <t>訓練用鳥怪射擊普通攻擊 (風屬性)</t>
    <phoneticPr fontId="2" type="noConversion"/>
  </si>
  <si>
    <t>每秒扣血3%</t>
    <phoneticPr fontId="2" type="noConversion"/>
  </si>
  <si>
    <t>獨眼巨人_全體暈眩</t>
    <phoneticPr fontId="2" type="noConversion"/>
  </si>
  <si>
    <t>自身無敵測試</t>
    <phoneticPr fontId="2" type="noConversion"/>
  </si>
  <si>
    <t>被攻擊觸發暈眩測試</t>
    <phoneticPr fontId="2" type="noConversion"/>
  </si>
  <si>
    <t>勇士衝刺攻擊</t>
    <phoneticPr fontId="2" type="noConversion"/>
  </si>
  <si>
    <t>勇士衝刺攻擊2_30%機率</t>
    <phoneticPr fontId="2" type="noConversion"/>
  </si>
  <si>
    <t>刺客衝刺技能</t>
    <phoneticPr fontId="2" type="noConversion"/>
  </si>
  <si>
    <t>刺客衝刺技能2</t>
    <phoneticPr fontId="2" type="noConversion"/>
  </si>
  <si>
    <t>槍兵普攻流血</t>
    <phoneticPr fontId="2" type="noConversion"/>
  </si>
  <si>
    <t>弓兵普攻2連擊</t>
    <phoneticPr fontId="2" type="noConversion"/>
  </si>
  <si>
    <t>弓兵普攻2連擊2</t>
    <phoneticPr fontId="2" type="noConversion"/>
  </si>
  <si>
    <t>力士擊退攻擊</t>
    <phoneticPr fontId="2" type="noConversion"/>
  </si>
  <si>
    <t>鬥士普攻2連擊</t>
    <phoneticPr fontId="2" type="noConversion"/>
  </si>
  <si>
    <t>鬥士普攻2連擊2</t>
    <phoneticPr fontId="2" type="noConversion"/>
  </si>
  <si>
    <t>力士無敵技能</t>
    <phoneticPr fontId="2" type="noConversion"/>
  </si>
  <si>
    <t>騎士攻擊波及後排</t>
    <phoneticPr fontId="2" type="noConversion"/>
  </si>
  <si>
    <t>術士補血</t>
    <phoneticPr fontId="2" type="noConversion"/>
  </si>
  <si>
    <t>擲矛兵隨機目標</t>
    <phoneticPr fontId="2" type="noConversion"/>
  </si>
  <si>
    <t>刺客進場SP全滿</t>
    <phoneticPr fontId="2" type="noConversion"/>
  </si>
  <si>
    <t>力士自身無敵2</t>
    <phoneticPr fontId="2" type="noConversion"/>
  </si>
  <si>
    <t>卡呂冬野豬自身無敵(開場施放)</t>
    <phoneticPr fontId="2" type="noConversion"/>
  </si>
  <si>
    <t>卡呂冬野豬自身無敵</t>
    <phoneticPr fontId="2" type="noConversion"/>
  </si>
  <si>
    <t>卡呂冬野豬自身無敵(開場施放)2</t>
    <phoneticPr fontId="2" type="noConversion"/>
  </si>
  <si>
    <t>卡呂冬野豬自身無敵2</t>
    <phoneticPr fontId="2" type="noConversion"/>
  </si>
  <si>
    <t>螃蟹防禦</t>
    <phoneticPr fontId="2" type="noConversion"/>
  </si>
  <si>
    <t>螃蟹防禦2</t>
    <phoneticPr fontId="2" type="noConversion"/>
  </si>
  <si>
    <t>人魚王補血+攻速增加狀態</t>
    <phoneticPr fontId="2" type="noConversion"/>
  </si>
  <si>
    <t>耶夢加得技能打後排中毒</t>
    <phoneticPr fontId="2" type="noConversion"/>
  </si>
  <si>
    <t>導引潘朵拉技能</t>
    <phoneticPr fontId="2" type="noConversion"/>
  </si>
  <si>
    <t>導引洛基技能_一段</t>
    <phoneticPr fontId="2" type="noConversion"/>
  </si>
  <si>
    <t>自身加攻擊(AI觸發用)</t>
    <phoneticPr fontId="2" type="noConversion"/>
  </si>
  <si>
    <t>導引洛基技能_二段</t>
    <phoneticPr fontId="2" type="noConversion"/>
  </si>
  <si>
    <t>自身召喚</t>
    <phoneticPr fontId="2" type="noConversion"/>
  </si>
  <si>
    <t>洛基逃跑</t>
    <phoneticPr fontId="2" type="noConversion"/>
  </si>
  <si>
    <t>洛基逃跑2</t>
    <phoneticPr fontId="2" type="noConversion"/>
  </si>
  <si>
    <t>洛基自殺</t>
    <phoneticPr fontId="2" type="noConversion"/>
  </si>
  <si>
    <t>狗撲人</t>
    <phoneticPr fontId="2" type="noConversion"/>
  </si>
  <si>
    <t>狗撲人2</t>
    <phoneticPr fontId="2" type="noConversion"/>
  </si>
  <si>
    <t>不死鳥喊話普攻</t>
    <phoneticPr fontId="2" type="noConversion"/>
  </si>
  <si>
    <t>火鳥王全體普攻2</t>
    <phoneticPr fontId="2" type="noConversion"/>
  </si>
  <si>
    <t>布羅克全體擊退攻擊</t>
    <phoneticPr fontId="2" type="noConversion"/>
  </si>
  <si>
    <t>布羅克逃跑</t>
    <phoneticPr fontId="2" type="noConversion"/>
  </si>
  <si>
    <t>彌諾陶洛斯主動召喚</t>
    <phoneticPr fontId="2" type="noConversion"/>
  </si>
  <si>
    <t>彌諾陶洛斯衝刺並附加AI用狀態</t>
    <phoneticPr fontId="2" type="noConversion"/>
  </si>
  <si>
    <t>彌諾陶洛斯召喚</t>
    <phoneticPr fontId="2" type="noConversion"/>
  </si>
  <si>
    <t>導引潘朵拉普攻(水屬性)</t>
    <phoneticPr fontId="2" type="noConversion"/>
  </si>
  <si>
    <t>吐蜘蛛網(定身)</t>
    <phoneticPr fontId="2" type="noConversion"/>
  </si>
  <si>
    <t>騎士直線型普攻</t>
    <phoneticPr fontId="2" type="noConversion"/>
  </si>
  <si>
    <t>騎士直線型普攻2</t>
    <phoneticPr fontId="2" type="noConversion"/>
  </si>
  <si>
    <t>豬攻擊自身睡眠_100%機率</t>
    <phoneticPr fontId="2" type="noConversion"/>
  </si>
  <si>
    <t>水蝶周圍緩速</t>
    <phoneticPr fontId="2" type="noConversion"/>
  </si>
  <si>
    <t>獅鷲王被動觸發反擊</t>
    <phoneticPr fontId="2" type="noConversion"/>
  </si>
  <si>
    <t>獅鷲王反擊</t>
    <phoneticPr fontId="2" type="noConversion"/>
  </si>
  <si>
    <t>獅鷲王吸人龍捲風</t>
    <phoneticPr fontId="2" type="noConversion"/>
  </si>
  <si>
    <t>風傷BUFF(觸發用)</t>
    <phoneticPr fontId="2" type="noConversion"/>
  </si>
  <si>
    <t>獅鷲王釋放龍捲風</t>
    <phoneticPr fontId="2" type="noConversion"/>
  </si>
  <si>
    <t>風傷BUFF(消除用)</t>
    <phoneticPr fontId="2" type="noConversion"/>
  </si>
  <si>
    <t>小梅杜莎普攻</t>
    <phoneticPr fontId="2" type="noConversion"/>
  </si>
  <si>
    <t>小梅杜莎技能</t>
    <phoneticPr fontId="2" type="noConversion"/>
  </si>
  <si>
    <t>洛基召喚</t>
    <phoneticPr fontId="2" type="noConversion"/>
  </si>
  <si>
    <t>洛基召喚2</t>
    <phoneticPr fontId="2" type="noConversion"/>
  </si>
  <si>
    <t>獨角海馬普攻</t>
    <phoneticPr fontId="2" type="noConversion"/>
  </si>
  <si>
    <t>傷害自身跑速加成</t>
    <phoneticPr fontId="2" type="noConversion"/>
  </si>
  <si>
    <t>獨角海馬噴水海浪</t>
    <phoneticPr fontId="2" type="noConversion"/>
  </si>
  <si>
    <t>獨角海馬被動</t>
    <phoneticPr fontId="2" type="noConversion"/>
  </si>
  <si>
    <t>鳥妖王普攻</t>
    <phoneticPr fontId="2" type="noConversion"/>
  </si>
  <si>
    <t>鳥妖王毒箭雨</t>
    <phoneticPr fontId="2" type="noConversion"/>
  </si>
  <si>
    <t>鳥妖王擊退</t>
    <phoneticPr fontId="2" type="noConversion"/>
  </si>
  <si>
    <t>鳥妖王回復</t>
    <phoneticPr fontId="2" type="noConversion"/>
  </si>
  <si>
    <t>鳥妖王被動</t>
    <phoneticPr fontId="2" type="noConversion"/>
  </si>
  <si>
    <t>魔族弓手普攻</t>
    <phoneticPr fontId="2" type="noConversion"/>
  </si>
  <si>
    <t>魔族弓手觸手技能</t>
    <phoneticPr fontId="2" type="noConversion"/>
  </si>
  <si>
    <t>魅魔法師普攻</t>
    <phoneticPr fontId="2" type="noConversion"/>
  </si>
  <si>
    <t>魅魔法師毒蛇噴火</t>
    <phoneticPr fontId="2" type="noConversion"/>
  </si>
  <si>
    <t>魅魔騎兵四連戳</t>
    <phoneticPr fontId="2" type="noConversion"/>
  </si>
  <si>
    <t>魅魔槍兵龍捲擊退</t>
    <phoneticPr fontId="2" type="noConversion"/>
  </si>
  <si>
    <t>火泰坦普攻</t>
    <phoneticPr fontId="2" type="noConversion"/>
  </si>
  <si>
    <t>火泰坦主動技能</t>
    <phoneticPr fontId="2" type="noConversion"/>
  </si>
  <si>
    <t>螃蟹王召喚</t>
    <phoneticPr fontId="2" type="noConversion"/>
  </si>
  <si>
    <t>火豬撲人</t>
    <phoneticPr fontId="2" type="noConversion"/>
  </si>
  <si>
    <t>火豬撲人2</t>
    <phoneticPr fontId="2" type="noConversion"/>
  </si>
  <si>
    <t>毒蠍中毒普攻</t>
    <phoneticPr fontId="2" type="noConversion"/>
  </si>
  <si>
    <t>獅老大CD普攻</t>
    <phoneticPr fontId="2" type="noConversion"/>
  </si>
  <si>
    <t>叢林漫步者範圍普攻</t>
    <phoneticPr fontId="2" type="noConversion"/>
  </si>
  <si>
    <t>叢林漫步者前撲</t>
    <phoneticPr fontId="2" type="noConversion"/>
  </si>
  <si>
    <t>叢林漫步者自身範圍踏地</t>
    <phoneticPr fontId="2" type="noConversion"/>
  </si>
  <si>
    <t>女冰巨人擊退射擊</t>
    <phoneticPr fontId="2" type="noConversion"/>
  </si>
  <si>
    <t>葛拉爾攻擊(暗)_沉默</t>
    <phoneticPr fontId="2" type="noConversion"/>
  </si>
  <si>
    <t>水蝶靠近時周圍擊退緩速</t>
    <phoneticPr fontId="2" type="noConversion"/>
  </si>
  <si>
    <t>曜日米陶諾斯暈眩主動</t>
    <phoneticPr fontId="2" type="noConversion"/>
  </si>
  <si>
    <t>海德拉分裂</t>
    <phoneticPr fontId="2" type="noConversion"/>
  </si>
  <si>
    <t>天使騎士直線範圍普攻</t>
    <phoneticPr fontId="2" type="noConversion"/>
  </si>
  <si>
    <t>天使騎士直線範圍雷槍</t>
    <phoneticPr fontId="2" type="noConversion"/>
  </si>
  <si>
    <t>天使法師隨機落雷並降低目標傷害</t>
    <phoneticPr fontId="2" type="noConversion"/>
  </si>
  <si>
    <t>長牙烈焰疣豬普攻範圍傷害</t>
    <phoneticPr fontId="2" type="noConversion"/>
  </si>
  <si>
    <t>長牙烈焰疣豬範圍衝擊燃燒</t>
    <phoneticPr fontId="2" type="noConversion"/>
  </si>
  <si>
    <t>熔岩挖掘者遠程熔岩爆破</t>
    <phoneticPr fontId="2" type="noConversion"/>
  </si>
  <si>
    <t>常態溫光水蝶範圍水傷</t>
    <phoneticPr fontId="2" type="noConversion"/>
  </si>
  <si>
    <t>樹林漫步者回復隊友血量</t>
    <phoneticPr fontId="2" type="noConversion"/>
  </si>
  <si>
    <t>樹林漫步者自身buff</t>
    <phoneticPr fontId="2" type="noConversion"/>
  </si>
  <si>
    <t>天使長普攻20%機率擊退</t>
    <phoneticPr fontId="2" type="noConversion"/>
  </si>
  <si>
    <t>天使長每15秒施放範圍暈眩攻擊</t>
    <phoneticPr fontId="2" type="noConversion"/>
  </si>
  <si>
    <t>天使長被攻擊10%機率提升攻速及回復生命</t>
    <phoneticPr fontId="2" type="noConversion"/>
  </si>
  <si>
    <t>天使長召喚天使法師及天使騎兵</t>
    <phoneticPr fontId="2" type="noConversion"/>
  </si>
  <si>
    <t>火髶烈焰疣豬普攻燃燒</t>
    <phoneticPr fontId="2" type="noConversion"/>
  </si>
  <si>
    <t>近距離普攻擊退敵方單體+暈眩</t>
    <phoneticPr fontId="2" type="noConversion"/>
  </si>
  <si>
    <t>火髶烈焰疣豬主動範圍擊退</t>
    <phoneticPr fontId="2" type="noConversion"/>
  </si>
  <si>
    <t>火髶烈焰疣豬召喚火豬(HP低於50%)</t>
    <phoneticPr fontId="2" type="noConversion"/>
  </si>
  <si>
    <t>溫光水蝶亞種範圍冰凍(玩家≧5人)</t>
    <phoneticPr fontId="2" type="noConversion"/>
  </si>
  <si>
    <t>溫光水蝶亞種周圍緩慢回血回SP</t>
    <phoneticPr fontId="2" type="noConversion"/>
  </si>
  <si>
    <t>溫光水蝶亞種回血護盾(HP低於20%)</t>
    <phoneticPr fontId="2" type="noConversion"/>
  </si>
  <si>
    <t>森之領主普攻長距離石錐+擊退短暈</t>
    <phoneticPr fontId="2" type="noConversion"/>
  </si>
  <si>
    <t>森之領主主動技提升自身防禦與周圍所有友軍攻擊力</t>
    <phoneticPr fontId="2" type="noConversion"/>
  </si>
  <si>
    <t>森之領主主動技能周圍所有友軍攻擊力</t>
    <phoneticPr fontId="2" type="noConversion"/>
  </si>
  <si>
    <t>森之領主主動技能全體無敵5秒(HP&lt;50%)</t>
    <phoneticPr fontId="2" type="noConversion"/>
  </si>
  <si>
    <t>赫拉斯瓦爾格爾_普攻隨機落雷</t>
    <phoneticPr fontId="2" type="noConversion"/>
  </si>
  <si>
    <t>赫拉斯瓦爾格爾_閃電連擊1段</t>
    <phoneticPr fontId="2" type="noConversion"/>
  </si>
  <si>
    <t>赫拉斯瓦爾格爾_衝刺</t>
    <phoneticPr fontId="2" type="noConversion"/>
  </si>
  <si>
    <t>赫拉斯瓦爾格爾_閃電連擊2段</t>
    <phoneticPr fontId="2" type="noConversion"/>
  </si>
  <si>
    <t>赫拉斯瓦爾格爾_防禦提升</t>
    <phoneticPr fontId="2" type="noConversion"/>
  </si>
  <si>
    <t>赫拉斯瓦爾格爾普攻指定爪擊(暈眩)</t>
    <phoneticPr fontId="2" type="noConversion"/>
  </si>
  <si>
    <t>赫拉斯瓦爾格爾_直線狂膺雷炮(暈眩)</t>
    <phoneticPr fontId="2" type="noConversion"/>
  </si>
  <si>
    <t>赫拉斯瓦爾格爾_召喚雷形之體</t>
    <phoneticPr fontId="2" type="noConversion"/>
  </si>
  <si>
    <t>溫光水蝶亞種普攻範圍冰錐傷害並緩速</t>
    <phoneticPr fontId="2" type="noConversion"/>
  </si>
  <si>
    <t>獨角海馬普攻長距離衝刺</t>
    <phoneticPr fontId="2" type="noConversion"/>
  </si>
  <si>
    <t>獨角海馬主動範圍傷害+緩速</t>
    <phoneticPr fontId="2" type="noConversion"/>
  </si>
  <si>
    <t>獨角海馬主動範圍傷害提身自身攻速</t>
    <phoneticPr fontId="2" type="noConversion"/>
  </si>
  <si>
    <t>薩迦召喚獨角海馬幻影</t>
    <phoneticPr fontId="2" type="noConversion"/>
  </si>
  <si>
    <t>宿命關卡技能</t>
    <phoneticPr fontId="2" type="noConversion"/>
  </si>
  <si>
    <t>梅杜莎普攻</t>
    <phoneticPr fontId="2" type="noConversion"/>
  </si>
  <si>
    <t>梅杜莎技能</t>
    <phoneticPr fontId="2" type="noConversion"/>
  </si>
  <si>
    <t>海德拉燃燒普攻</t>
    <phoneticPr fontId="2" type="noConversion"/>
  </si>
  <si>
    <t>海德拉回血</t>
    <phoneticPr fontId="2" type="noConversion"/>
  </si>
  <si>
    <t>海德拉分裂連攜1</t>
    <phoneticPr fontId="2" type="noConversion"/>
  </si>
  <si>
    <t>自殺小怪普攻</t>
    <phoneticPr fontId="2" type="noConversion"/>
  </si>
  <si>
    <t>斯芬克斯衝刺</t>
    <phoneticPr fontId="2" type="noConversion"/>
  </si>
  <si>
    <t>哈耳庇厄扣SP攻擊</t>
    <phoneticPr fontId="2" type="noConversion"/>
  </si>
  <si>
    <t>斯庫拉全體普攻</t>
    <phoneticPr fontId="2" type="noConversion"/>
  </si>
  <si>
    <t>斯庫拉隨機拉人</t>
    <phoneticPr fontId="2" type="noConversion"/>
  </si>
  <si>
    <t>米陶諾斯回血加攻擊技能</t>
    <phoneticPr fontId="2" type="noConversion"/>
  </si>
  <si>
    <t>法夫尼爾30%除風抗性_被打有20%機率逃跑</t>
    <phoneticPr fontId="2" type="noConversion"/>
  </si>
  <si>
    <t>法夫尼爾技能降低攻擊力</t>
    <phoneticPr fontId="2" type="noConversion"/>
  </si>
  <si>
    <t>吞噬海螺擊退召喚</t>
    <phoneticPr fontId="2" type="noConversion"/>
  </si>
  <si>
    <t>吞噬海螺反射傷害10%+BOSS30%抗性</t>
    <phoneticPr fontId="2" type="noConversion"/>
  </si>
  <si>
    <t>吞噬海螺擊退召喚2</t>
    <phoneticPr fontId="2" type="noConversion"/>
  </si>
  <si>
    <t>幻影維克多劍衝擊</t>
    <phoneticPr fontId="2" type="noConversion"/>
  </si>
  <si>
    <t>幻影維克多衝撞</t>
    <phoneticPr fontId="2" type="noConversion"/>
  </si>
  <si>
    <t>自身加防禦(AI觸發用)</t>
    <phoneticPr fontId="2" type="noConversion"/>
  </si>
  <si>
    <t>西格爾劍衝擊_三段</t>
    <phoneticPr fontId="2" type="noConversion"/>
  </si>
  <si>
    <t>西格爾普攻 (暗屬性)</t>
    <phoneticPr fontId="2" type="noConversion"/>
  </si>
  <si>
    <t>西格爾普攻吸血</t>
    <phoneticPr fontId="2" type="noConversion"/>
  </si>
  <si>
    <t>西格爾劍衝擊_二段</t>
    <phoneticPr fontId="2" type="noConversion"/>
  </si>
  <si>
    <t>自身加防禦(AI觸發用)+召喚</t>
    <phoneticPr fontId="2" type="noConversion"/>
  </si>
  <si>
    <t>梅杜莎敵方全體逃跑技能</t>
    <phoneticPr fontId="2" type="noConversion"/>
  </si>
  <si>
    <t>梅杜莎自身逃跑</t>
    <phoneticPr fontId="2" type="noConversion"/>
  </si>
  <si>
    <t>中毒普攻</t>
    <phoneticPr fontId="2" type="noConversion"/>
  </si>
  <si>
    <t>海德拉分裂連攜2</t>
    <phoneticPr fontId="2" type="noConversion"/>
  </si>
  <si>
    <t>海德拉分裂連攜3</t>
    <phoneticPr fontId="2" type="noConversion"/>
  </si>
  <si>
    <t>海德拉分裂1</t>
    <phoneticPr fontId="2" type="noConversion"/>
  </si>
  <si>
    <t>海德拉分裂2</t>
    <phoneticPr fontId="2" type="noConversion"/>
  </si>
  <si>
    <t>海德拉分裂3</t>
    <phoneticPr fontId="2" type="noConversion"/>
  </si>
  <si>
    <t>斯芬克斯單體擊退</t>
    <phoneticPr fontId="2" type="noConversion"/>
  </si>
  <si>
    <t>洛基技能_一段</t>
    <phoneticPr fontId="2" type="noConversion"/>
  </si>
  <si>
    <t>洛基技能_二段</t>
    <phoneticPr fontId="2" type="noConversion"/>
  </si>
  <si>
    <t>被打增加防禦(AI觸發用)</t>
    <phoneticPr fontId="2" type="noConversion"/>
  </si>
  <si>
    <t>獵人衝刺攻擊(暗)</t>
    <phoneticPr fontId="2" type="noConversion"/>
  </si>
  <si>
    <t>獵人衝刺攻擊(暗)2_30%機率</t>
    <phoneticPr fontId="2" type="noConversion"/>
  </si>
  <si>
    <t>賞金獵人回魔&amp;被打有機率擊退&amp;被打有機率放技能</t>
    <phoneticPr fontId="2" type="noConversion"/>
  </si>
  <si>
    <t>賞金獵人召喚並逃跑</t>
    <phoneticPr fontId="2" type="noConversion"/>
  </si>
  <si>
    <t>獨眼霸王全範圍暈眩普攻</t>
    <phoneticPr fontId="2" type="noConversion"/>
  </si>
  <si>
    <t>獨眼霸王招怪1</t>
    <phoneticPr fontId="2" type="noConversion"/>
  </si>
  <si>
    <t>獨眼霸王招怪2</t>
    <phoneticPr fontId="2" type="noConversion"/>
  </si>
  <si>
    <t>雅典娜全場定身</t>
    <phoneticPr fontId="2" type="noConversion"/>
  </si>
  <si>
    <t>雅典娜上AI用狀態</t>
    <phoneticPr fontId="2" type="noConversion"/>
  </si>
  <si>
    <t>雅典娜劍陣</t>
    <phoneticPr fontId="2" type="noConversion"/>
  </si>
  <si>
    <t>卡呂冬野豬普強力攻擊退暈眩</t>
    <phoneticPr fontId="2" type="noConversion"/>
  </si>
  <si>
    <t>卡呂冬野豬自身擊退並暈眩扣防加速往後跑</t>
    <phoneticPr fontId="2" type="noConversion"/>
  </si>
  <si>
    <t>阿瑞斯衝刺技能(火)</t>
    <phoneticPr fontId="2" type="noConversion"/>
  </si>
  <si>
    <t>阿瑞斯衝刺攻擊(火)2</t>
    <phoneticPr fontId="2" type="noConversion"/>
  </si>
  <si>
    <t>阿瑞斯打人有機會施放擊退技能</t>
    <phoneticPr fontId="2" type="noConversion"/>
  </si>
  <si>
    <t>阿瑞斯擊退目標</t>
    <phoneticPr fontId="2" type="noConversion"/>
  </si>
  <si>
    <t>阿瑞斯自身回魔</t>
    <phoneticPr fontId="2" type="noConversion"/>
  </si>
  <si>
    <t>阿瑞斯回血逃跑</t>
    <phoneticPr fontId="2" type="noConversion"/>
  </si>
  <si>
    <t>卡律布狄斯召喚1</t>
    <phoneticPr fontId="2" type="noConversion"/>
  </si>
  <si>
    <t>卡律布狄斯召喚2</t>
    <phoneticPr fontId="2" type="noConversion"/>
  </si>
  <si>
    <t>卡律布狄斯召喚3_1</t>
    <phoneticPr fontId="2" type="noConversion"/>
  </si>
  <si>
    <t>卡律布狄斯召喚3_2</t>
    <phoneticPr fontId="2" type="noConversion"/>
  </si>
  <si>
    <t>被打機率回能</t>
    <phoneticPr fontId="2" type="noConversion"/>
  </si>
  <si>
    <t>卡律布狄自身範圍擊退+召喚</t>
    <phoneticPr fontId="2" type="noConversion"/>
  </si>
  <si>
    <t>耶夢加得技能緩速</t>
    <phoneticPr fontId="2" type="noConversion"/>
  </si>
  <si>
    <t>幻影喀邁拉普攻</t>
    <phoneticPr fontId="2" type="noConversion"/>
  </si>
  <si>
    <t>幻影喀邁拉普攻2</t>
    <phoneticPr fontId="2" type="noConversion"/>
  </si>
  <si>
    <t>幻影喀邁拉目標暈眩並召喚獅群</t>
    <phoneticPr fontId="2" type="noConversion"/>
  </si>
  <si>
    <t>幻影喀邁拉目標暈眩並召喚獅群2</t>
    <phoneticPr fontId="2" type="noConversion"/>
  </si>
  <si>
    <t>芬里爾被打有機會施放恐懼</t>
    <phoneticPr fontId="2" type="noConversion"/>
  </si>
  <si>
    <t>芬里爾恐懼技能</t>
    <phoneticPr fontId="2" type="noConversion"/>
  </si>
  <si>
    <t>芬里爾被打有機會逃跑召喚</t>
    <phoneticPr fontId="2" type="noConversion"/>
  </si>
  <si>
    <t>芬里爾逃跑召喚技能</t>
    <phoneticPr fontId="2" type="noConversion"/>
  </si>
  <si>
    <t>耶夢加得大範圍緩速</t>
    <phoneticPr fontId="2" type="noConversion"/>
  </si>
  <si>
    <t>死亡崇拜1</t>
    <phoneticPr fontId="2" type="noConversion"/>
  </si>
  <si>
    <t>死亡崇拜全體恐懼</t>
    <phoneticPr fontId="2" type="noConversion"/>
  </si>
  <si>
    <t>死亡崇拜2</t>
    <phoneticPr fontId="2" type="noConversion"/>
  </si>
  <si>
    <t>阿瑞斯2號衝刺技能(火)</t>
    <phoneticPr fontId="2" type="noConversion"/>
  </si>
  <si>
    <t>阿瑞斯2號衝刺攻擊(火)2</t>
    <phoneticPr fontId="2" type="noConversion"/>
  </si>
  <si>
    <t>阿瑞斯2號自身補血回魔</t>
    <phoneticPr fontId="2" type="noConversion"/>
  </si>
  <si>
    <t>阿瑞斯2號被打加攻</t>
    <phoneticPr fontId="2" type="noConversion"/>
  </si>
  <si>
    <t>力士隊長普攻高機率擊退</t>
    <phoneticPr fontId="2" type="noConversion"/>
  </si>
  <si>
    <t>力士隊長衝撞擊退</t>
    <phoneticPr fontId="2" type="noConversion"/>
  </si>
  <si>
    <t>力士隊長衝撞</t>
    <phoneticPr fontId="2" type="noConversion"/>
  </si>
  <si>
    <t>力士隊長召怪</t>
    <phoneticPr fontId="2" type="noConversion"/>
  </si>
  <si>
    <t>獅鷲王普攻</t>
    <phoneticPr fontId="2" type="noConversion"/>
  </si>
  <si>
    <t>獅鷲王連續風暴擊退</t>
    <phoneticPr fontId="2" type="noConversion"/>
  </si>
  <si>
    <t>獅鷲王連續風暴(暈眩&amp;移動速度)</t>
    <phoneticPr fontId="2" type="noConversion"/>
  </si>
  <si>
    <t>獅鷲王大逃跑</t>
    <phoneticPr fontId="2" type="noConversion"/>
  </si>
  <si>
    <t>世界樹公雞召喚</t>
    <phoneticPr fontId="2" type="noConversion"/>
  </si>
  <si>
    <t>幻影路德劍衝擊</t>
    <phoneticPr fontId="2" type="noConversion"/>
  </si>
  <si>
    <t>幻影路德衝撞_二段</t>
    <phoneticPr fontId="2" type="noConversion"/>
  </si>
  <si>
    <t>幻影路德震地_三段</t>
    <phoneticPr fontId="2" type="noConversion"/>
  </si>
  <si>
    <t>赫爾曼召喚</t>
    <phoneticPr fontId="2" type="noConversion"/>
  </si>
  <si>
    <t>賞金獵人召喚並逃跑2</t>
    <phoneticPr fontId="2" type="noConversion"/>
  </si>
  <si>
    <t>CD10隨機單體暈眩落雷(光)</t>
    <phoneticPr fontId="2" type="noConversion"/>
  </si>
  <si>
    <t>自身加速度(AI觸發用)</t>
    <phoneticPr fontId="2" type="noConversion"/>
  </si>
  <si>
    <t>自身加攻擊(AI觸發用)+衝刺</t>
    <phoneticPr fontId="2" type="noConversion"/>
  </si>
  <si>
    <t>自身加防禦(AI觸發用)+衝刺</t>
    <phoneticPr fontId="2" type="noConversion"/>
  </si>
  <si>
    <t>CD15普攻單體暈眩冰錐(近)(水)</t>
    <phoneticPr fontId="2" type="noConversion"/>
  </si>
  <si>
    <t>CD15普攻單體暈眩冰錐(遠)(水)</t>
    <phoneticPr fontId="2" type="noConversion"/>
  </si>
  <si>
    <t>CD15技能單體暈眩冰錐(近)(水)</t>
    <phoneticPr fontId="2" type="noConversion"/>
  </si>
  <si>
    <t>CD15技能單體暈眩冰錐(遠)(水)</t>
    <phoneticPr fontId="2" type="noConversion"/>
  </si>
  <si>
    <t>CD15自身範圍恐懼(無)</t>
    <phoneticPr fontId="2" type="noConversion"/>
  </si>
  <si>
    <t>CD15全體恐懼(無)</t>
    <phoneticPr fontId="2" type="noConversion"/>
  </si>
  <si>
    <t>CD10普攻衝刺200+擊退50(無)</t>
    <phoneticPr fontId="2" type="noConversion"/>
  </si>
  <si>
    <t>CD10普攻衝刺200+擊退50(無)2</t>
    <phoneticPr fontId="2" type="noConversion"/>
  </si>
  <si>
    <t>CD15普攻單體燃燒10%火球(火)</t>
    <phoneticPr fontId="2" type="noConversion"/>
  </si>
  <si>
    <t>CD15技能單體燃燒10%火球(火)</t>
    <phoneticPr fontId="2" type="noConversion"/>
  </si>
  <si>
    <t>CD15普攻隨機目標沉默5秒水泡</t>
    <phoneticPr fontId="2" type="noConversion"/>
  </si>
  <si>
    <t>CD15技能隨機目標沉默5秒水泡</t>
    <phoneticPr fontId="2" type="noConversion"/>
  </si>
  <si>
    <t>CD10普攻單體恐懼刃(暗)</t>
    <phoneticPr fontId="2" type="noConversion"/>
  </si>
  <si>
    <t>CD10技能單體恐懼刃(暗)</t>
    <phoneticPr fontId="2" type="noConversion"/>
  </si>
  <si>
    <t>CD25普攻減防黑光柱(暗)</t>
    <phoneticPr fontId="2" type="noConversion"/>
  </si>
  <si>
    <t>CD15技能減防黑光柱(暗)</t>
    <phoneticPr fontId="2" type="noConversion"/>
  </si>
  <si>
    <t>CD35普攻煉獄(暗)</t>
    <phoneticPr fontId="2" type="noConversion"/>
  </si>
  <si>
    <t>CD35技能煉獄(暗)</t>
    <phoneticPr fontId="2" type="noConversion"/>
  </si>
  <si>
    <t>無CD範圍普攻(暗)</t>
    <phoneticPr fontId="2" type="noConversion"/>
  </si>
  <si>
    <t>CD10普攻單體水斬(水)</t>
    <phoneticPr fontId="2" type="noConversion"/>
  </si>
  <si>
    <t>CD10技能單體水斬(水)</t>
    <phoneticPr fontId="2" type="noConversion"/>
  </si>
  <si>
    <t>CD20技能自身加攻30%</t>
    <phoneticPr fontId="2" type="noConversion"/>
  </si>
  <si>
    <t>CD20技能自身加防30%</t>
    <phoneticPr fontId="2" type="noConversion"/>
  </si>
  <si>
    <t>CD20技能自身加速500</t>
    <phoneticPr fontId="2" type="noConversion"/>
  </si>
  <si>
    <t>CD10技能自身回血200%</t>
    <phoneticPr fontId="2" type="noConversion"/>
  </si>
  <si>
    <t>CD10普攻單體暗斬(暗)</t>
    <phoneticPr fontId="2" type="noConversion"/>
  </si>
  <si>
    <t>CD10技能單體暗斬(暗)</t>
    <phoneticPr fontId="2" type="noConversion"/>
  </si>
  <si>
    <t>CD10普攻單體閃電斬(光)</t>
    <phoneticPr fontId="2" type="noConversion"/>
  </si>
  <si>
    <t>CD10技能單體閃電斬(光)</t>
    <phoneticPr fontId="2" type="noConversion"/>
  </si>
  <si>
    <t>CD10普攻單體火斬(火)</t>
    <phoneticPr fontId="2" type="noConversion"/>
  </si>
  <si>
    <t>CD10技能單體火斬(火)</t>
    <phoneticPr fontId="2" type="noConversion"/>
  </si>
  <si>
    <t>CD10普攻單體風斬(風)</t>
    <phoneticPr fontId="2" type="noConversion"/>
  </si>
  <si>
    <t>CD10技能單體風斬(風)</t>
    <phoneticPr fontId="2" type="noConversion"/>
  </si>
  <si>
    <t>CD15普攻單體擊退風彈(風)</t>
    <phoneticPr fontId="2" type="noConversion"/>
  </si>
  <si>
    <t>CD15技能單體擊退風彈(風)</t>
    <phoneticPr fontId="2" type="noConversion"/>
  </si>
  <si>
    <t>CD15普攻單體緩速水球(水)</t>
    <phoneticPr fontId="2" type="noConversion"/>
  </si>
  <si>
    <t>CD15技能單體緩速水球(水)</t>
    <phoneticPr fontId="2" type="noConversion"/>
  </si>
  <si>
    <t>CD15普攻單體消正面雷彈(光)</t>
    <phoneticPr fontId="2" type="noConversion"/>
  </si>
  <si>
    <t>CD15技能單體消正面雷彈(光)</t>
    <phoneticPr fontId="2" type="noConversion"/>
  </si>
  <si>
    <t>CD15普攻單體擊減防黑彈(暗)</t>
    <phoneticPr fontId="2" type="noConversion"/>
  </si>
  <si>
    <t>CD15技能單體擊減防黑彈(暗)</t>
    <phoneticPr fontId="2" type="noConversion"/>
  </si>
  <si>
    <t>CD20普攻範圍定身觸手(暗)</t>
    <phoneticPr fontId="2" type="noConversion"/>
  </si>
  <si>
    <t>CD20技能範圍定身觸手(暗)</t>
    <phoneticPr fontId="2" type="noConversion"/>
  </si>
  <si>
    <t>CD20普攻範圍毒霧中毒(暗)</t>
    <phoneticPr fontId="2" type="noConversion"/>
  </si>
  <si>
    <t>CD20技能範圍毒霧中毒(暗)</t>
    <phoneticPr fontId="2" type="noConversion"/>
  </si>
  <si>
    <t>CD35技能全範圍定身中毒觸手(暗)</t>
    <phoneticPr fontId="2" type="noConversion"/>
  </si>
  <si>
    <t>CD20普攻擊單體連爪(無)</t>
    <phoneticPr fontId="2" type="noConversion"/>
  </si>
  <si>
    <t>CD20技能擊單體連爪(無)</t>
    <phoneticPr fontId="2" type="noConversion"/>
  </si>
  <si>
    <t>CD25普攻全場擊退海浪(水)</t>
    <phoneticPr fontId="2" type="noConversion"/>
  </si>
  <si>
    <t>CD25技能全場擊退海浪(水)</t>
    <phoneticPr fontId="2" type="noConversion"/>
  </si>
  <si>
    <t>CD10普攻單體擊退四連矛(暗)</t>
    <phoneticPr fontId="2" type="noConversion"/>
  </si>
  <si>
    <t>CD10技能單體擊退四連矛(暗)</t>
    <phoneticPr fontId="2" type="noConversion"/>
  </si>
  <si>
    <t>CD20普攻吸人黑龍捲斬(暗)</t>
    <phoneticPr fontId="2" type="noConversion"/>
  </si>
  <si>
    <t>CD20技能吸人黑龍捲斬(暗)</t>
    <phoneticPr fontId="2" type="noConversion"/>
  </si>
  <si>
    <t>CD25普攻擊退+緩速落羽暴風(風)</t>
    <phoneticPr fontId="2" type="noConversion"/>
  </si>
  <si>
    <t>CD25技能擊退+緩速落羽暴風(風)</t>
    <phoneticPr fontId="2" type="noConversion"/>
  </si>
  <si>
    <t>CD25普攻回血+擊退暴風(風)</t>
    <phoneticPr fontId="2" type="noConversion"/>
  </si>
  <si>
    <t>CD25技能回血+擊退暴風(風)</t>
    <phoneticPr fontId="2" type="noConversion"/>
  </si>
  <si>
    <t>回血200%</t>
    <phoneticPr fontId="2" type="noConversion"/>
  </si>
  <si>
    <t>CD20普攻隨機單體暈眩大電球(光)</t>
    <phoneticPr fontId="2" type="noConversion"/>
  </si>
  <si>
    <t>CD20技能隨機單體暈眩大顆電球(光)</t>
    <phoneticPr fontId="2" type="noConversion"/>
  </si>
  <si>
    <t>CD25普攻大範圍毒池+緩速(無)</t>
    <phoneticPr fontId="2" type="noConversion"/>
  </si>
  <si>
    <t>CD25技能大範圍毒池+緩速(無)</t>
    <phoneticPr fontId="2" type="noConversion"/>
  </si>
  <si>
    <t>CD5普攻直線擊退燃燒火鳥(火)</t>
    <phoneticPr fontId="2" type="noConversion"/>
  </si>
  <si>
    <t>CD5技能直線擊退燃燒火鳥(火)</t>
    <phoneticPr fontId="2" type="noConversion"/>
  </si>
  <si>
    <t>較遠法術普攻 (風屬性)</t>
    <phoneticPr fontId="2" type="noConversion"/>
  </si>
  <si>
    <t>較遠法術普攻 (暗屬性)</t>
    <phoneticPr fontId="2" type="noConversion"/>
  </si>
  <si>
    <t>CD10普攻2連擊(無屬性)</t>
    <phoneticPr fontId="2" type="noConversion"/>
  </si>
  <si>
    <t>CD10普攻2連擊(無屬性)2</t>
    <phoneticPr fontId="2" type="noConversion"/>
  </si>
  <si>
    <t>CD20普攻震地板(無)</t>
    <phoneticPr fontId="2" type="noConversion"/>
  </si>
  <si>
    <t>CD20技能震地板(無)</t>
    <phoneticPr fontId="2" type="noConversion"/>
  </si>
  <si>
    <t>CD20普攻全體地石錐(無)</t>
    <phoneticPr fontId="2" type="noConversion"/>
  </si>
  <si>
    <t>CD20技能全體地石錐(無)</t>
    <phoneticPr fontId="2" type="noConversion"/>
  </si>
  <si>
    <t>CD5普攻直線擊退冰箭(水)</t>
    <phoneticPr fontId="2" type="noConversion"/>
  </si>
  <si>
    <t>CD5技能直線擊退冰箭(水)</t>
    <phoneticPr fontId="2" type="noConversion"/>
  </si>
  <si>
    <t>CD20小範圍長暈+全範圍短暈技能(無)</t>
    <phoneticPr fontId="2" type="noConversion"/>
  </si>
  <si>
    <t>CD20小範圍長暈+全範圍短暈技能(無)2</t>
    <phoneticPr fontId="2" type="noConversion"/>
  </si>
  <si>
    <t>CD15普攻小範圍電擊短暈(光)</t>
    <phoneticPr fontId="2" type="noConversion"/>
  </si>
  <si>
    <t>CD15技能小範圍電擊短暈(光)</t>
    <phoneticPr fontId="2" type="noConversion"/>
  </si>
  <si>
    <t>CD0普攻直線範圍(光)</t>
    <phoneticPr fontId="2" type="noConversion"/>
  </si>
  <si>
    <t>CD10技能直線範圍(光)</t>
    <phoneticPr fontId="2" type="noConversion"/>
  </si>
  <si>
    <t>CD20普攻隨機落雷並降低目標傷害(光)</t>
    <phoneticPr fontId="2" type="noConversion"/>
  </si>
  <si>
    <t>CD20技能隨機落雷並降低目標傷害(光)</t>
    <phoneticPr fontId="2" type="noConversion"/>
  </si>
  <si>
    <t>CD0普攻震波範圍傷害(火)</t>
    <phoneticPr fontId="2" type="noConversion"/>
  </si>
  <si>
    <t>CD10技能震波範圍傷害(火)</t>
    <phoneticPr fontId="2" type="noConversion"/>
  </si>
  <si>
    <t>CD20普攻火隕石範圍燃燒(火)</t>
    <phoneticPr fontId="2" type="noConversion"/>
  </si>
  <si>
    <t>CD20技能火隕石範圍燃燒(火)</t>
    <phoneticPr fontId="2" type="noConversion"/>
  </si>
  <si>
    <t>CD20普攻遠程熔岩連續爆破擊退(火)</t>
    <phoneticPr fontId="2" type="noConversion"/>
  </si>
  <si>
    <t>CD20技能遠程熔岩連續爆破擊退(火)</t>
    <phoneticPr fontId="2" type="noConversion"/>
  </si>
  <si>
    <t>CD15普攻範圍冰柱+降攻速(水)</t>
    <phoneticPr fontId="2" type="noConversion"/>
  </si>
  <si>
    <t>CD15技能範圍冰柱+降攻速(水)</t>
    <phoneticPr fontId="2" type="noConversion"/>
  </si>
  <si>
    <t>CD20普攻隊友血量+自身攻速提升</t>
    <phoneticPr fontId="2" type="noConversion"/>
  </si>
  <si>
    <t>CD20技能隊友血量+自身攻速提升</t>
    <phoneticPr fontId="2" type="noConversion"/>
  </si>
  <si>
    <t>提升自身攻速</t>
    <phoneticPr fontId="2" type="noConversion"/>
  </si>
  <si>
    <t>CD10普攻無特效擊退(無)</t>
    <phoneticPr fontId="2" type="noConversion"/>
  </si>
  <si>
    <t>CD10技能無特效擊退(無)</t>
    <phoneticPr fontId="2" type="noConversion"/>
  </si>
  <si>
    <t>CD30技能召喚天使法師及天使騎兵</t>
    <phoneticPr fontId="2" type="noConversion"/>
  </si>
  <si>
    <t>測試技能</t>
    <phoneticPr fontId="2" type="noConversion"/>
  </si>
  <si>
    <t>玩家招怪</t>
    <phoneticPr fontId="2" type="noConversion"/>
  </si>
  <si>
    <t>玩家英雄技能</t>
    <phoneticPr fontId="2" type="noConversion"/>
  </si>
  <si>
    <t>帕修斯普攻(火屬性)</t>
    <phoneticPr fontId="2" type="noConversion"/>
  </si>
  <si>
    <t>封魔盾擊_擊退+回血</t>
    <phoneticPr fontId="2" type="noConversion"/>
  </si>
  <si>
    <t>海克力斯普攻(光屬性)</t>
    <phoneticPr fontId="2" type="noConversion"/>
  </si>
  <si>
    <t>海克力斯普攻(光屬性)_15%額外造成傷害</t>
    <phoneticPr fontId="2" type="noConversion"/>
  </si>
  <si>
    <t>伊底帕斯普攻(暗屬性)</t>
    <phoneticPr fontId="2" type="noConversion"/>
  </si>
  <si>
    <t>伊底帕斯普攻(暗屬性)_30%機率降低移動速度</t>
    <phoneticPr fontId="2" type="noConversion"/>
  </si>
  <si>
    <t>潘朵拉普攻(水屬性)</t>
    <phoneticPr fontId="2" type="noConversion"/>
  </si>
  <si>
    <t>潘朵拉普攻(水屬性)_恐懼</t>
    <phoneticPr fontId="2" type="noConversion"/>
  </si>
  <si>
    <t>海倫普攻(光屬性)</t>
    <phoneticPr fontId="2" type="noConversion"/>
  </si>
  <si>
    <t>海倫普攻(光屬性)目標扣能</t>
    <phoneticPr fontId="2" type="noConversion"/>
  </si>
  <si>
    <t>海倫普攻(光屬性)自身回能</t>
    <phoneticPr fontId="2" type="noConversion"/>
  </si>
  <si>
    <t>奧德修斯普攻(風屬性)</t>
    <phoneticPr fontId="2" type="noConversion"/>
  </si>
  <si>
    <t>奧德修斯普攻連擊1(風屬性)</t>
    <phoneticPr fontId="2" type="noConversion"/>
  </si>
  <si>
    <t>戰矛連襲2</t>
    <phoneticPr fontId="2" type="noConversion"/>
  </si>
  <si>
    <t>亞德拉圖斯普攻(暗屬性)</t>
    <phoneticPr fontId="2" type="noConversion"/>
  </si>
  <si>
    <t>亞德拉圖斯普攻(暗屬性)_機率降低全屬抗性</t>
    <phoneticPr fontId="2" type="noConversion"/>
  </si>
  <si>
    <t>鐵修斯普攻(水屬性)</t>
    <phoneticPr fontId="2" type="noConversion"/>
  </si>
  <si>
    <t>齊格妮普攻(風屬性)</t>
    <phoneticPr fontId="2" type="noConversion"/>
  </si>
  <si>
    <t>齊格妮普攻(風屬性)_群體加速</t>
    <phoneticPr fontId="2" type="noConversion"/>
  </si>
  <si>
    <t>齊格妮普攻(風屬性)2_群體加速</t>
    <phoneticPr fontId="2" type="noConversion"/>
  </si>
  <si>
    <t>束縛旋刀2</t>
    <phoneticPr fontId="2" type="noConversion"/>
  </si>
  <si>
    <t>齊格蒙普攻(光屬性)</t>
    <phoneticPr fontId="2" type="noConversion"/>
  </si>
  <si>
    <t>齊格蒙普攻(光屬性)2_擴散傷害</t>
    <phoneticPr fontId="2" type="noConversion"/>
  </si>
  <si>
    <t>齊格飛普攻(暗屬性)</t>
    <phoneticPr fontId="2" type="noConversion"/>
  </si>
  <si>
    <t>龍槍威勢_敵方恐懼</t>
    <phoneticPr fontId="2" type="noConversion"/>
  </si>
  <si>
    <t>貝奧武夫普攻(暗屬性)</t>
    <phoneticPr fontId="2" type="noConversion"/>
  </si>
  <si>
    <t>血嗜狂熱</t>
    <phoneticPr fontId="2" type="noConversion"/>
  </si>
  <si>
    <t>古德露恩普攻(光屬性)</t>
    <phoneticPr fontId="2" type="noConversion"/>
  </si>
  <si>
    <t>古德露恩普攻2回復生命</t>
    <phoneticPr fontId="2" type="noConversion"/>
  </si>
  <si>
    <t>布倫希爾德普攻(風屬性)</t>
    <phoneticPr fontId="2" type="noConversion"/>
  </si>
  <si>
    <t>布倫希爾德普攻3擊退</t>
    <phoneticPr fontId="2" type="noConversion"/>
  </si>
  <si>
    <t>女武神戰氣2補血</t>
    <phoneticPr fontId="2" type="noConversion"/>
  </si>
  <si>
    <t>希格露恩普攻(風屬性)</t>
    <phoneticPr fontId="2" type="noConversion"/>
  </si>
  <si>
    <t>希格露恩普攻範圍(風屬性)</t>
    <phoneticPr fontId="2" type="noConversion"/>
  </si>
  <si>
    <t>阿基里斯普攻(水屬性)</t>
    <phoneticPr fontId="2" type="noConversion"/>
  </si>
  <si>
    <t>鷹眼穿楊2</t>
    <phoneticPr fontId="2" type="noConversion"/>
  </si>
  <si>
    <t>伊爾森普攻(火屬性)</t>
    <phoneticPr fontId="2" type="noConversion"/>
  </si>
  <si>
    <t>伊爾森普攻(火屬性)2</t>
    <phoneticPr fontId="2" type="noConversion"/>
  </si>
  <si>
    <t>維納莫寧普攻(暗屬性)</t>
    <phoneticPr fontId="2" type="noConversion"/>
  </si>
  <si>
    <t>維納莫寧普攻(暗屬性)2_扣SP+特效</t>
    <phoneticPr fontId="2" type="noConversion"/>
  </si>
  <si>
    <t>辛菲奧特利普攻(火屬性)</t>
    <phoneticPr fontId="2" type="noConversion"/>
  </si>
  <si>
    <t>辛菲奧特利普攻2(火屬性)_130%無屬傷+流血</t>
    <phoneticPr fontId="2" type="noConversion"/>
  </si>
  <si>
    <t>暴戾獵爪1</t>
    <phoneticPr fontId="2" type="noConversion"/>
  </si>
  <si>
    <t>赫爾吉普攻(火屬性)</t>
    <phoneticPr fontId="2" type="noConversion"/>
  </si>
  <si>
    <t>赫爾吉普攻(火屬性)_擊退暈眩</t>
    <phoneticPr fontId="2" type="noConversion"/>
  </si>
  <si>
    <t>亞特蘭大普攻(風屬性)</t>
    <phoneticPr fontId="2" type="noConversion"/>
  </si>
  <si>
    <t>亞特蘭大普攻(風屬性)_流血</t>
    <phoneticPr fontId="2" type="noConversion"/>
  </si>
  <si>
    <t>致命獵殺_加攻速+衝刺+吸血</t>
    <phoneticPr fontId="2" type="noConversion"/>
  </si>
  <si>
    <t>貝雷洛豐普攻(暗屬性)</t>
    <phoneticPr fontId="2" type="noConversion"/>
  </si>
  <si>
    <t>貝雷洛豐普攻(暗屬性)_範圍緩速</t>
    <phoneticPr fontId="2" type="noConversion"/>
  </si>
  <si>
    <t>傲氣爭鋒2</t>
    <phoneticPr fontId="2" type="noConversion"/>
  </si>
  <si>
    <t>盧米耶普攻</t>
    <phoneticPr fontId="2" type="noConversion"/>
  </si>
  <si>
    <t>盧米耶普攻2</t>
    <phoneticPr fontId="2" type="noConversion"/>
  </si>
  <si>
    <t>賽希爾普攻(暗屬性)</t>
    <phoneticPr fontId="2" type="noConversion"/>
  </si>
  <si>
    <t>賽希爾普攻(暗屬性)_10%機率提升能量5</t>
    <phoneticPr fontId="2" type="noConversion"/>
  </si>
  <si>
    <t>伏影狙殺</t>
    <phoneticPr fontId="2" type="noConversion"/>
  </si>
  <si>
    <t>咒能高漲</t>
    <phoneticPr fontId="2" type="noConversion"/>
  </si>
  <si>
    <t>亞爾曼普攻</t>
    <phoneticPr fontId="2" type="noConversion"/>
  </si>
  <si>
    <t>亞爾曼普攻2</t>
    <phoneticPr fontId="2" type="noConversion"/>
  </si>
  <si>
    <t>里格普攻</t>
    <phoneticPr fontId="2" type="noConversion"/>
  </si>
  <si>
    <t>里格普攻2</t>
    <phoneticPr fontId="2" type="noConversion"/>
  </si>
  <si>
    <t>里格普攻3</t>
    <phoneticPr fontId="2" type="noConversion"/>
  </si>
  <si>
    <t>艾斯普攻(水屬性)</t>
    <phoneticPr fontId="2" type="noConversion"/>
  </si>
  <si>
    <t>艾斯普攻(水屬性)_普攻有10%機率使周圍友軍攻速提升20%，持續3秒</t>
    <phoneticPr fontId="2" type="noConversion"/>
  </si>
  <si>
    <t>純淨浪潮</t>
    <phoneticPr fontId="2" type="noConversion"/>
  </si>
  <si>
    <t>海神號令</t>
    <phoneticPr fontId="2" type="noConversion"/>
  </si>
  <si>
    <t>瑪夏普攻</t>
    <phoneticPr fontId="2" type="noConversion"/>
  </si>
  <si>
    <t>瑪夏普攻2</t>
    <phoneticPr fontId="2" type="noConversion"/>
  </si>
  <si>
    <t>古爾薇斯普攻(暗屬性)</t>
    <phoneticPr fontId="2" type="noConversion"/>
  </si>
  <si>
    <t>古爾薇格普攻(暗屬性)_攻擊有40%機率使自身攻擊上升60持續20秒(可疊加)</t>
    <phoneticPr fontId="2" type="noConversion"/>
  </si>
  <si>
    <t>怒火天罰</t>
    <phoneticPr fontId="2" type="noConversion"/>
  </si>
  <si>
    <t>怒火天罰2</t>
    <phoneticPr fontId="2" type="noConversion"/>
  </si>
  <si>
    <t>怒火天罰3</t>
    <phoneticPr fontId="2" type="noConversion"/>
  </si>
  <si>
    <t>女神特權</t>
    <phoneticPr fontId="2" type="noConversion"/>
  </si>
  <si>
    <t>薩迦普攻</t>
    <phoneticPr fontId="2" type="noConversion"/>
  </si>
  <si>
    <t>薩迦普攻2</t>
    <phoneticPr fontId="2" type="noConversion"/>
  </si>
  <si>
    <t>薩迦普攻3</t>
    <phoneticPr fontId="2" type="noConversion"/>
  </si>
  <si>
    <t>新英雄普攻1</t>
    <phoneticPr fontId="2" type="noConversion"/>
  </si>
  <si>
    <t>新英雄普攻2</t>
    <phoneticPr fontId="2" type="noConversion"/>
  </si>
  <si>
    <t>新英雄被動</t>
    <phoneticPr fontId="2" type="noConversion"/>
  </si>
  <si>
    <t>伊薇拉普攻</t>
    <phoneticPr fontId="2" type="noConversion"/>
  </si>
  <si>
    <t>米諾斯普攻</t>
    <phoneticPr fontId="2" type="noConversion"/>
  </si>
  <si>
    <t>米諾斯普攻2</t>
    <phoneticPr fontId="2" type="noConversion"/>
  </si>
  <si>
    <t>倪克斯普攻</t>
    <phoneticPr fontId="2" type="noConversion"/>
  </si>
  <si>
    <t>倪克斯普攻2</t>
    <phoneticPr fontId="2" type="noConversion"/>
  </si>
  <si>
    <t>倪克斯普攻3</t>
    <phoneticPr fontId="2" type="noConversion"/>
  </si>
  <si>
    <t>卡莉歐普攻</t>
    <phoneticPr fontId="2" type="noConversion"/>
  </si>
  <si>
    <t>卡莉歐普攻2</t>
    <phoneticPr fontId="2" type="noConversion"/>
  </si>
  <si>
    <t>梅杜莎普攻2</t>
    <phoneticPr fontId="2" type="noConversion"/>
  </si>
  <si>
    <t>斯庫拉普攻(水屬性)</t>
    <phoneticPr fontId="2" type="noConversion"/>
  </si>
  <si>
    <t>斯庫拉普攻(水屬性)_普攻有20%機率造成目標恐懼逃竄持續2秒</t>
    <phoneticPr fontId="2" type="noConversion"/>
  </si>
  <si>
    <t>妖魔海域</t>
    <phoneticPr fontId="2" type="noConversion"/>
  </si>
  <si>
    <t>深層恐懼</t>
    <phoneticPr fontId="2" type="noConversion"/>
  </si>
  <si>
    <t>安菲特里忒普攻</t>
    <phoneticPr fontId="2" type="noConversion"/>
  </si>
  <si>
    <t>安菲特里忒普攻2</t>
    <phoneticPr fontId="2" type="noConversion"/>
  </si>
  <si>
    <t>安菲特里忒普攻3</t>
    <phoneticPr fontId="2" type="noConversion"/>
  </si>
  <si>
    <t>玩家魔物技能</t>
    <phoneticPr fontId="2" type="noConversion"/>
  </si>
  <si>
    <t>人魚普攻</t>
    <phoneticPr fontId="2" type="noConversion"/>
  </si>
  <si>
    <t>安眠曲</t>
    <phoneticPr fontId="2" type="noConversion"/>
  </si>
  <si>
    <t>海之音</t>
    <phoneticPr fontId="2" type="noConversion"/>
  </si>
  <si>
    <t>玩家天神技能</t>
    <phoneticPr fontId="2" type="noConversion"/>
  </si>
  <si>
    <t>宙斯普攻(光屬性)</t>
    <phoneticPr fontId="2" type="noConversion"/>
  </si>
  <si>
    <t>宙斯普攻_閃電火(光屬性)</t>
    <phoneticPr fontId="2" type="noConversion"/>
  </si>
  <si>
    <t>ボルテックスフィールド</t>
    <phoneticPr fontId="2" type="noConversion"/>
  </si>
  <si>
    <t>雅典娜普攻(火屬性)</t>
    <phoneticPr fontId="2" type="noConversion"/>
  </si>
  <si>
    <t>榮耀貫穿2</t>
    <phoneticPr fontId="2" type="noConversion"/>
  </si>
  <si>
    <t>波賽頓普攻(水屬性)</t>
    <phoneticPr fontId="2" type="noConversion"/>
  </si>
  <si>
    <t>波賽頓普攻(水屬性)_水衝擊</t>
    <phoneticPr fontId="2" type="noConversion"/>
  </si>
  <si>
    <t>波賽頓普攻(水屬性)_自身加火防</t>
    <phoneticPr fontId="2" type="noConversion"/>
  </si>
  <si>
    <t>波賽頓普攻(水屬性)_直線傷害</t>
    <phoneticPr fontId="2" type="noConversion"/>
  </si>
  <si>
    <t>テンペストウェイブ</t>
    <phoneticPr fontId="2" type="noConversion"/>
  </si>
  <si>
    <t>イデアル</t>
    <phoneticPr fontId="2" type="noConversion"/>
  </si>
  <si>
    <t>奧丁普攻(光屬性)</t>
    <phoneticPr fontId="2" type="noConversion"/>
  </si>
  <si>
    <t>永界完聖體_回血+無法回能+反射+無敵</t>
    <phoneticPr fontId="2" type="noConversion"/>
  </si>
  <si>
    <t>索爾普攻(風屬性)</t>
    <phoneticPr fontId="2" type="noConversion"/>
  </si>
  <si>
    <t>クレイジーライオット</t>
    <phoneticPr fontId="2" type="noConversion"/>
  </si>
  <si>
    <t>赫爾普攻(暗屬性)</t>
    <phoneticPr fontId="2" type="noConversion"/>
  </si>
  <si>
    <t>兀兒德普攻(水屬性)</t>
    <phoneticPr fontId="2" type="noConversion"/>
  </si>
  <si>
    <t>芙麗嘉普攻(光屬性)</t>
    <phoneticPr fontId="2" type="noConversion"/>
  </si>
  <si>
    <t>芙麗嘉普攻(光屬性)2</t>
    <phoneticPr fontId="2" type="noConversion"/>
  </si>
  <si>
    <t>スウィートブレッシング</t>
    <phoneticPr fontId="2" type="noConversion"/>
  </si>
  <si>
    <t>リッチギフト</t>
    <phoneticPr fontId="2" type="noConversion"/>
  </si>
  <si>
    <t>阿耳忒彌斯普攻(風屬性)</t>
    <phoneticPr fontId="2" type="noConversion"/>
  </si>
  <si>
    <t>皎月連矢2</t>
    <phoneticPr fontId="2" type="noConversion"/>
  </si>
  <si>
    <t>皎月連矢3</t>
    <phoneticPr fontId="2" type="noConversion"/>
  </si>
  <si>
    <t>皎月連矢4</t>
    <phoneticPr fontId="2" type="noConversion"/>
  </si>
  <si>
    <t>皎月連矢5</t>
    <phoneticPr fontId="2" type="noConversion"/>
  </si>
  <si>
    <t>阿波羅普攻(火屬性)</t>
    <phoneticPr fontId="2" type="noConversion"/>
  </si>
  <si>
    <t>阿波羅普攻(火屬性)2</t>
    <phoneticPr fontId="2" type="noConversion"/>
  </si>
  <si>
    <t>阿芙蘿黛蒂普攻(風屬性)</t>
    <phoneticPr fontId="2" type="noConversion"/>
  </si>
  <si>
    <t>阿芙蘿黛蒂普攻(風屬性)_混亂</t>
    <phoneticPr fontId="2" type="noConversion"/>
  </si>
  <si>
    <t>ラブリーウィスパー</t>
    <phoneticPr fontId="2" type="noConversion"/>
  </si>
  <si>
    <t>デッドリーキャプチャ</t>
    <phoneticPr fontId="2" type="noConversion"/>
  </si>
  <si>
    <t>洛基普攻(暗屬性)</t>
    <phoneticPr fontId="2" type="noConversion"/>
  </si>
  <si>
    <t>パニックトリック</t>
    <phoneticPr fontId="2" type="noConversion"/>
  </si>
  <si>
    <t>惡作劇_暈眩</t>
    <phoneticPr fontId="2" type="noConversion"/>
  </si>
  <si>
    <t>黑帝斯普攻(暗屬性)</t>
    <phoneticPr fontId="2" type="noConversion"/>
  </si>
  <si>
    <t>ゴーストホライズン</t>
    <phoneticPr fontId="2" type="noConversion"/>
  </si>
  <si>
    <t>詩寇蒂普攻(火屬性)</t>
    <phoneticPr fontId="2" type="noConversion"/>
  </si>
  <si>
    <t>薇兒丹蒂普攻(水屬性)</t>
    <phoneticPr fontId="2" type="noConversion"/>
  </si>
  <si>
    <t>薇兒丹蒂普攻(水屬性)2</t>
    <phoneticPr fontId="2" type="noConversion"/>
  </si>
  <si>
    <t>弗蕾亞普攻(光屬性)</t>
    <phoneticPr fontId="2" type="noConversion"/>
  </si>
  <si>
    <t>弗蕾亞普攻(光屬性)2</t>
    <phoneticPr fontId="2" type="noConversion"/>
  </si>
  <si>
    <t>ヴィブラシオンレイ</t>
    <phoneticPr fontId="2" type="noConversion"/>
  </si>
  <si>
    <t>希拉普攻(暗屬性)</t>
    <phoneticPr fontId="2" type="noConversion"/>
  </si>
  <si>
    <t>希拉普攻(暗屬性)_機率消除正面</t>
    <phoneticPr fontId="2" type="noConversion"/>
  </si>
  <si>
    <t>全面支配2</t>
    <phoneticPr fontId="2" type="noConversion"/>
  </si>
  <si>
    <t>ジェラシーハート</t>
    <phoneticPr fontId="2" type="noConversion"/>
  </si>
  <si>
    <t>阿瑞斯普攻(火屬性)</t>
    <phoneticPr fontId="2" type="noConversion"/>
  </si>
  <si>
    <t>ファナティックハート</t>
    <phoneticPr fontId="2" type="noConversion"/>
  </si>
  <si>
    <t>嗜戰狂熱</t>
    <phoneticPr fontId="2" type="noConversion"/>
  </si>
  <si>
    <t>烏勒爾普攻(水屬性)</t>
    <phoneticPr fontId="2" type="noConversion"/>
  </si>
  <si>
    <t>アイスディアオ</t>
    <phoneticPr fontId="2" type="noConversion"/>
  </si>
  <si>
    <t>希芙普攻(光屬性)</t>
    <phoneticPr fontId="2" type="noConversion"/>
  </si>
  <si>
    <t>希芙普攻(光屬性)_周圍補血</t>
    <phoneticPr fontId="2" type="noConversion"/>
  </si>
  <si>
    <t>希芙普攻(光屬性)_自身扣SP</t>
    <phoneticPr fontId="2" type="noConversion"/>
  </si>
  <si>
    <t>セイクリッドブルーム</t>
    <phoneticPr fontId="2" type="noConversion"/>
  </si>
  <si>
    <t>赫菲斯托斯普攻(火屬性)</t>
    <phoneticPr fontId="2" type="noConversion"/>
  </si>
  <si>
    <t>赫菲斯托斯普攻(火屬性)_加攻擊</t>
    <phoneticPr fontId="2" type="noConversion"/>
  </si>
  <si>
    <t>火神鑄2_回血</t>
    <phoneticPr fontId="2" type="noConversion"/>
  </si>
  <si>
    <t>戴歐尼修斯普攻(暗屬性)</t>
    <phoneticPr fontId="2" type="noConversion"/>
  </si>
  <si>
    <t>酒神祭2</t>
    <phoneticPr fontId="2" type="noConversion"/>
  </si>
  <si>
    <t>リキュールカーニバル</t>
    <phoneticPr fontId="2" type="noConversion"/>
  </si>
  <si>
    <t>伊登普攻</t>
    <phoneticPr fontId="2" type="noConversion"/>
  </si>
  <si>
    <t>玩家經驗角</t>
    <phoneticPr fontId="2" type="noConversion"/>
  </si>
  <si>
    <t>無懼</t>
    <phoneticPr fontId="2" type="noConversion"/>
  </si>
  <si>
    <t>無畏進擊</t>
    <phoneticPr fontId="2" type="noConversion"/>
  </si>
  <si>
    <t>刺客普攻</t>
    <phoneticPr fontId="2" type="noConversion"/>
  </si>
  <si>
    <t>弱點襲擊</t>
    <phoneticPr fontId="2" type="noConversion"/>
  </si>
  <si>
    <t>暗殺</t>
    <phoneticPr fontId="2" type="noConversion"/>
  </si>
  <si>
    <t>鬥士二段攻擊</t>
    <phoneticPr fontId="2" type="noConversion"/>
  </si>
  <si>
    <t>鬥士二段攻擊2_30%機率</t>
    <phoneticPr fontId="2" type="noConversion"/>
  </si>
  <si>
    <t>雙刀斬</t>
    <phoneticPr fontId="2" type="noConversion"/>
  </si>
  <si>
    <t>雙刀斬2</t>
    <phoneticPr fontId="2" type="noConversion"/>
  </si>
  <si>
    <t>連擊</t>
    <phoneticPr fontId="2" type="noConversion"/>
  </si>
  <si>
    <t>力士擊退普攻</t>
    <phoneticPr fontId="2" type="noConversion"/>
  </si>
  <si>
    <t>勇猛抵抗</t>
    <phoneticPr fontId="2" type="noConversion"/>
  </si>
  <si>
    <t>勇猛抵抗2</t>
    <phoneticPr fontId="2" type="noConversion"/>
  </si>
  <si>
    <t>蠻力</t>
    <phoneticPr fontId="2" type="noConversion"/>
  </si>
  <si>
    <t>狂襲</t>
    <phoneticPr fontId="2" type="noConversion"/>
  </si>
  <si>
    <t>斬擊</t>
    <phoneticPr fontId="2" type="noConversion"/>
  </si>
  <si>
    <t>槍兵普攻</t>
    <phoneticPr fontId="2" type="noConversion"/>
  </si>
  <si>
    <t>守護</t>
    <phoneticPr fontId="2" type="noConversion"/>
  </si>
  <si>
    <t>守護2</t>
    <phoneticPr fontId="2" type="noConversion"/>
  </si>
  <si>
    <t>流血刺擊</t>
    <phoneticPr fontId="2" type="noConversion"/>
  </si>
  <si>
    <t>術士普攻</t>
    <phoneticPr fontId="2" type="noConversion"/>
  </si>
  <si>
    <t>治癒術</t>
    <phoneticPr fontId="2" type="noConversion"/>
  </si>
  <si>
    <t>衰弱術</t>
    <phoneticPr fontId="2" type="noConversion"/>
  </si>
  <si>
    <t>弓兵二段攻擊</t>
    <phoneticPr fontId="2" type="noConversion"/>
  </si>
  <si>
    <t>弓兵二段攻擊2_20%機率</t>
    <phoneticPr fontId="2" type="noConversion"/>
  </si>
  <si>
    <t>穿甲箭</t>
    <phoneticPr fontId="2" type="noConversion"/>
  </si>
  <si>
    <t>二連矢</t>
    <phoneticPr fontId="2" type="noConversion"/>
  </si>
  <si>
    <t>擲矛兵普攻</t>
    <phoneticPr fontId="2" type="noConversion"/>
  </si>
  <si>
    <t>穿心長矛</t>
    <phoneticPr fontId="2" type="noConversion"/>
  </si>
  <si>
    <t>精準投擲</t>
    <phoneticPr fontId="2" type="noConversion"/>
  </si>
  <si>
    <t>潛能技能</t>
    <phoneticPr fontId="2" type="noConversion"/>
  </si>
  <si>
    <t>神器技能</t>
    <phoneticPr fontId="2" type="noConversion"/>
  </si>
  <si>
    <t>傷害1000000</t>
    <phoneticPr fontId="2" type="noConversion"/>
  </si>
  <si>
    <t>傷害5000</t>
    <phoneticPr fontId="2" type="noConversion"/>
  </si>
  <si>
    <t>傷害20000</t>
    <phoneticPr fontId="2" type="noConversion"/>
  </si>
  <si>
    <t>補滿血</t>
    <phoneticPr fontId="2" type="noConversion"/>
  </si>
  <si>
    <t>神器 邪惡之眼2</t>
    <phoneticPr fontId="2" type="noConversion"/>
  </si>
  <si>
    <t>神器 金色腰鍊2</t>
    <phoneticPr fontId="2" type="noConversion"/>
  </si>
  <si>
    <t>初階裝備技能</t>
    <phoneticPr fontId="2" type="noConversion"/>
  </si>
  <si>
    <t>血祭雙刀</t>
    <phoneticPr fontId="2" type="noConversion"/>
  </si>
  <si>
    <t>1階特裝技能</t>
    <phoneticPr fontId="2" type="noConversion"/>
  </si>
  <si>
    <t>巨人頭盔</t>
    <phoneticPr fontId="2" type="noConversion"/>
  </si>
  <si>
    <t>撕裂惡叉</t>
    <phoneticPr fontId="2" type="noConversion"/>
  </si>
  <si>
    <t>異變果實(紫)</t>
    <phoneticPr fontId="2" type="noConversion"/>
  </si>
  <si>
    <t>異變果實(紫)2</t>
    <phoneticPr fontId="2" type="noConversion"/>
  </si>
  <si>
    <t>起源獸盔</t>
    <phoneticPr fontId="2" type="noConversion"/>
  </si>
  <si>
    <t>黃金假髮</t>
    <phoneticPr fontId="2" type="noConversion"/>
  </si>
  <si>
    <t>湛藍水晶</t>
    <phoneticPr fontId="2" type="noConversion"/>
  </si>
  <si>
    <t>魅惑緞帶</t>
    <phoneticPr fontId="2" type="noConversion"/>
  </si>
  <si>
    <t>精工之錘</t>
    <phoneticPr fontId="2" type="noConversion"/>
  </si>
  <si>
    <t>冥府之石</t>
    <phoneticPr fontId="2" type="noConversion"/>
  </si>
  <si>
    <t>異變果實(橘)</t>
    <phoneticPr fontId="2" type="noConversion"/>
  </si>
  <si>
    <t>安德華拉諾特</t>
    <phoneticPr fontId="2" type="noConversion"/>
  </si>
  <si>
    <t>安德華拉諾特2</t>
    <phoneticPr fontId="2" type="noConversion"/>
  </si>
  <si>
    <t>灼熱火錘</t>
    <phoneticPr fontId="2" type="noConversion"/>
  </si>
  <si>
    <t>阿爾維斯的侏儒帽</t>
    <phoneticPr fontId="2" type="noConversion"/>
  </si>
  <si>
    <t>天翼頭盔2</t>
    <phoneticPr fontId="2" type="noConversion"/>
  </si>
  <si>
    <t>堅毅之錘2</t>
    <phoneticPr fontId="2" type="noConversion"/>
  </si>
  <si>
    <t>詩蜜酒</t>
    <phoneticPr fontId="2" type="noConversion"/>
  </si>
  <si>
    <t>毒麟弓</t>
    <phoneticPr fontId="2" type="noConversion"/>
  </si>
  <si>
    <t>蝕明魔劍</t>
    <phoneticPr fontId="2" type="noConversion"/>
  </si>
  <si>
    <t>世毒巨劍</t>
    <phoneticPr fontId="2" type="noConversion"/>
  </si>
  <si>
    <t>格萊普尼爾</t>
    <phoneticPr fontId="2" type="noConversion"/>
  </si>
  <si>
    <t>3階特裝技能</t>
    <phoneticPr fontId="2" type="noConversion"/>
  </si>
  <si>
    <t>提爾芬格</t>
    <phoneticPr fontId="2" type="noConversion"/>
  </si>
  <si>
    <t>安德華利的黃金2</t>
    <phoneticPr fontId="2" type="noConversion"/>
  </si>
  <si>
    <t>洛基的魔法拋網</t>
    <phoneticPr fontId="2" type="noConversion"/>
  </si>
  <si>
    <t>格拉墨2</t>
    <phoneticPr fontId="2" type="noConversion"/>
  </si>
  <si>
    <t>斯奇布拉尼2</t>
    <phoneticPr fontId="2" type="noConversion"/>
  </si>
  <si>
    <t>唐格紐斯特與唐格理斯尼2</t>
    <phoneticPr fontId="2" type="noConversion"/>
  </si>
  <si>
    <t>英雄專武技能</t>
    <phoneticPr fontId="2" type="noConversion"/>
  </si>
  <si>
    <t>享樂與榮耀2</t>
    <phoneticPr fontId="2" type="noConversion"/>
  </si>
  <si>
    <t>狩獵短刃2</t>
    <phoneticPr fontId="2" type="noConversion"/>
  </si>
  <si>
    <t>光之劍</t>
    <phoneticPr fontId="2" type="noConversion"/>
  </si>
  <si>
    <t>灼熱太刀</t>
    <phoneticPr fontId="2" type="noConversion"/>
  </si>
  <si>
    <t>破曉之書</t>
    <phoneticPr fontId="2" type="noConversion"/>
  </si>
  <si>
    <t>幻象寶瓶</t>
    <phoneticPr fontId="2" type="noConversion"/>
  </si>
  <si>
    <t>萬能背包</t>
    <phoneticPr fontId="2" type="noConversion"/>
  </si>
  <si>
    <t>禁錮鍊錘</t>
    <phoneticPr fontId="2" type="noConversion"/>
  </si>
  <si>
    <t>漆黑之影</t>
    <phoneticPr fontId="2" type="noConversion"/>
  </si>
  <si>
    <t>海龍之牙</t>
    <phoneticPr fontId="2" type="noConversion"/>
  </si>
  <si>
    <t>永恆聖裁</t>
    <phoneticPr fontId="2" type="noConversion"/>
  </si>
  <si>
    <t>絕海怨靈</t>
    <phoneticPr fontId="2" type="noConversion"/>
  </si>
  <si>
    <t>飛鷹羽冠2</t>
    <phoneticPr fontId="2" type="noConversion"/>
  </si>
  <si>
    <t>謊言與詭計</t>
    <phoneticPr fontId="2" type="noConversion"/>
  </si>
  <si>
    <t>戰神槍2</t>
    <phoneticPr fontId="2" type="noConversion"/>
  </si>
  <si>
    <t>活動裝備技能</t>
    <phoneticPr fontId="2" type="noConversion"/>
  </si>
  <si>
    <t>ヴァルアモスリング</t>
    <phoneticPr fontId="2" type="noConversion"/>
  </si>
  <si>
    <t>リブラギアスリング</t>
    <phoneticPr fontId="2" type="noConversion"/>
  </si>
  <si>
    <t>玩家召喚怪技能</t>
    <phoneticPr fontId="2" type="noConversion"/>
  </si>
  <si>
    <t>魔族騎士普攻</t>
    <phoneticPr fontId="2" type="noConversion"/>
  </si>
  <si>
    <t>魔族幻影自爆_自身死亡</t>
    <phoneticPr fontId="2" type="noConversion"/>
  </si>
  <si>
    <t>魔族騎士四連戳</t>
    <phoneticPr fontId="2" type="noConversion"/>
  </si>
  <si>
    <t>豬長距離擊退攻擊(光)+目標睡眠</t>
    <phoneticPr fontId="2" type="noConversion"/>
  </si>
  <si>
    <t>豬攻擊自身擊退暈眩+自身扣血</t>
    <phoneticPr fontId="2" type="noConversion"/>
  </si>
  <si>
    <t>野豬絕對障壁+無法回血</t>
    <phoneticPr fontId="2" type="noConversion"/>
  </si>
  <si>
    <t>電腦玩家技能</t>
    <phoneticPr fontId="2" type="noConversion"/>
  </si>
  <si>
    <t>玩家英雄技能升階</t>
    <phoneticPr fontId="2" type="noConversion"/>
  </si>
  <si>
    <t>海克力斯普攻(光屬性</t>
    <phoneticPr fontId="2" type="noConversion"/>
  </si>
  <si>
    <t>アンチバイト</t>
    <phoneticPr fontId="2" type="noConversion"/>
  </si>
  <si>
    <t>賽希爾普攻(暗屬性)_機率提升能量</t>
    <phoneticPr fontId="2" type="noConversion"/>
  </si>
  <si>
    <t>艾斯普攻(水屬性)_機率使周圍友軍攻速提升</t>
    <phoneticPr fontId="2" type="noConversion"/>
  </si>
  <si>
    <t>古爾薇格普攻(暗屬性)_機率使自身攻擊上升</t>
    <phoneticPr fontId="2" type="noConversion"/>
  </si>
  <si>
    <t>斯庫拉普攻(水屬性)_機率造成目標恐懼逃竄</t>
    <phoneticPr fontId="2" type="noConversion"/>
  </si>
  <si>
    <t>伊登普攻(暗屬性)</t>
    <phoneticPr fontId="2" type="noConversion"/>
  </si>
  <si>
    <t>134801#20@134801#20@134701#21/134801#20@134801#20@134701#21@134701#21/134801#20@134801#20@134801#20@134701#21@134701#21</t>
  </si>
  <si>
    <t>134801@134701#1/134801@134701#1#1/134801@134801@134701#1</t>
  </si>
  <si>
    <t>134802#20@134802#20@134702#21/134802#20@134802#20@134702#21@134702#21/134802#20@134802#20@134802#20@134702#21@134702#21</t>
  </si>
  <si>
    <t>301#1</t>
    <phoneticPr fontId="2" type="noConversion"/>
  </si>
  <si>
    <t>0.25#703#1/1#702#1/1#701#5</t>
    <phoneticPr fontId="2" type="noConversion"/>
  </si>
  <si>
    <t>1#703#1/1#702#3/1#701#20</t>
    <phoneticPr fontId="2" type="noConversion"/>
  </si>
  <si>
    <t>CD20普攻單體半月斬(光)</t>
    <phoneticPr fontId="2" type="noConversion"/>
  </si>
  <si>
    <t>CD20技能單體半月斬(光)</t>
    <phoneticPr fontId="2" type="noConversion"/>
  </si>
  <si>
    <t>CD25普攻範圍劍刺+流血(無)</t>
    <phoneticPr fontId="2" type="noConversion"/>
  </si>
  <si>
    <t>CD25技能範圍劍刺+流血(無)</t>
    <phoneticPr fontId="2" type="noConversion"/>
  </si>
  <si>
    <t>CD25普攻範圍獸踏+暈眩(無)</t>
    <phoneticPr fontId="2" type="noConversion"/>
  </si>
  <si>
    <t>CD25技能範圍獸踏+暈眩(無)</t>
    <phoneticPr fontId="2" type="noConversion"/>
  </si>
  <si>
    <t>CD15普攻隨機單體蝙蝠咬+恐懼(暗)</t>
    <phoneticPr fontId="2" type="noConversion"/>
  </si>
  <si>
    <t>CD15技能隨機單體蝙蝠咬+恐懼(暗)</t>
    <phoneticPr fontId="2" type="noConversion"/>
  </si>
  <si>
    <t>CD20普攻自身範圍死神鐮刀+吸人(暗)</t>
    <phoneticPr fontId="2" type="noConversion"/>
  </si>
  <si>
    <t>CD20技能自身範圍死神鐮刀+吸人(暗)</t>
    <phoneticPr fontId="2" type="noConversion"/>
  </si>
  <si>
    <t>CD25普攻範圍骨刺+減防(無)</t>
    <phoneticPr fontId="2" type="noConversion"/>
  </si>
  <si>
    <t>CD25技能範圍骨刺+減防(無)</t>
    <phoneticPr fontId="2" type="noConversion"/>
  </si>
  <si>
    <t>CD25技能單體雷放射連擊+定身(光)</t>
  </si>
  <si>
    <t>CD25技能單體雷放射連擊+定身(光)2</t>
  </si>
  <si>
    <t>CD25技能單體雷放射連擊+定身(光)3</t>
  </si>
  <si>
    <t>CD25技能單體雷放射連擊+定身(光)4</t>
  </si>
  <si>
    <t>CD25技能單體雷放射連擊+定身(光)5</t>
  </si>
  <si>
    <t>CD25技能單體雷放射連擊+定身(光)6</t>
  </si>
  <si>
    <t>CD25技能單體雷放射連擊+定身(光)7</t>
  </si>
  <si>
    <t>CD16普攻隨機單體雷爆破+擊退+扣魔(光)</t>
    <phoneticPr fontId="2" type="noConversion"/>
  </si>
  <si>
    <t>CD16技能隨機單體雷爆破+擊退+扣魔(光)</t>
    <phoneticPr fontId="2" type="noConversion"/>
  </si>
  <si>
    <t>CD25普攻範圍雷擊+清除正面(光)</t>
    <phoneticPr fontId="2" type="noConversion"/>
  </si>
  <si>
    <t>CD25技能範圍雷擊+清除正面(光)</t>
    <phoneticPr fontId="2" type="noConversion"/>
  </si>
  <si>
    <t>CD20普攻自身範圍電磁+緩速(光)</t>
    <phoneticPr fontId="2" type="noConversion"/>
  </si>
  <si>
    <t>CD20技能自身範圍電磁+緩速(光)</t>
    <phoneticPr fontId="2" type="noConversion"/>
  </si>
  <si>
    <t>CD10普攻隨機單體手裡劍+流血(無)</t>
    <phoneticPr fontId="2" type="noConversion"/>
  </si>
  <si>
    <t>CD10技能隨機單體手裡劍+流血(無)</t>
    <phoneticPr fontId="2" type="noConversion"/>
  </si>
  <si>
    <t>CD40普攻大劍斬+擊退(無)</t>
    <rPh sb="0" eb="2">
      <t>ﾑｹﾞﾝ</t>
    </rPh>
    <rPh sb="3" eb="4">
      <t>ｵｷ</t>
    </rPh>
    <rPh sb="4" eb="5">
      <t>ｴﾝ</t>
    </rPh>
    <phoneticPr fontId="2" type="noConversion"/>
  </si>
  <si>
    <t>CD40技能大劍斬+擊退(無)</t>
    <rPh sb="0" eb="2">
      <t>ﾑｹﾞﾝ</t>
    </rPh>
    <rPh sb="3" eb="4">
      <t>ｵｷ</t>
    </rPh>
    <rPh sb="4" eb="5">
      <t>ｴﾝ</t>
    </rPh>
    <phoneticPr fontId="2" type="noConversion"/>
  </si>
  <si>
    <t>CD20普攻範圍萬劍落+降攻(無)</t>
    <phoneticPr fontId="2" type="noConversion"/>
  </si>
  <si>
    <t>CD20技能範圍萬劍落+降攻(無)</t>
    <phoneticPr fontId="2" type="noConversion"/>
  </si>
  <si>
    <t>CD23普攻範圍手骨+恐懼(暗)</t>
    <phoneticPr fontId="2" type="noConversion"/>
  </si>
  <si>
    <t>CD23技能範圍手骨+恐懼(暗)</t>
    <phoneticPr fontId="2" type="noConversion"/>
  </si>
  <si>
    <t>CD8普攻前方範圍撲咬+擊退(無)</t>
    <phoneticPr fontId="2" type="noConversion"/>
  </si>
  <si>
    <t>CD8技能前方範圍撲咬+擊退(無)</t>
    <phoneticPr fontId="2" type="noConversion"/>
  </si>
  <si>
    <t>CD0普攻一直線半月斬(光)</t>
    <phoneticPr fontId="2" type="noConversion"/>
  </si>
  <si>
    <t>CD10技能一直線半月斬(光)</t>
    <phoneticPr fontId="2" type="noConversion"/>
  </si>
  <si>
    <t>CD10普攻直線擊退光束(光)</t>
    <phoneticPr fontId="2" type="noConversion"/>
  </si>
  <si>
    <t>CD10技能直線擊退光束(光)</t>
    <phoneticPr fontId="2" type="noConversion"/>
  </si>
  <si>
    <t>CD30普攻自身上護盾檔30000傷害</t>
    <phoneticPr fontId="2" type="noConversion"/>
  </si>
  <si>
    <t>CD30技能自身上護盾檔30000傷害</t>
    <phoneticPr fontId="2" type="noConversion"/>
  </si>
  <si>
    <t>CD20技能自身上強化攻擊Buff(擊退+高傷害)</t>
    <phoneticPr fontId="2" type="noConversion"/>
  </si>
  <si>
    <t>万丈の光刃</t>
    <phoneticPr fontId="1" type="noConversion"/>
  </si>
  <si>
    <t>万丈の光刃2</t>
    <phoneticPr fontId="1" type="noConversion"/>
  </si>
  <si>
    <t>万丈の光刃3</t>
    <phoneticPr fontId="1" type="noConversion"/>
  </si>
  <si>
    <t>ブライトネスシャドウ</t>
  </si>
  <si>
    <t>紅蓮の太刀</t>
    <phoneticPr fontId="2" type="noConversion"/>
  </si>
  <si>
    <t>火焔の太刀</t>
  </si>
  <si>
    <t>スターフォール</t>
    <phoneticPr fontId="2" type="noConversion"/>
  </si>
  <si>
    <t>破暁の秘法</t>
  </si>
  <si>
    <t>ビースト・スタンピード</t>
    <phoneticPr fontId="2" type="noConversion"/>
  </si>
  <si>
    <t>ワイルドシャウト</t>
  </si>
  <si>
    <t>ファントムイリュージョン</t>
    <phoneticPr fontId="2" type="noConversion"/>
  </si>
  <si>
    <t>氷結の死葬</t>
  </si>
  <si>
    <t>ファンタジーグッズ</t>
    <phoneticPr fontId="1" type="noConversion"/>
  </si>
  <si>
    <t>森の守護</t>
  </si>
  <si>
    <t>布蘭妲普攻1</t>
    <phoneticPr fontId="2" type="noConversion"/>
  </si>
  <si>
    <t>布蘭妲普攻2</t>
    <phoneticPr fontId="2"/>
  </si>
  <si>
    <t>布蘭妲普攻3_混亂</t>
    <phoneticPr fontId="2"/>
  </si>
  <si>
    <r>
      <t>打不到～打不到～</t>
    </r>
    <r>
      <rPr>
        <sz val="10"/>
        <rFont val="MS PMincho"/>
        <family val="1"/>
        <charset val="128"/>
      </rPr>
      <t>♪</t>
    </r>
    <rPh sb="0" eb="5">
      <t>ﾀﾂﾞﾅ</t>
    </rPh>
    <phoneticPr fontId="1" type="noConversion"/>
  </si>
  <si>
    <t>布蘭妲主動2_嘲諷周圍</t>
    <rPh sb="0" eb="5">
      <t>ﾀﾂﾞﾅ</t>
    </rPh>
    <phoneticPr fontId="1" type="noConversion"/>
  </si>
  <si>
    <t>你在看哪裡？</t>
    <phoneticPr fontId="2" type="noConversion"/>
  </si>
  <si>
    <t>公正なる審判</t>
    <phoneticPr fontId="1" type="noConversion"/>
  </si>
  <si>
    <t>呪いの縛鎖</t>
  </si>
  <si>
    <t>ダークネスイロード</t>
    <phoneticPr fontId="1" type="noConversion"/>
  </si>
  <si>
    <t>恐慌の黒夜</t>
  </si>
  <si>
    <t>エレメントカーテン</t>
    <phoneticPr fontId="1" type="noConversion"/>
  </si>
  <si>
    <t>エレメントカーテン2</t>
    <phoneticPr fontId="1" type="noConversion"/>
  </si>
  <si>
    <t>ノレッジスタート</t>
  </si>
  <si>
    <t>美蒂亞普攻1</t>
    <phoneticPr fontId="2" type="noConversion"/>
  </si>
  <si>
    <t>美蒂亞普攻2</t>
    <phoneticPr fontId="2" type="noConversion"/>
  </si>
  <si>
    <t>美蒂亞普攻3</t>
  </si>
  <si>
    <t>深沉咒詛</t>
    <rPh sb="0" eb="4">
      <t>ﾀﾂﾞﾅ</t>
    </rPh>
    <phoneticPr fontId="1" type="noConversion"/>
  </si>
  <si>
    <t>忌妒的束縛</t>
    <phoneticPr fontId="2" type="noConversion"/>
  </si>
  <si>
    <t>石化の魔眼</t>
    <phoneticPr fontId="1" type="noConversion"/>
  </si>
  <si>
    <t>可憐なる花冠</t>
  </si>
  <si>
    <t>海に捧げるセレナーデ</t>
    <phoneticPr fontId="1" type="noConversion"/>
  </si>
  <si>
    <t>水と癒やしのワルツ</t>
  </si>
  <si>
    <t>原初之劍</t>
    <phoneticPr fontId="2" type="noConversion"/>
  </si>
  <si>
    <t>盧恩魔槍</t>
    <phoneticPr fontId="2" type="noConversion"/>
  </si>
  <si>
    <t>天穹權杖</t>
    <phoneticPr fontId="2" type="noConversion"/>
  </si>
  <si>
    <t>天穹權杖2</t>
    <phoneticPr fontId="2" type="noConversion"/>
  </si>
  <si>
    <t>烈火之心</t>
    <phoneticPr fontId="2" type="noConversion"/>
  </si>
  <si>
    <t>泰坦肩甲</t>
    <phoneticPr fontId="2" type="noConversion"/>
  </si>
  <si>
    <t>星宿斗篷</t>
    <phoneticPr fontId="2" type="noConversion"/>
  </si>
  <si>
    <t>御命詩章</t>
    <phoneticPr fontId="2" type="noConversion"/>
  </si>
  <si>
    <t>伊卡路斯之翼</t>
    <phoneticPr fontId="2" type="noConversion"/>
  </si>
  <si>
    <t>伊卡路斯之翼2</t>
    <phoneticPr fontId="2" type="noConversion"/>
  </si>
  <si>
    <t>仲夏夜之淚</t>
    <phoneticPr fontId="2" type="noConversion"/>
  </si>
  <si>
    <t>殘光墜羽</t>
    <phoneticPr fontId="2" type="noConversion"/>
  </si>
  <si>
    <t>殘光墜羽2</t>
    <phoneticPr fontId="2" type="noConversion"/>
  </si>
  <si>
    <t>金絲披肩</t>
    <phoneticPr fontId="2" type="noConversion"/>
  </si>
  <si>
    <t>墨淵筆</t>
    <phoneticPr fontId="2" type="noConversion"/>
  </si>
  <si>
    <t>御命詩章2</t>
    <phoneticPr fontId="2" type="noConversion"/>
  </si>
  <si>
    <t>獸毛拳刃</t>
    <phoneticPr fontId="2" type="noConversion"/>
  </si>
  <si>
    <t>黑夜幻珠</t>
    <phoneticPr fontId="2" type="noConversion"/>
  </si>
  <si>
    <t>知慧羽筆</t>
    <phoneticPr fontId="2" type="noConversion"/>
  </si>
  <si>
    <t>手提花籃</t>
    <phoneticPr fontId="2" type="noConversion"/>
  </si>
  <si>
    <t>繞聲貝殼</t>
    <phoneticPr fontId="2" type="noConversion"/>
  </si>
  <si>
    <t>大顆松果</t>
  </si>
  <si>
    <t>鑑識放大鏡</t>
  </si>
  <si>
    <t>KNRハンマー</t>
    <phoneticPr fontId="2" type="noConversion"/>
  </si>
  <si>
    <t>KNRハンマー2</t>
    <phoneticPr fontId="2" type="noConversion"/>
  </si>
  <si>
    <t>レクイエムティアーズ</t>
    <phoneticPr fontId="2"/>
  </si>
  <si>
    <t>魔族騎士13每內死亡+絕對障壁+無法回血</t>
    <phoneticPr fontId="2" type="noConversion"/>
  </si>
  <si>
    <t>デストラクションポイズン</t>
  </si>
  <si>
    <t>21.6%神器技能</t>
    <rPh sb="7" eb="8">
      <t>ｶｷﾞ</t>
    </rPh>
    <phoneticPr fontId="1" type="noConversion"/>
  </si>
  <si>
    <t>36%神器技能</t>
    <rPh sb="0" eb="7">
      <t>ｶｷﾞ</t>
    </rPh>
    <phoneticPr fontId="1" type="noConversion"/>
  </si>
  <si>
    <t>60%神器技能</t>
    <rPh sb="0" eb="7">
      <t>ｶｷﾞ</t>
    </rPh>
    <phoneticPr fontId="1" type="noConversion"/>
  </si>
  <si>
    <t>封魔の盾</t>
    <phoneticPr fontId="2" type="noConversion"/>
  </si>
  <si>
    <t>烈火の心</t>
    <phoneticPr fontId="2" type="noConversion"/>
  </si>
  <si>
    <t>シャープエッジ</t>
    <phoneticPr fontId="2" type="noConversion"/>
  </si>
  <si>
    <t>シャープエッジ2</t>
    <phoneticPr fontId="2" type="noConversion"/>
  </si>
  <si>
    <t>王家の呪印</t>
    <phoneticPr fontId="2" type="noConversion"/>
  </si>
  <si>
    <t>ディザスター</t>
    <phoneticPr fontId="2" type="noConversion"/>
  </si>
  <si>
    <t>デビルズラック</t>
    <phoneticPr fontId="2" type="noConversion"/>
  </si>
  <si>
    <t>ゴースト・ダンス</t>
    <phoneticPr fontId="2" type="noConversion"/>
  </si>
  <si>
    <t>ゴースト・ダンス1</t>
    <phoneticPr fontId="2" type="noConversion"/>
  </si>
  <si>
    <t>ゴースト・ダンス2</t>
    <phoneticPr fontId="2" type="noConversion"/>
  </si>
  <si>
    <t>ゴースト・ダンス3</t>
    <phoneticPr fontId="2" type="noConversion"/>
  </si>
  <si>
    <t>垣間見える禁忌</t>
    <phoneticPr fontId="2" type="noConversion"/>
  </si>
  <si>
    <t>愛による虜</t>
    <phoneticPr fontId="2" type="noConversion"/>
  </si>
  <si>
    <t>愛による虜2</t>
    <phoneticPr fontId="2" type="noConversion"/>
  </si>
  <si>
    <t>キャッチハート</t>
    <phoneticPr fontId="2" type="noConversion"/>
  </si>
  <si>
    <t>奧德修斯普攻連擊2(風屬性)</t>
    <phoneticPr fontId="2" type="noConversion"/>
  </si>
  <si>
    <t>奧德修斯普攻連擊3(風屬性)</t>
    <phoneticPr fontId="2" type="noConversion"/>
  </si>
  <si>
    <t>バスターヴィント</t>
    <phoneticPr fontId="2" type="noConversion"/>
  </si>
  <si>
    <t>戰矛連襲3</t>
    <phoneticPr fontId="2" type="noConversion"/>
  </si>
  <si>
    <t>戰矛連襲4</t>
    <phoneticPr fontId="2" type="noConversion"/>
  </si>
  <si>
    <t>戰矛連襲5</t>
    <phoneticPr fontId="2" type="noConversion"/>
  </si>
  <si>
    <t>不滅の旅路</t>
    <rPh sb="0" eb="2">
      <t>ﾌﾒﾂ</t>
    </rPh>
    <rPh sb="3" eb="5">
      <t>ﾀﾋﾞｼﾞ</t>
    </rPh>
    <phoneticPr fontId="2" type="noConversion"/>
  </si>
  <si>
    <t>災厄の審判</t>
    <rPh sb="3" eb="5">
      <t>シンﾊﾟン</t>
    </rPh>
    <phoneticPr fontId="2" type="noConversion"/>
  </si>
  <si>
    <t>支配の王座</t>
    <rPh sb="0" eb="2">
      <t>シハイ</t>
    </rPh>
    <phoneticPr fontId="2" type="noConversion"/>
  </si>
  <si>
    <t>断罪のアティーカ</t>
    <rPh sb="0" eb="2">
      <t>ﾀﾞﾝｻﾞｲ</t>
    </rPh>
    <phoneticPr fontId="2" type="noConversion"/>
  </si>
  <si>
    <t>四方旋風刀</t>
    <rPh sb="0" eb="2">
      <t>ｼﾎｳ</t>
    </rPh>
    <rPh sb="2" eb="4">
      <t>ｾﾝﾌﾟｳ</t>
    </rPh>
    <rPh sb="4" eb="5">
      <t>ﾄｳ</t>
    </rPh>
    <phoneticPr fontId="2" type="noConversion"/>
  </si>
  <si>
    <t>束縛旋刀3</t>
    <phoneticPr fontId="2" type="noConversion"/>
  </si>
  <si>
    <t>束縛旋刀4</t>
    <phoneticPr fontId="2" type="noConversion"/>
  </si>
  <si>
    <t>絶命の鼓音</t>
    <rPh sb="0" eb="2">
      <t>ｾﾞﾂﾒｲ</t>
    </rPh>
    <rPh sb="3" eb="4">
      <t>ﾂﾂﾞﾐ</t>
    </rPh>
    <rPh sb="4" eb="5">
      <t>ｵﾄ</t>
    </rPh>
    <phoneticPr fontId="2" type="noConversion"/>
  </si>
  <si>
    <t>アブソルートシールド</t>
    <phoneticPr fontId="2" type="noConversion"/>
  </si>
  <si>
    <t>神剣の領域</t>
    <rPh sb="0" eb="1">
      <t>カミ</t>
    </rPh>
    <rPh sb="1" eb="2">
      <t>ケン</t>
    </rPh>
    <rPh sb="3" eb="5">
      <t>リョウイキ</t>
    </rPh>
    <phoneticPr fontId="2" type="noConversion"/>
  </si>
  <si>
    <t>ドラゴンハウリング</t>
    <phoneticPr fontId="2" type="noConversion"/>
  </si>
  <si>
    <t>獣の囁き</t>
    <rPh sb="0" eb="1">
      <t>ｼﾞュウ</t>
    </rPh>
    <rPh sb="2" eb="3">
      <t>ササヤ</t>
    </rPh>
    <phoneticPr fontId="2" type="noConversion"/>
  </si>
  <si>
    <t>ブラッドバーサーカー</t>
    <phoneticPr fontId="2" type="noConversion"/>
  </si>
  <si>
    <t>狂戦士の戦</t>
    <rPh sb="0" eb="3">
      <t>ｷｮｳｾﾝｼ</t>
    </rPh>
    <rPh sb="4" eb="5">
      <t>ｲｸｻ</t>
    </rPh>
    <phoneticPr fontId="2" type="noConversion"/>
  </si>
  <si>
    <t>ディバインシェルター</t>
    <phoneticPr fontId="2" type="noConversion"/>
  </si>
  <si>
    <t>光輝なる洗礼</t>
    <rPh sb="0" eb="2">
      <t>ｺｳｷ</t>
    </rPh>
    <rPh sb="4" eb="6">
      <t>センレイ</t>
    </rPh>
    <phoneticPr fontId="2" type="noConversion"/>
  </si>
  <si>
    <t>布倫希爾德普攻2衝鋒</t>
    <phoneticPr fontId="2" type="noConversion"/>
  </si>
  <si>
    <t>戦女神の魂</t>
    <rPh sb="0" eb="3">
      <t>ｲｸｻﾒｶﾞﾐ</t>
    </rPh>
    <rPh sb="4" eb="5">
      <t>タマシイ</t>
    </rPh>
    <phoneticPr fontId="2" type="noConversion"/>
  </si>
  <si>
    <t>我に恐れる心なし</t>
    <rPh sb="0" eb="1">
      <t>ﾜﾚ</t>
    </rPh>
    <rPh sb="2" eb="3">
      <t>ｵｿ</t>
    </rPh>
    <rPh sb="5" eb="6">
      <t>ｺｺﾛ</t>
    </rPh>
    <phoneticPr fontId="2" type="noConversion"/>
  </si>
  <si>
    <t>守護の翼</t>
    <rPh sb="3" eb="4">
      <t>ツﾊﾞサ</t>
    </rPh>
    <phoneticPr fontId="2" type="noConversion"/>
  </si>
  <si>
    <t>風の絆</t>
    <rPh sb="0" eb="1">
      <t>カｾﾞ</t>
    </rPh>
    <rPh sb="2" eb="3">
      <t>キｽﾞナ</t>
    </rPh>
    <phoneticPr fontId="2" type="noConversion"/>
  </si>
  <si>
    <t>イーグルアイズ</t>
    <phoneticPr fontId="2" type="noConversion"/>
  </si>
  <si>
    <t>コンセントレーション</t>
    <phoneticPr fontId="2" type="noConversion"/>
  </si>
  <si>
    <t>悪火斬</t>
    <rPh sb="0" eb="1">
      <t>アク</t>
    </rPh>
    <rPh sb="1" eb="2">
      <t>ヒ</t>
    </rPh>
    <phoneticPr fontId="2" type="noConversion"/>
  </si>
  <si>
    <t>フレイムインパクト</t>
    <phoneticPr fontId="2" type="noConversion"/>
  </si>
  <si>
    <t>リトリートマジック</t>
    <phoneticPr fontId="2" type="noConversion"/>
  </si>
  <si>
    <t>生者の詩歌</t>
    <rPh sb="0" eb="2">
      <t>ｾｲｼﾞｬ</t>
    </rPh>
    <rPh sb="3" eb="5">
      <t>ｼｲｶ</t>
    </rPh>
    <phoneticPr fontId="2" type="noConversion"/>
  </si>
  <si>
    <t>グラオザームの爪</t>
    <rPh sb="7" eb="8">
      <t>ﾂﾒ</t>
    </rPh>
    <phoneticPr fontId="2" type="noConversion"/>
  </si>
  <si>
    <t>ワイルドソウル</t>
    <phoneticPr fontId="2" type="noConversion"/>
  </si>
  <si>
    <t>ブレイズマッサカー</t>
    <phoneticPr fontId="2" type="noConversion"/>
  </si>
  <si>
    <t>女神に与えられし守護</t>
    <rPh sb="0" eb="2">
      <t>メｶﾞミ</t>
    </rPh>
    <rPh sb="3" eb="4">
      <t>ｱﾀ</t>
    </rPh>
    <rPh sb="8" eb="10">
      <t>ｼｭｺﾞ</t>
    </rPh>
    <phoneticPr fontId="2" type="noConversion"/>
  </si>
  <si>
    <t>致命なる狩殺</t>
    <rPh sb="0" eb="2">
      <t>ﾁﾒｲ</t>
    </rPh>
    <rPh sb="4" eb="6">
      <t>ｼｭｻﾂ</t>
    </rPh>
    <phoneticPr fontId="2" type="noConversion"/>
  </si>
  <si>
    <t>神速疾走</t>
    <rPh sb="0" eb="2">
      <t>ｼﾝｿｸ</t>
    </rPh>
    <rPh sb="2" eb="4">
      <t>ｼｯｿｳ</t>
    </rPh>
    <phoneticPr fontId="2" type="noConversion"/>
  </si>
  <si>
    <t>アロガンスの手綱</t>
    <rPh sb="6" eb="8">
      <t>ﾀﾂﾞﾅ</t>
    </rPh>
    <phoneticPr fontId="2" type="noConversion"/>
  </si>
  <si>
    <t>アイアントランプル</t>
    <phoneticPr fontId="2" type="noConversion"/>
  </si>
  <si>
    <t>万丈の光刃</t>
    <phoneticPr fontId="2" type="noConversion"/>
  </si>
  <si>
    <t>万丈の光刃2</t>
    <phoneticPr fontId="2" type="noConversion"/>
  </si>
  <si>
    <t>万丈の光刃3</t>
    <phoneticPr fontId="2" type="noConversion"/>
  </si>
  <si>
    <t>ブライトネスシャドウ</t>
    <phoneticPr fontId="2" type="noConversion"/>
  </si>
  <si>
    <t>火焔の太刀</t>
    <phoneticPr fontId="2" type="noConversion"/>
  </si>
  <si>
    <t>破暁の秘法</t>
    <phoneticPr fontId="2" type="noConversion"/>
  </si>
  <si>
    <t>ワイルドシャウト</t>
    <phoneticPr fontId="2" type="noConversion"/>
  </si>
  <si>
    <t>氷結の死葬</t>
    <phoneticPr fontId="2" type="noConversion"/>
  </si>
  <si>
    <t>ファンタジーグッズ</t>
    <phoneticPr fontId="2" type="noConversion"/>
  </si>
  <si>
    <t>森の守護</t>
    <phoneticPr fontId="2" type="noConversion"/>
  </si>
  <si>
    <t>公正なる審判</t>
    <phoneticPr fontId="2" type="noConversion"/>
  </si>
  <si>
    <t>呪いの縛鎖</t>
    <phoneticPr fontId="2" type="noConversion"/>
  </si>
  <si>
    <t>ダークネスイロード</t>
    <phoneticPr fontId="2" type="noConversion"/>
  </si>
  <si>
    <t>恐慌の黒夜</t>
    <phoneticPr fontId="2" type="noConversion"/>
  </si>
  <si>
    <t>エレメントカーテン</t>
    <phoneticPr fontId="2" type="noConversion"/>
  </si>
  <si>
    <t>エレメントカーテン2</t>
    <phoneticPr fontId="2" type="noConversion"/>
  </si>
  <si>
    <t>石化の魔眼</t>
    <phoneticPr fontId="2" type="noConversion"/>
  </si>
  <si>
    <t>海に捧げるセレナーデ</t>
    <phoneticPr fontId="2" type="noConversion"/>
  </si>
  <si>
    <t>天雷</t>
    <phoneticPr fontId="2" type="noConversion"/>
  </si>
  <si>
    <t>802/882/872/843/943</t>
    <phoneticPr fontId="2" type="noConversion"/>
  </si>
  <si>
    <t>805/883/872/1208/843/943</t>
    <phoneticPr fontId="2" type="noConversion"/>
  </si>
  <si>
    <t>804/891/883/872/843/943</t>
    <phoneticPr fontId="2" type="noConversion"/>
  </si>
  <si>
    <t>802/891/883/872/843/943</t>
    <phoneticPr fontId="2" type="noConversion"/>
  </si>
  <si>
    <t>813/883/872/843/943</t>
    <phoneticPr fontId="2" type="noConversion"/>
  </si>
  <si>
    <t>804/893/883/872/843/943</t>
    <phoneticPr fontId="2" type="noConversion"/>
  </si>
  <si>
    <t>803/883/872/843/943</t>
    <phoneticPr fontId="2" type="noConversion"/>
  </si>
  <si>
    <t>803/882/872/843/943</t>
    <phoneticPr fontId="2" type="noConversion"/>
  </si>
  <si>
    <t>803/891/882/872/843/943</t>
    <phoneticPr fontId="2" type="noConversion"/>
  </si>
  <si>
    <t>803/882/891/872/843/943</t>
    <phoneticPr fontId="2" type="noConversion"/>
  </si>
  <si>
    <t>803/872/882/872/843/943</t>
    <phoneticPr fontId="2" type="noConversion"/>
  </si>
  <si>
    <t>1137/882/872/843/943</t>
    <phoneticPr fontId="2" type="noConversion"/>
  </si>
  <si>
    <t>803/872/882/843/943</t>
    <phoneticPr fontId="2" type="noConversion"/>
  </si>
  <si>
    <t>110401@110701#1/110401@110701#1/110401@110701#1@110901#1</t>
  </si>
  <si>
    <t>110401#1@110701#2/110401#1@110701#2/110401#1@110701#2@110901#2</t>
    <phoneticPr fontId="2" type="noConversion"/>
  </si>
  <si>
    <t>ID</t>
    <phoneticPr fontId="2" type="noConversion"/>
  </si>
  <si>
    <t>玩家用天神</t>
    <phoneticPr fontId="2" type="noConversion"/>
  </si>
  <si>
    <t>托托</t>
    <phoneticPr fontId="2" type="noConversion"/>
  </si>
  <si>
    <t>野生綠松鼠</t>
    <phoneticPr fontId="2" type="noConversion"/>
  </si>
  <si>
    <t>咪咪</t>
    <phoneticPr fontId="2" type="noConversion"/>
  </si>
  <si>
    <t>奇斯美</t>
    <phoneticPr fontId="2" type="noConversion"/>
  </si>
  <si>
    <t>索夫特與珊莎莉緹</t>
    <phoneticPr fontId="2" type="noConversion"/>
  </si>
  <si>
    <t>人形NPC</t>
    <phoneticPr fontId="2" type="noConversion"/>
  </si>
  <si>
    <t>火蠻族隊長</t>
    <phoneticPr fontId="2" type="noConversion"/>
  </si>
  <si>
    <t>玩家用EXP角</t>
    <phoneticPr fontId="2" type="noConversion"/>
  </si>
  <si>
    <t>人類</t>
    <phoneticPr fontId="2" type="noConversion"/>
  </si>
  <si>
    <t>一般怪物</t>
    <phoneticPr fontId="2" type="noConversion"/>
  </si>
  <si>
    <t>冰寒溫光水蝶</t>
    <phoneticPr fontId="2" type="noConversion"/>
  </si>
  <si>
    <t>赫拉斯瓦爾格爾</t>
    <phoneticPr fontId="2" type="noConversion"/>
  </si>
  <si>
    <t>赫拉斯瓦爾格爾</t>
  </si>
  <si>
    <t>天使騎兵</t>
  </si>
  <si>
    <t>天使法師</t>
  </si>
  <si>
    <t>天使長</t>
  </si>
  <si>
    <t>雞蛇</t>
    <phoneticPr fontId="2" type="noConversion"/>
  </si>
  <si>
    <t>特化怪</t>
    <phoneticPr fontId="2" type="noConversion"/>
  </si>
  <si>
    <t>召喚飛馬</t>
    <phoneticPr fontId="2" type="noConversion"/>
  </si>
  <si>
    <t>訓服鳥妖</t>
    <phoneticPr fontId="2" type="noConversion"/>
  </si>
  <si>
    <t>訓服毒海獸</t>
    <phoneticPr fontId="2" type="noConversion"/>
  </si>
  <si>
    <t>時間到死亡怪物</t>
    <phoneticPr fontId="2" type="noConversion"/>
  </si>
  <si>
    <t>雙頭毒蛇</t>
    <phoneticPr fontId="2" type="noConversion"/>
  </si>
  <si>
    <t>1秒內死亡怪物</t>
    <phoneticPr fontId="2" type="noConversion"/>
  </si>
  <si>
    <t>召喚獅鷲</t>
    <phoneticPr fontId="2" type="noConversion"/>
  </si>
  <si>
    <t>愛犬</t>
    <phoneticPr fontId="2" type="noConversion"/>
  </si>
  <si>
    <t>壓測用BOSS</t>
    <phoneticPr fontId="2" type="noConversion"/>
  </si>
  <si>
    <t>專武BOSS</t>
    <phoneticPr fontId="2" type="noConversion"/>
  </si>
  <si>
    <t>幻影冰巨人長老</t>
    <phoneticPr fontId="2" type="noConversion"/>
  </si>
  <si>
    <t>幻影冰巨人王</t>
    <phoneticPr fontId="2" type="noConversion"/>
  </si>
  <si>
    <t>玩家召喚怪</t>
    <phoneticPr fontId="2" type="noConversion"/>
  </si>
  <si>
    <t>魔族騎士</t>
    <phoneticPr fontId="2" type="noConversion"/>
  </si>
  <si>
    <t>魔族幻影</t>
    <phoneticPr fontId="2" type="noConversion"/>
  </si>
  <si>
    <t>官方好友</t>
    <phoneticPr fontId="2" type="noConversion"/>
  </si>
  <si>
    <t>葛拉爾_測試</t>
    <phoneticPr fontId="2" type="noConversion"/>
  </si>
  <si>
    <t>杜華林_測試</t>
    <phoneticPr fontId="2" type="noConversion"/>
  </si>
  <si>
    <t>人魚_測試</t>
    <phoneticPr fontId="2" type="noConversion"/>
  </si>
  <si>
    <t>獵獅_測試</t>
    <phoneticPr fontId="2" type="noConversion"/>
  </si>
  <si>
    <t>測試用獵獅</t>
    <phoneticPr fontId="2" type="noConversion"/>
  </si>
  <si>
    <t>屬性</t>
    <phoneticPr fontId="2" type="noConversion"/>
  </si>
  <si>
    <t>艾維斯</t>
    <phoneticPr fontId="2" type="noConversion"/>
  </si>
  <si>
    <t>盧米耶</t>
  </si>
  <si>
    <t>賽希爾</t>
  </si>
  <si>
    <t>艾斯</t>
  </si>
  <si>
    <t>古爾薇格</t>
  </si>
  <si>
    <t>芙蘭</t>
  </si>
  <si>
    <t>美樂妮</t>
  </si>
  <si>
    <t>阿芙菈</t>
  </si>
  <si>
    <t>布蘭妲</t>
  </si>
  <si>
    <t>卡蜜菈</t>
  </si>
  <si>
    <t>伊蒂絲</t>
  </si>
  <si>
    <t>妮可</t>
  </si>
  <si>
    <t>美蒂亞</t>
  </si>
  <si>
    <t>忒希亞</t>
  </si>
  <si>
    <t>莎碧娜</t>
  </si>
  <si>
    <t>歐錫恩</t>
    <phoneticPr fontId="2" type="noConversion"/>
  </si>
  <si>
    <t>布拉德</t>
    <phoneticPr fontId="2" type="noConversion"/>
  </si>
  <si>
    <t>幽靈化希貝兒</t>
    <phoneticPr fontId="2" type="noConversion"/>
  </si>
  <si>
    <t>無項鍊版修</t>
    <phoneticPr fontId="2" type="noConversion"/>
  </si>
  <si>
    <t>無寵物版維克多</t>
    <phoneticPr fontId="2" type="noConversion"/>
  </si>
  <si>
    <t>羽毛版亞特蘭特</t>
    <phoneticPr fontId="2" type="noConversion"/>
  </si>
  <si>
    <t>無閃電版亞瑟</t>
    <phoneticPr fontId="2" type="noConversion"/>
  </si>
  <si>
    <t>幽靈花環希貝兒</t>
    <phoneticPr fontId="2" type="noConversion"/>
  </si>
  <si>
    <t>芬里爾</t>
    <phoneticPr fontId="2" type="noConversion"/>
  </si>
  <si>
    <t>刺客</t>
    <phoneticPr fontId="2" type="noConversion"/>
  </si>
  <si>
    <t>騎士</t>
    <phoneticPr fontId="2" type="noConversion"/>
  </si>
  <si>
    <t>獵獅</t>
    <phoneticPr fontId="2" type="noConversion"/>
  </si>
  <si>
    <t>小牛怪</t>
    <phoneticPr fontId="2" type="noConversion"/>
  </si>
  <si>
    <t>小型地獄犬</t>
    <phoneticPr fontId="2" type="noConversion"/>
  </si>
  <si>
    <t>獅鷲</t>
    <phoneticPr fontId="2" type="noConversion"/>
  </si>
  <si>
    <t>毒海獸</t>
    <phoneticPr fontId="2" type="noConversion"/>
  </si>
  <si>
    <t>刻律涅牝鹿</t>
    <phoneticPr fontId="2" type="noConversion"/>
  </si>
  <si>
    <t>不死鳥</t>
    <phoneticPr fontId="2" type="noConversion"/>
  </si>
  <si>
    <t>人面獅</t>
    <phoneticPr fontId="2" type="noConversion"/>
  </si>
  <si>
    <t>人馬騎士</t>
    <phoneticPr fontId="2" type="noConversion"/>
  </si>
  <si>
    <t>杜林</t>
    <phoneticPr fontId="2" type="noConversion"/>
  </si>
  <si>
    <t>布羅克</t>
    <phoneticPr fontId="2" type="noConversion"/>
  </si>
  <si>
    <t>基利</t>
    <phoneticPr fontId="2" type="noConversion"/>
  </si>
  <si>
    <t>戈爾貢女妖</t>
  </si>
  <si>
    <t>人面獅身獸</t>
    <phoneticPr fontId="2" type="noConversion"/>
  </si>
  <si>
    <t>人馬獵手</t>
    <phoneticPr fontId="2" type="noConversion"/>
  </si>
  <si>
    <t>劇毒翼蜥</t>
    <phoneticPr fontId="2" type="noConversion"/>
  </si>
  <si>
    <t>血性獵獅</t>
    <phoneticPr fontId="2" type="noConversion"/>
  </si>
  <si>
    <t>巨型獅鷲</t>
    <phoneticPr fontId="2" type="noConversion"/>
  </si>
  <si>
    <t>卡律布狄斯</t>
    <phoneticPr fontId="2" type="noConversion"/>
  </si>
  <si>
    <t>血嗜巨犬</t>
    <phoneticPr fontId="2" type="noConversion"/>
  </si>
  <si>
    <t>斯萊布尼爾</t>
    <phoneticPr fontId="2" type="noConversion"/>
  </si>
  <si>
    <t>尤彌爾</t>
    <phoneticPr fontId="2" type="noConversion"/>
  </si>
  <si>
    <t>魅魔槍兵</t>
    <phoneticPr fontId="2" type="noConversion"/>
  </si>
  <si>
    <t>安德華利</t>
    <phoneticPr fontId="2" type="noConversion"/>
  </si>
  <si>
    <t>珀伽索斯</t>
    <phoneticPr fontId="2" type="noConversion"/>
  </si>
  <si>
    <t>寧芙</t>
    <phoneticPr fontId="2" type="noConversion"/>
  </si>
  <si>
    <t>唱詩人魚</t>
    <phoneticPr fontId="2" type="noConversion"/>
  </si>
  <si>
    <t>媚惑海妖</t>
    <phoneticPr fontId="2" type="noConversion"/>
  </si>
  <si>
    <t>巨毒海獸</t>
    <phoneticPr fontId="2" type="noConversion"/>
  </si>
  <si>
    <t>大型海馬</t>
    <phoneticPr fontId="2" type="noConversion"/>
  </si>
  <si>
    <t>穆斯佩王</t>
    <phoneticPr fontId="2" type="noConversion"/>
  </si>
  <si>
    <t>大型地獄犬</t>
    <phoneticPr fontId="2" type="noConversion"/>
  </si>
  <si>
    <t>強壯喀邁拉</t>
    <phoneticPr fontId="2" type="noConversion"/>
  </si>
  <si>
    <t>彌諾陶洛斯</t>
    <phoneticPr fontId="2" type="noConversion"/>
  </si>
  <si>
    <t>斯庫爾</t>
    <phoneticPr fontId="2" type="noConversion"/>
  </si>
  <si>
    <t>卡呂冬野豬</t>
    <phoneticPr fontId="2" type="noConversion"/>
  </si>
  <si>
    <t>獨眼巨人</t>
    <phoneticPr fontId="2" type="noConversion"/>
  </si>
  <si>
    <t>歐德姆布拉</t>
    <phoneticPr fontId="2" type="noConversion"/>
  </si>
  <si>
    <t>喀邁拉</t>
    <phoneticPr fontId="2" type="noConversion"/>
  </si>
  <si>
    <t>葛拉爾</t>
    <phoneticPr fontId="2" type="noConversion"/>
  </si>
  <si>
    <t>杜華林</t>
    <phoneticPr fontId="2" type="noConversion"/>
  </si>
  <si>
    <t>女冰巨人</t>
    <phoneticPr fontId="2" type="noConversion"/>
  </si>
  <si>
    <t>獨眼怪</t>
    <phoneticPr fontId="2" type="noConversion"/>
  </si>
  <si>
    <t>鳥妖王</t>
    <phoneticPr fontId="2" type="noConversion"/>
  </si>
  <si>
    <t>巨型野豬</t>
    <phoneticPr fontId="2" type="noConversion"/>
  </si>
  <si>
    <t>幻影獨眼怪</t>
    <phoneticPr fontId="2" type="noConversion"/>
  </si>
  <si>
    <t>幻影獵獅</t>
    <phoneticPr fontId="2" type="noConversion"/>
  </si>
  <si>
    <t>龍</t>
    <phoneticPr fontId="2" type="noConversion"/>
  </si>
  <si>
    <t>鬥技勇者</t>
    <phoneticPr fontId="2" type="noConversion"/>
  </si>
  <si>
    <t>溫光水蝶亞種</t>
    <phoneticPr fontId="2" type="noConversion"/>
  </si>
  <si>
    <t>巨翼鳥妖</t>
    <phoneticPr fontId="2" type="noConversion"/>
  </si>
  <si>
    <t>最初的歐德姆布拉</t>
    <phoneticPr fontId="2" type="noConversion"/>
  </si>
  <si>
    <t>純粹的喀邁拉</t>
    <phoneticPr fontId="2" type="noConversion"/>
  </si>
  <si>
    <t>假面的喀戎</t>
    <phoneticPr fontId="2" type="noConversion"/>
  </si>
  <si>
    <t>強奪的哈耳庇厄</t>
    <phoneticPr fontId="2" type="noConversion"/>
  </si>
  <si>
    <t>追月的加爾姆</t>
    <phoneticPr fontId="2" type="noConversion"/>
  </si>
  <si>
    <t>匠師葛拉爾</t>
    <phoneticPr fontId="2" type="noConversion"/>
  </si>
  <si>
    <t>匠師杜華林</t>
    <phoneticPr fontId="2" type="noConversion"/>
  </si>
  <si>
    <t>獨眼之布隆特斯</t>
    <phoneticPr fontId="2" type="noConversion"/>
  </si>
  <si>
    <t>詩之歌頌者</t>
    <phoneticPr fontId="2" type="noConversion"/>
  </si>
  <si>
    <t>劇毒卡律布狄斯</t>
    <phoneticPr fontId="2" type="noConversion"/>
  </si>
  <si>
    <t>破浪者</t>
    <phoneticPr fontId="2" type="noConversion"/>
  </si>
  <si>
    <t>星座卡刺努斯</t>
    <phoneticPr fontId="2" type="noConversion"/>
  </si>
  <si>
    <t>怨恨者斯庫拉</t>
    <phoneticPr fontId="2" type="noConversion"/>
  </si>
  <si>
    <t>起源之摩索尼爾</t>
    <phoneticPr fontId="2" type="noConversion"/>
  </si>
  <si>
    <t>永生的菲尼克斯</t>
    <phoneticPr fontId="2" type="noConversion"/>
  </si>
  <si>
    <t>純粹黑暗的喀邁拉</t>
    <phoneticPr fontId="2" type="noConversion"/>
  </si>
  <si>
    <t>飛鷹之格里芬</t>
    <phoneticPr fontId="2" type="noConversion"/>
  </si>
  <si>
    <t>匠師布羅克</t>
    <phoneticPr fontId="2" type="noConversion"/>
  </si>
  <si>
    <t>懼日者阿爾維斯</t>
    <phoneticPr fontId="2" type="noConversion"/>
  </si>
  <si>
    <t>思想的斯萊布尼爾</t>
    <phoneticPr fontId="2" type="noConversion"/>
  </si>
  <si>
    <t>殘暴者彌諾陶洛斯</t>
    <phoneticPr fontId="2" type="noConversion"/>
  </si>
  <si>
    <t>匠師辛德里</t>
    <phoneticPr fontId="2" type="noConversion"/>
  </si>
  <si>
    <t>怨怒之葛拉爾</t>
    <phoneticPr fontId="2" type="noConversion"/>
  </si>
  <si>
    <t>詛咒之法夫尼爾</t>
    <phoneticPr fontId="2" type="noConversion"/>
  </si>
  <si>
    <t>吞噬之斯庫爾</t>
    <phoneticPr fontId="2" type="noConversion"/>
  </si>
  <si>
    <t>冬日之芬里爾</t>
    <phoneticPr fontId="2" type="noConversion"/>
  </si>
  <si>
    <t>幻影海德拉</t>
    <phoneticPr fontId="2" type="noConversion"/>
  </si>
  <si>
    <t>幻影彌諾陶洛斯</t>
    <phoneticPr fontId="2" type="noConversion"/>
  </si>
  <si>
    <t>幻影法夫尼爾</t>
    <phoneticPr fontId="2" type="noConversion"/>
  </si>
  <si>
    <t>幻影分裂海德拉</t>
    <phoneticPr fontId="2" type="noConversion"/>
  </si>
  <si>
    <t>幻影獵人頭目</t>
    <phoneticPr fontId="2" type="noConversion"/>
  </si>
  <si>
    <t>幻影卡律布狄斯</t>
    <phoneticPr fontId="2" type="noConversion"/>
  </si>
  <si>
    <t>幻影喀邁拉</t>
    <phoneticPr fontId="2" type="noConversion"/>
  </si>
  <si>
    <t>幻影芬里爾</t>
    <phoneticPr fontId="2" type="noConversion"/>
  </si>
  <si>
    <t>幻影力士隊長</t>
    <phoneticPr fontId="2" type="noConversion"/>
  </si>
  <si>
    <t>幻影伏拉亞</t>
    <phoneticPr fontId="2" type="noConversion"/>
  </si>
  <si>
    <t>幻影斯庫拉</t>
    <phoneticPr fontId="2" type="noConversion"/>
  </si>
  <si>
    <t>幻影維克多</t>
    <phoneticPr fontId="2" type="noConversion"/>
  </si>
  <si>
    <t>幻影世界樹公雞</t>
    <phoneticPr fontId="2" type="noConversion"/>
  </si>
  <si>
    <t>幻影路德</t>
    <phoneticPr fontId="2" type="noConversion"/>
  </si>
  <si>
    <t>幻影加爾姆</t>
    <phoneticPr fontId="2" type="noConversion"/>
  </si>
  <si>
    <t>幻影克利絲汀</t>
    <phoneticPr fontId="2" type="noConversion"/>
  </si>
  <si>
    <t>幻影紫蘭</t>
    <phoneticPr fontId="2" type="noConversion"/>
  </si>
  <si>
    <t>幻影尼德霍格</t>
    <phoneticPr fontId="2" type="noConversion"/>
  </si>
  <si>
    <t>幻影冬盟隊長</t>
    <phoneticPr fontId="2" type="noConversion"/>
  </si>
  <si>
    <t>幻影巨獅</t>
    <phoneticPr fontId="2" type="noConversion"/>
  </si>
  <si>
    <t>幻影冰寒溫光水蝶</t>
    <phoneticPr fontId="2" type="noConversion"/>
  </si>
  <si>
    <t>幻影女冰巨人</t>
    <phoneticPr fontId="2" type="noConversion"/>
  </si>
  <si>
    <t>幻影戴安娜</t>
    <phoneticPr fontId="2" type="noConversion"/>
  </si>
  <si>
    <t>幻影拉塔托斯克</t>
  </si>
  <si>
    <t>幻影獨角海馬</t>
    <phoneticPr fontId="2" type="noConversion"/>
  </si>
  <si>
    <t>幻影希瑞爾</t>
    <phoneticPr fontId="2" type="noConversion"/>
  </si>
  <si>
    <t>卡菈(官方)</t>
    <phoneticPr fontId="2" type="noConversion"/>
  </si>
  <si>
    <t>亞特蘭特(官方)</t>
    <phoneticPr fontId="2" type="noConversion"/>
  </si>
  <si>
    <t>阿諾德(官方)</t>
    <phoneticPr fontId="2" type="noConversion"/>
  </si>
</sst>
</file>

<file path=xl/styles.xml><?xml version="1.0" encoding="utf-8"?>
<styleSheet xmlns="http://schemas.openxmlformats.org/spreadsheetml/2006/main">
  <fonts count="23">
    <font>
      <sz val="12"/>
      <name val="新細明體"/>
      <family val="1"/>
      <charset val="136"/>
    </font>
    <font>
      <sz val="12"/>
      <name val="新細明體"/>
      <family val="1"/>
      <charset val="136"/>
    </font>
    <font>
      <sz val="9"/>
      <name val="新細明體"/>
      <family val="1"/>
      <charset val="136"/>
    </font>
    <font>
      <sz val="12"/>
      <color indexed="10"/>
      <name val="新細明體"/>
      <family val="1"/>
      <charset val="136"/>
    </font>
    <font>
      <u/>
      <sz val="12"/>
      <color indexed="12"/>
      <name val="新細明體"/>
      <family val="1"/>
      <charset val="136"/>
    </font>
    <font>
      <b/>
      <sz val="12"/>
      <name val="新細明體"/>
      <family val="1"/>
      <charset val="136"/>
    </font>
    <font>
      <b/>
      <sz val="9"/>
      <color indexed="81"/>
      <name val="新細明體"/>
      <family val="1"/>
      <charset val="136"/>
    </font>
    <font>
      <sz val="9"/>
      <color indexed="81"/>
      <name val="新細明體"/>
      <family val="1"/>
      <charset val="136"/>
    </font>
    <font>
      <b/>
      <sz val="9"/>
      <color indexed="81"/>
      <name val="Tahoma"/>
      <family val="2"/>
    </font>
    <font>
      <b/>
      <sz val="9"/>
      <color indexed="81"/>
      <name val="細明體"/>
      <family val="3"/>
      <charset val="136"/>
    </font>
    <font>
      <sz val="9"/>
      <color indexed="81"/>
      <name val="Tahoma"/>
      <family val="2"/>
    </font>
    <font>
      <sz val="9"/>
      <color indexed="81"/>
      <name val="細明體"/>
      <family val="3"/>
      <charset val="136"/>
    </font>
    <font>
      <sz val="12"/>
      <color rgb="FFFF0000"/>
      <name val="新細明體"/>
      <family val="1"/>
      <charset val="136"/>
    </font>
    <font>
      <sz val="12"/>
      <color theme="0"/>
      <name val="新細明體"/>
      <family val="1"/>
      <charset val="136"/>
    </font>
    <font>
      <b/>
      <sz val="10"/>
      <name val="新細明體"/>
      <family val="1"/>
      <charset val="136"/>
      <scheme val="minor"/>
    </font>
    <font>
      <sz val="10"/>
      <name val="新細明體"/>
      <family val="1"/>
      <charset val="136"/>
      <scheme val="minor"/>
    </font>
    <font>
      <b/>
      <sz val="10"/>
      <color theme="0"/>
      <name val="新細明體"/>
      <family val="1"/>
      <charset val="136"/>
      <scheme val="minor"/>
    </font>
    <font>
      <sz val="10"/>
      <color indexed="8"/>
      <name val="新細明體"/>
      <family val="1"/>
      <charset val="136"/>
    </font>
    <font>
      <b/>
      <sz val="10"/>
      <name val="新細明體"/>
      <family val="1"/>
      <charset val="136"/>
    </font>
    <font>
      <sz val="10"/>
      <name val="新細明體"/>
      <family val="1"/>
      <charset val="136"/>
    </font>
    <font>
      <sz val="10"/>
      <color indexed="9"/>
      <name val="新細明體"/>
      <family val="1"/>
      <charset val="136"/>
    </font>
    <font>
      <sz val="10"/>
      <name val="MS PMincho"/>
      <family val="1"/>
      <charset val="128"/>
    </font>
    <font>
      <u/>
      <sz val="10"/>
      <name val="新細明體"/>
      <family val="1"/>
      <charset val="136"/>
      <scheme val="minor"/>
    </font>
  </fonts>
  <fills count="19">
    <fill>
      <patternFill patternType="none"/>
    </fill>
    <fill>
      <patternFill patternType="gray125"/>
    </fill>
    <fill>
      <patternFill patternType="solid">
        <fgColor indexed="13"/>
        <bgColor indexed="64"/>
      </patternFill>
    </fill>
    <fill>
      <patternFill patternType="solid">
        <fgColor indexed="53"/>
        <bgColor indexed="64"/>
      </patternFill>
    </fill>
    <fill>
      <patternFill patternType="solid">
        <fgColor indexed="52"/>
        <bgColor indexed="64"/>
      </patternFill>
    </fill>
    <fill>
      <patternFill patternType="solid">
        <fgColor theme="6"/>
        <bgColor indexed="64"/>
      </patternFill>
    </fill>
    <fill>
      <patternFill patternType="solid">
        <fgColor theme="0" tint="-0.499984740745262"/>
        <bgColor indexed="64"/>
      </patternFill>
    </fill>
    <fill>
      <patternFill patternType="solid">
        <fgColor rgb="FFFFC000"/>
        <bgColor indexed="64"/>
      </patternFill>
    </fill>
    <fill>
      <patternFill patternType="solid">
        <fgColor theme="1"/>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64"/>
      </patternFill>
    </fill>
    <fill>
      <patternFill patternType="solid">
        <fgColor indexed="5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5"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6">
    <xf numFmtId="0" fontId="0" fillId="0" borderId="0">
      <alignment vertical="center"/>
    </xf>
    <xf numFmtId="0" fontId="4"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alignment vertical="center"/>
    </xf>
  </cellStyleXfs>
  <cellXfs count="120">
    <xf numFmtId="0" fontId="0" fillId="0" borderId="0" xfId="0">
      <alignment vertical="center"/>
    </xf>
    <xf numFmtId="0" fontId="0" fillId="0" borderId="1" xfId="0" applyBorder="1">
      <alignment vertical="center"/>
    </xf>
    <xf numFmtId="0" fontId="0" fillId="0" borderId="1" xfId="0" applyBorder="1" applyAlignment="1">
      <alignment horizontal="center" vertical="center"/>
    </xf>
    <xf numFmtId="0" fontId="0" fillId="2" borderId="0" xfId="0" applyFill="1">
      <alignment vertical="center"/>
    </xf>
    <xf numFmtId="0" fontId="3" fillId="0" borderId="0" xfId="0" applyFont="1">
      <alignment vertical="center"/>
    </xf>
    <xf numFmtId="0" fontId="0" fillId="2" borderId="1" xfId="0" applyFill="1" applyBorder="1" applyAlignment="1">
      <alignment horizontal="center" vertical="center"/>
    </xf>
    <xf numFmtId="49" fontId="1" fillId="0" borderId="1" xfId="0" applyNumberFormat="1" applyFont="1" applyFill="1" applyBorder="1" applyAlignment="1">
      <alignment horizontal="center" vertical="center"/>
    </xf>
    <xf numFmtId="0" fontId="0" fillId="3" borderId="0" xfId="0" applyFill="1">
      <alignment vertical="center"/>
    </xf>
    <xf numFmtId="0" fontId="1" fillId="4" borderId="1" xfId="0" applyFont="1" applyFill="1" applyBorder="1">
      <alignment vertical="center"/>
    </xf>
    <xf numFmtId="0" fontId="5" fillId="4" borderId="1" xfId="0" applyFont="1" applyFill="1" applyBorder="1">
      <alignment vertical="center"/>
    </xf>
    <xf numFmtId="49" fontId="0" fillId="0" borderId="1" xfId="0" applyNumberFormat="1" applyFill="1" applyBorder="1" applyAlignment="1">
      <alignment horizontal="center" vertical="center"/>
    </xf>
    <xf numFmtId="0" fontId="12" fillId="0" borderId="0" xfId="0" applyFont="1">
      <alignment vertical="center"/>
    </xf>
    <xf numFmtId="0" fontId="5" fillId="0" borderId="0" xfId="0" applyFont="1">
      <alignment vertical="center"/>
    </xf>
    <xf numFmtId="0" fontId="0" fillId="5" borderId="0" xfId="0" applyFill="1">
      <alignment vertical="center"/>
    </xf>
    <xf numFmtId="0" fontId="0" fillId="5" borderId="0" xfId="0" applyFill="1" applyAlignment="1">
      <alignment horizontal="center" vertical="center"/>
    </xf>
    <xf numFmtId="49" fontId="4" fillId="0" borderId="0" xfId="1" applyNumberFormat="1" applyFill="1" applyAlignment="1" applyProtection="1">
      <alignment horizontal="left" vertical="center"/>
    </xf>
    <xf numFmtId="0" fontId="0" fillId="0" borderId="0" xfId="0" applyNumberFormat="1">
      <alignment vertical="center"/>
    </xf>
    <xf numFmtId="0" fontId="0" fillId="8" borderId="0" xfId="0" applyFill="1">
      <alignment vertical="center"/>
    </xf>
    <xf numFmtId="0" fontId="13" fillId="8" borderId="0" xfId="0" applyFont="1" applyFill="1">
      <alignment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NumberFormat="1" applyFill="1" applyBorder="1" applyAlignment="1">
      <alignment horizontal="center" vertical="center"/>
    </xf>
    <xf numFmtId="0" fontId="14" fillId="0" borderId="0" xfId="0" applyFont="1" applyBorder="1" applyAlignment="1">
      <alignment horizontal="center"/>
    </xf>
    <xf numFmtId="0" fontId="14" fillId="7" borderId="0" xfId="0" applyFont="1" applyFill="1" applyBorder="1" applyAlignment="1">
      <alignment horizontal="center"/>
    </xf>
    <xf numFmtId="0" fontId="15" fillId="0" borderId="0" xfId="0" applyFont="1" applyBorder="1" applyAlignment="1">
      <alignment horizontal="center"/>
    </xf>
    <xf numFmtId="0" fontId="15" fillId="6" borderId="0" xfId="0" applyFont="1" applyFill="1" applyBorder="1" applyAlignment="1">
      <alignment horizontal="center"/>
    </xf>
    <xf numFmtId="0" fontId="15" fillId="0" borderId="0" xfId="0" applyFont="1" applyFill="1" applyBorder="1" applyAlignment="1">
      <alignment horizontal="center"/>
    </xf>
    <xf numFmtId="49" fontId="15" fillId="7" borderId="0" xfId="0" applyNumberFormat="1" applyFont="1" applyFill="1" applyBorder="1" applyAlignment="1">
      <alignment horizontal="center"/>
    </xf>
    <xf numFmtId="49" fontId="15" fillId="0" borderId="0" xfId="0" applyNumberFormat="1" applyFont="1" applyFill="1" applyAlignment="1">
      <alignment horizontal="center"/>
    </xf>
    <xf numFmtId="0" fontId="14" fillId="0" borderId="0" xfId="0" applyFont="1" applyBorder="1" applyAlignment="1">
      <alignment horizontal="left" vertical="center"/>
    </xf>
    <xf numFmtId="0" fontId="16" fillId="8" borderId="0" xfId="0" applyFont="1" applyFill="1" applyBorder="1" applyAlignment="1">
      <alignment horizontal="left" vertical="center"/>
    </xf>
    <xf numFmtId="0" fontId="15" fillId="11" borderId="0" xfId="2" applyFont="1" applyFill="1" applyBorder="1" applyAlignment="1">
      <alignment horizontal="left" vertical="center"/>
    </xf>
    <xf numFmtId="0" fontId="15" fillId="0" borderId="0" xfId="2" applyFont="1" applyFill="1" applyBorder="1" applyAlignment="1">
      <alignment horizontal="left" vertical="center"/>
    </xf>
    <xf numFmtId="49" fontId="15" fillId="11" borderId="0" xfId="2" applyNumberFormat="1" applyFont="1" applyFill="1" applyBorder="1" applyAlignment="1">
      <alignment horizontal="left" vertical="center"/>
    </xf>
    <xf numFmtId="49" fontId="15" fillId="11" borderId="0" xfId="3" applyNumberFormat="1" applyFont="1" applyFill="1" applyBorder="1" applyAlignment="1">
      <alignment horizontal="left" vertical="center"/>
    </xf>
    <xf numFmtId="0" fontId="15" fillId="10" borderId="0" xfId="0" applyFont="1" applyFill="1" applyBorder="1" applyAlignment="1">
      <alignment horizontal="left" vertical="center"/>
    </xf>
    <xf numFmtId="0" fontId="15" fillId="0" borderId="0" xfId="0" applyFont="1" applyBorder="1" applyAlignment="1">
      <alignment horizontal="left" vertical="center"/>
    </xf>
    <xf numFmtId="0" fontId="15" fillId="6" borderId="0" xfId="0" applyFont="1" applyFill="1" applyBorder="1" applyAlignment="1">
      <alignment horizontal="left" vertical="center"/>
    </xf>
    <xf numFmtId="0" fontId="14" fillId="0" borderId="0" xfId="0" applyFont="1" applyBorder="1" applyAlignment="1">
      <alignment horizontal="center" vertical="center"/>
    </xf>
    <xf numFmtId="0" fontId="16" fillId="8" borderId="0" xfId="0" applyFont="1" applyFill="1" applyBorder="1" applyAlignment="1">
      <alignment horizontal="center" vertical="center"/>
    </xf>
    <xf numFmtId="0" fontId="15" fillId="11" borderId="0" xfId="2" applyFont="1" applyFill="1" applyBorder="1" applyAlignment="1">
      <alignment horizontal="center" vertical="center"/>
    </xf>
    <xf numFmtId="0" fontId="15" fillId="0" borderId="0" xfId="2" applyFont="1" applyFill="1" applyBorder="1" applyAlignment="1">
      <alignment horizontal="center" vertical="center"/>
    </xf>
    <xf numFmtId="49" fontId="15" fillId="11" borderId="0" xfId="2" applyNumberFormat="1" applyFont="1" applyFill="1" applyBorder="1" applyAlignment="1">
      <alignment horizontal="center" vertical="center"/>
    </xf>
    <xf numFmtId="49" fontId="15" fillId="11" borderId="0" xfId="3" applyNumberFormat="1" applyFont="1" applyFill="1" applyBorder="1" applyAlignment="1">
      <alignment horizontal="center" vertical="center"/>
    </xf>
    <xf numFmtId="0" fontId="15" fillId="10" borderId="0" xfId="0" applyFont="1" applyFill="1" applyBorder="1" applyAlignment="1">
      <alignment horizontal="center" vertical="center"/>
    </xf>
    <xf numFmtId="0" fontId="15" fillId="0" borderId="0" xfId="0" applyFont="1" applyFill="1" applyBorder="1" applyAlignment="1">
      <alignment horizontal="center" vertical="center"/>
    </xf>
    <xf numFmtId="0" fontId="15" fillId="0" borderId="0" xfId="0" applyFont="1" applyBorder="1" applyAlignment="1">
      <alignment horizontal="center" vertical="center"/>
    </xf>
    <xf numFmtId="0" fontId="15" fillId="6" borderId="0" xfId="0" applyFont="1" applyFill="1" applyBorder="1" applyAlignment="1">
      <alignment horizontal="center" vertical="center"/>
    </xf>
    <xf numFmtId="10" fontId="0" fillId="0" borderId="0" xfId="0" applyNumberFormat="1">
      <alignment vertical="center"/>
    </xf>
    <xf numFmtId="49" fontId="16" fillId="8" borderId="1" xfId="0" applyNumberFormat="1" applyFont="1" applyFill="1" applyBorder="1" applyAlignment="1">
      <alignment horizontal="center"/>
    </xf>
    <xf numFmtId="10" fontId="14" fillId="10" borderId="1" xfId="0" applyNumberFormat="1" applyFont="1" applyFill="1" applyBorder="1" applyAlignment="1">
      <alignment horizontal="center"/>
    </xf>
    <xf numFmtId="49" fontId="14" fillId="10" borderId="1" xfId="0" applyNumberFormat="1" applyFont="1" applyFill="1" applyBorder="1" applyAlignment="1">
      <alignment horizontal="center"/>
    </xf>
    <xf numFmtId="10" fontId="16" fillId="8" borderId="1" xfId="0" applyNumberFormat="1" applyFont="1" applyFill="1" applyBorder="1" applyAlignment="1">
      <alignment horizontal="center"/>
    </xf>
    <xf numFmtId="10" fontId="0" fillId="0" borderId="1" xfId="0" applyNumberFormat="1" applyBorder="1">
      <alignment vertical="center"/>
    </xf>
    <xf numFmtId="49" fontId="16" fillId="8" borderId="2" xfId="0" applyNumberFormat="1" applyFont="1" applyFill="1" applyBorder="1" applyAlignment="1">
      <alignment horizontal="center"/>
    </xf>
    <xf numFmtId="10" fontId="14" fillId="10" borderId="2" xfId="0" applyNumberFormat="1" applyFont="1" applyFill="1" applyBorder="1" applyAlignment="1">
      <alignment horizontal="center"/>
    </xf>
    <xf numFmtId="49" fontId="14" fillId="10" borderId="2" xfId="0" applyNumberFormat="1" applyFont="1" applyFill="1" applyBorder="1" applyAlignment="1">
      <alignment horizontal="center"/>
    </xf>
    <xf numFmtId="10" fontId="16" fillId="8" borderId="2" xfId="0" applyNumberFormat="1" applyFont="1" applyFill="1" applyBorder="1" applyAlignment="1">
      <alignment horizontal="center"/>
    </xf>
    <xf numFmtId="0" fontId="0" fillId="9" borderId="0" xfId="0" applyFill="1">
      <alignment vertical="center"/>
    </xf>
    <xf numFmtId="0" fontId="15" fillId="0" borderId="0" xfId="0" applyFont="1" applyBorder="1">
      <alignment vertical="center"/>
    </xf>
    <xf numFmtId="0" fontId="15" fillId="0" borderId="0" xfId="0" applyNumberFormat="1" applyFont="1" applyFill="1" applyBorder="1" applyAlignment="1">
      <alignment horizontal="center" vertical="center"/>
    </xf>
    <xf numFmtId="0" fontId="0" fillId="0" borderId="0" xfId="0" applyFont="1">
      <alignment vertical="center"/>
    </xf>
    <xf numFmtId="0" fontId="17" fillId="0" borderId="0" xfId="0" applyFont="1" applyAlignment="1">
      <alignment horizontal="center" vertical="center"/>
    </xf>
    <xf numFmtId="49" fontId="15" fillId="0" borderId="0" xfId="0" applyNumberFormat="1" applyFont="1" applyFill="1" applyBorder="1" applyAlignment="1">
      <alignment horizontal="left" vertical="center"/>
    </xf>
    <xf numFmtId="49" fontId="15" fillId="0" borderId="0" xfId="0" applyNumberFormat="1" applyFont="1" applyBorder="1" applyAlignment="1">
      <alignment horizontal="center"/>
    </xf>
    <xf numFmtId="0" fontId="15" fillId="0" borderId="0" xfId="0" applyFont="1" applyBorder="1" applyAlignment="1">
      <alignment horizontal="right"/>
    </xf>
    <xf numFmtId="0" fontId="15" fillId="0" borderId="0" xfId="0" applyFont="1" applyFill="1" applyBorder="1" applyAlignment="1">
      <alignment horizontal="right"/>
    </xf>
    <xf numFmtId="0" fontId="0" fillId="0" borderId="1" xfId="0" applyBorder="1" applyAlignment="1">
      <alignment horizontal="center" vertical="center"/>
    </xf>
    <xf numFmtId="49" fontId="15" fillId="0" borderId="0" xfId="0" applyNumberFormat="1" applyFont="1" applyFill="1" applyAlignment="1">
      <alignment horizontal="left" vertical="center"/>
    </xf>
    <xf numFmtId="49" fontId="15" fillId="7" borderId="0" xfId="0" applyNumberFormat="1" applyFont="1" applyFill="1" applyAlignment="1">
      <alignment horizontal="left"/>
    </xf>
    <xf numFmtId="0" fontId="0" fillId="9" borderId="1" xfId="0" applyFill="1" applyBorder="1">
      <alignment vertical="center"/>
    </xf>
    <xf numFmtId="10" fontId="0" fillId="9" borderId="1" xfId="0" applyNumberFormat="1" applyFill="1" applyBorder="1">
      <alignment vertical="center"/>
    </xf>
    <xf numFmtId="0" fontId="16" fillId="0" borderId="0" xfId="0" applyFont="1" applyFill="1" applyBorder="1" applyAlignment="1">
      <alignment horizontal="center" vertical="center"/>
    </xf>
    <xf numFmtId="0" fontId="15" fillId="6" borderId="0" xfId="2" applyFont="1" applyFill="1" applyBorder="1" applyAlignment="1">
      <alignment horizontal="center" vertical="center"/>
    </xf>
    <xf numFmtId="49" fontId="15" fillId="0" borderId="0" xfId="2" applyNumberFormat="1" applyFont="1" applyFill="1" applyBorder="1" applyAlignment="1">
      <alignment horizontal="center" vertical="center"/>
    </xf>
    <xf numFmtId="0" fontId="16" fillId="0" borderId="0" xfId="0" applyFont="1" applyFill="1" applyBorder="1" applyAlignment="1">
      <alignment horizontal="left" vertical="center"/>
    </xf>
    <xf numFmtId="0" fontId="15" fillId="6" borderId="0" xfId="2" applyFont="1" applyFill="1" applyBorder="1" applyAlignment="1">
      <alignment horizontal="left" vertical="center"/>
    </xf>
    <xf numFmtId="0" fontId="15" fillId="0" borderId="0" xfId="0" applyFont="1" applyFill="1" applyBorder="1" applyAlignment="1">
      <alignment horizontal="left" vertical="center"/>
    </xf>
    <xf numFmtId="49" fontId="15" fillId="0" borderId="0" xfId="0" applyNumberFormat="1" applyFont="1" applyBorder="1" applyAlignment="1">
      <alignment horizontal="left" vertical="center"/>
    </xf>
    <xf numFmtId="49" fontId="15" fillId="13" borderId="0" xfId="0" applyNumberFormat="1" applyFont="1" applyFill="1" applyAlignment="1">
      <alignment horizontal="left"/>
    </xf>
    <xf numFmtId="0" fontId="15" fillId="14" borderId="0" xfId="0" applyFont="1" applyFill="1" applyAlignment="1">
      <alignment horizontal="left" vertical="center"/>
    </xf>
    <xf numFmtId="49" fontId="15" fillId="6" borderId="0" xfId="0" applyNumberFormat="1" applyFont="1" applyFill="1" applyBorder="1" applyAlignment="1">
      <alignment horizontal="center"/>
    </xf>
    <xf numFmtId="0" fontId="15" fillId="0" borderId="1" xfId="0" applyNumberFormat="1" applyFont="1" applyFill="1" applyBorder="1" applyAlignment="1">
      <alignment horizontal="center" vertical="center"/>
    </xf>
    <xf numFmtId="0" fontId="15" fillId="0" borderId="0" xfId="3" applyNumberFormat="1" applyFont="1" applyFill="1" applyAlignment="1">
      <alignment horizontal="center" vertical="center"/>
    </xf>
    <xf numFmtId="0" fontId="18" fillId="0" borderId="1" xfId="4" applyFont="1" applyBorder="1" applyAlignment="1">
      <alignment horizontal="center" vertical="center"/>
    </xf>
    <xf numFmtId="0" fontId="19" fillId="0" borderId="1" xfId="4" applyFont="1" applyBorder="1" applyAlignment="1">
      <alignment horizontal="center" vertical="center"/>
    </xf>
    <xf numFmtId="0" fontId="19" fillId="0" borderId="1" xfId="4" applyFont="1" applyFill="1" applyBorder="1" applyAlignment="1">
      <alignment horizontal="center" vertical="center"/>
    </xf>
    <xf numFmtId="0" fontId="19" fillId="6" borderId="1" xfId="4" applyFont="1" applyFill="1" applyBorder="1" applyAlignment="1">
      <alignment horizontal="center" vertical="center"/>
    </xf>
    <xf numFmtId="0" fontId="19" fillId="15" borderId="1" xfId="4" applyFont="1" applyFill="1" applyBorder="1" applyAlignment="1">
      <alignment horizontal="center" vertical="center"/>
    </xf>
    <xf numFmtId="0" fontId="19" fillId="16" borderId="1" xfId="4" applyFont="1" applyFill="1" applyBorder="1" applyAlignment="1">
      <alignment horizontal="center" vertical="center"/>
    </xf>
    <xf numFmtId="0" fontId="19" fillId="7" borderId="1" xfId="4" applyFont="1" applyFill="1" applyBorder="1" applyAlignment="1">
      <alignment horizontal="center" vertical="center"/>
    </xf>
    <xf numFmtId="0" fontId="19" fillId="0" borderId="1" xfId="0" applyFont="1" applyBorder="1" applyAlignment="1">
      <alignment horizontal="center" vertical="center"/>
    </xf>
    <xf numFmtId="49" fontId="15" fillId="0" borderId="1" xfId="0" applyNumberFormat="1" applyFont="1" applyFill="1" applyBorder="1" applyAlignment="1">
      <alignment horizontal="center" vertical="center"/>
    </xf>
    <xf numFmtId="0" fontId="15" fillId="0" borderId="1" xfId="4" applyFont="1" applyFill="1" applyBorder="1" applyAlignment="1">
      <alignment horizontal="center" vertical="center"/>
    </xf>
    <xf numFmtId="0" fontId="19" fillId="0" borderId="1" xfId="0" applyFont="1" applyFill="1" applyBorder="1" applyAlignment="1">
      <alignment horizontal="center" vertical="center"/>
    </xf>
    <xf numFmtId="0" fontId="18" fillId="0" borderId="1" xfId="4" applyFont="1" applyBorder="1" applyAlignment="1">
      <alignment horizontal="left" vertical="center"/>
    </xf>
    <xf numFmtId="0" fontId="19" fillId="12" borderId="1" xfId="4" applyFont="1" applyFill="1" applyBorder="1" applyAlignment="1">
      <alignment horizontal="left" vertical="center"/>
    </xf>
    <xf numFmtId="0" fontId="19" fillId="0" borderId="1" xfId="4" applyFont="1" applyBorder="1" applyAlignment="1">
      <alignment horizontal="left" vertical="center"/>
    </xf>
    <xf numFmtId="49" fontId="19" fillId="0" borderId="1" xfId="0" applyNumberFormat="1" applyFont="1" applyFill="1" applyBorder="1" applyAlignment="1">
      <alignment horizontal="left" vertical="center"/>
    </xf>
    <xf numFmtId="49" fontId="15" fillId="0" borderId="1" xfId="0" applyNumberFormat="1" applyFont="1" applyFill="1" applyBorder="1" applyAlignment="1">
      <alignment horizontal="left" vertical="center"/>
    </xf>
    <xf numFmtId="0" fontId="19" fillId="6" borderId="1" xfId="4" applyFont="1" applyFill="1" applyBorder="1" applyAlignment="1">
      <alignment horizontal="left" vertical="center"/>
    </xf>
    <xf numFmtId="0" fontId="19" fillId="0" borderId="1" xfId="4" applyFont="1" applyFill="1" applyBorder="1" applyAlignment="1">
      <alignment horizontal="left" vertical="center"/>
    </xf>
    <xf numFmtId="0" fontId="19" fillId="15" borderId="1" xfId="4" applyFont="1" applyFill="1" applyBorder="1" applyAlignment="1">
      <alignment horizontal="left" vertical="center"/>
    </xf>
    <xf numFmtId="0" fontId="19" fillId="16" borderId="1" xfId="4" applyFont="1" applyFill="1" applyBorder="1" applyAlignment="1">
      <alignment horizontal="left" vertical="center"/>
    </xf>
    <xf numFmtId="49" fontId="15" fillId="16" borderId="1" xfId="0" applyNumberFormat="1" applyFont="1" applyFill="1" applyBorder="1" applyAlignment="1">
      <alignment horizontal="left" vertical="center"/>
    </xf>
    <xf numFmtId="0" fontId="19" fillId="0" borderId="1" xfId="0" applyFont="1" applyBorder="1" applyAlignment="1">
      <alignment horizontal="left" vertical="center"/>
    </xf>
    <xf numFmtId="0" fontId="19" fillId="7" borderId="1" xfId="4" applyFont="1" applyFill="1" applyBorder="1" applyAlignment="1">
      <alignment horizontal="left" vertical="center"/>
    </xf>
    <xf numFmtId="0" fontId="15" fillId="0" borderId="1" xfId="4" applyFont="1" applyFill="1" applyBorder="1" applyAlignment="1">
      <alignment horizontal="left" vertical="center"/>
    </xf>
    <xf numFmtId="0" fontId="19" fillId="0" borderId="1" xfId="0" applyFont="1" applyFill="1" applyBorder="1" applyAlignment="1">
      <alignment horizontal="left" vertical="center"/>
    </xf>
    <xf numFmtId="0" fontId="18" fillId="0" borderId="1" xfId="0" applyFont="1" applyFill="1" applyBorder="1" applyAlignment="1">
      <alignment horizontal="left" vertical="center"/>
    </xf>
    <xf numFmtId="0" fontId="0" fillId="0" borderId="1" xfId="0" applyBorder="1" applyAlignment="1">
      <alignment horizontal="center" vertical="center"/>
    </xf>
    <xf numFmtId="0" fontId="22" fillId="0" borderId="0" xfId="1" applyNumberFormat="1" applyFont="1" applyFill="1" applyAlignment="1" applyProtection="1">
      <alignment horizontal="right" vertical="center"/>
    </xf>
    <xf numFmtId="0" fontId="15" fillId="7" borderId="0" xfId="0" applyFont="1" applyFill="1" applyBorder="1" applyAlignment="1">
      <alignment horizontal="center"/>
    </xf>
    <xf numFmtId="0" fontId="15" fillId="15" borderId="0" xfId="0" applyFont="1" applyFill="1" applyBorder="1" applyAlignment="1">
      <alignment horizontal="center"/>
    </xf>
    <xf numFmtId="0" fontId="15" fillId="17" borderId="0" xfId="0" applyFont="1" applyFill="1" applyBorder="1" applyAlignment="1">
      <alignment horizontal="center"/>
    </xf>
    <xf numFmtId="0" fontId="15" fillId="9" borderId="0" xfId="0" applyFont="1" applyFill="1" applyBorder="1" applyAlignment="1">
      <alignment horizontal="center"/>
    </xf>
    <xf numFmtId="0" fontId="15" fillId="18" borderId="0" xfId="0" applyFont="1" applyFill="1" applyBorder="1" applyAlignment="1">
      <alignment horizontal="center"/>
    </xf>
    <xf numFmtId="49" fontId="15" fillId="0" borderId="0" xfId="0" applyNumberFormat="1" applyFont="1" applyFill="1" applyBorder="1" applyAlignment="1">
      <alignment horizontal="center"/>
    </xf>
    <xf numFmtId="0" fontId="15" fillId="0" borderId="0" xfId="0" applyFont="1" applyFill="1" applyBorder="1" applyAlignment="1">
      <alignment horizontal="left"/>
    </xf>
    <xf numFmtId="49" fontId="15" fillId="18" borderId="0" xfId="0" applyNumberFormat="1" applyFont="1" applyFill="1" applyBorder="1" applyAlignment="1">
      <alignment horizontal="center"/>
    </xf>
  </cellXfs>
  <cellStyles count="6">
    <cellStyle name="一般" xfId="0" builtinId="0"/>
    <cellStyle name="一般 2" xfId="5"/>
    <cellStyle name="一般_item" xfId="2"/>
    <cellStyle name="一般_Sheet1" xfId="3"/>
    <cellStyle name="一般_temp" xfId="4"/>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17</xdr:col>
      <xdr:colOff>657225</xdr:colOff>
      <xdr:row>4</xdr:row>
      <xdr:rowOff>161925</xdr:rowOff>
    </xdr:from>
    <xdr:to>
      <xdr:col>20</xdr:col>
      <xdr:colOff>142875</xdr:colOff>
      <xdr:row>6</xdr:row>
      <xdr:rowOff>171450</xdr:rowOff>
    </xdr:to>
    <xdr:sp macro="[0]!DeserializeEnemyData" textlink="">
      <xdr:nvSpPr>
        <xdr:cNvPr id="2" name="圓角矩形 1"/>
        <xdr:cNvSpPr/>
      </xdr:nvSpPr>
      <xdr:spPr>
        <a:xfrm>
          <a:off x="12468225" y="1000125"/>
          <a:ext cx="154305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t>DeserializeEnemyData</a:t>
          </a:r>
          <a:endParaRPr lang="zh-TW" altLang="en-US" sz="1100"/>
        </a:p>
      </xdr:txBody>
    </xdr:sp>
    <xdr:clientData/>
  </xdr:twoCellAnchor>
  <xdr:twoCellAnchor>
    <xdr:from>
      <xdr:col>17</xdr:col>
      <xdr:colOff>676275</xdr:colOff>
      <xdr:row>7</xdr:row>
      <xdr:rowOff>142875</xdr:rowOff>
    </xdr:from>
    <xdr:to>
      <xdr:col>20</xdr:col>
      <xdr:colOff>161925</xdr:colOff>
      <xdr:row>9</xdr:row>
      <xdr:rowOff>152400</xdr:rowOff>
    </xdr:to>
    <xdr:sp macro="[0]!LevelUp" textlink="">
      <xdr:nvSpPr>
        <xdr:cNvPr id="3" name="圓角矩形 2"/>
        <xdr:cNvSpPr/>
      </xdr:nvSpPr>
      <xdr:spPr>
        <a:xfrm>
          <a:off x="13201650" y="1609725"/>
          <a:ext cx="154305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t>LevelUp</a:t>
          </a:r>
          <a:endParaRPr lang="zh-TW" altLang="en-US" sz="1100"/>
        </a:p>
      </xdr:txBody>
    </xdr:sp>
    <xdr:clientData/>
  </xdr:twoCellAnchor>
  <xdr:twoCellAnchor>
    <xdr:from>
      <xdr:col>17</xdr:col>
      <xdr:colOff>676275</xdr:colOff>
      <xdr:row>10</xdr:row>
      <xdr:rowOff>171450</xdr:rowOff>
    </xdr:from>
    <xdr:to>
      <xdr:col>20</xdr:col>
      <xdr:colOff>161925</xdr:colOff>
      <xdr:row>12</xdr:row>
      <xdr:rowOff>180975</xdr:rowOff>
    </xdr:to>
    <xdr:sp macro="[0]!LevelDown" textlink="">
      <xdr:nvSpPr>
        <xdr:cNvPr id="4" name="圓角矩形 3"/>
        <xdr:cNvSpPr/>
      </xdr:nvSpPr>
      <xdr:spPr>
        <a:xfrm>
          <a:off x="13268325" y="2266950"/>
          <a:ext cx="154305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t>LevelDown</a:t>
          </a:r>
          <a:endParaRPr lang="zh-TW" altLang="en-US" sz="1100"/>
        </a:p>
      </xdr:txBody>
    </xdr:sp>
    <xdr:clientData/>
  </xdr:twoCellAnchor>
  <xdr:twoCellAnchor>
    <xdr:from>
      <xdr:col>20</xdr:col>
      <xdr:colOff>361950</xdr:colOff>
      <xdr:row>7</xdr:row>
      <xdr:rowOff>123825</xdr:rowOff>
    </xdr:from>
    <xdr:to>
      <xdr:col>22</xdr:col>
      <xdr:colOff>533400</xdr:colOff>
      <xdr:row>9</xdr:row>
      <xdr:rowOff>133350</xdr:rowOff>
    </xdr:to>
    <xdr:sp macro="[0]!RankUp" textlink="">
      <xdr:nvSpPr>
        <xdr:cNvPr id="5" name="圓角矩形 4"/>
        <xdr:cNvSpPr/>
      </xdr:nvSpPr>
      <xdr:spPr>
        <a:xfrm>
          <a:off x="15011400" y="1590675"/>
          <a:ext cx="154305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t>RankUp</a:t>
          </a:r>
          <a:endParaRPr lang="zh-TW" altLang="en-US" sz="1100"/>
        </a:p>
      </xdr:txBody>
    </xdr:sp>
    <xdr:clientData/>
  </xdr:twoCellAnchor>
  <xdr:twoCellAnchor>
    <xdr:from>
      <xdr:col>20</xdr:col>
      <xdr:colOff>390525</xdr:colOff>
      <xdr:row>10</xdr:row>
      <xdr:rowOff>133350</xdr:rowOff>
    </xdr:from>
    <xdr:to>
      <xdr:col>22</xdr:col>
      <xdr:colOff>561975</xdr:colOff>
      <xdr:row>12</xdr:row>
      <xdr:rowOff>142875</xdr:rowOff>
    </xdr:to>
    <xdr:sp macro="[0]!RankDown" textlink="">
      <xdr:nvSpPr>
        <xdr:cNvPr id="6" name="圓角矩形 5"/>
        <xdr:cNvSpPr/>
      </xdr:nvSpPr>
      <xdr:spPr>
        <a:xfrm>
          <a:off x="15039975" y="2228850"/>
          <a:ext cx="154305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t>RankDown</a:t>
          </a:r>
          <a:endParaRPr lang="zh-TW"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0</xdr:colOff>
      <xdr:row>8</xdr:row>
      <xdr:rowOff>0</xdr:rowOff>
    </xdr:from>
    <xdr:to>
      <xdr:col>21</xdr:col>
      <xdr:colOff>171450</xdr:colOff>
      <xdr:row>10</xdr:row>
      <xdr:rowOff>9525</xdr:rowOff>
    </xdr:to>
    <xdr:sp macro="[0]!DeserializeDropData" textlink="">
      <xdr:nvSpPr>
        <xdr:cNvPr id="2" name="圓角矩形 1"/>
        <xdr:cNvSpPr/>
      </xdr:nvSpPr>
      <xdr:spPr>
        <a:xfrm>
          <a:off x="14258925" y="1676400"/>
          <a:ext cx="154305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t>DeserializeDropData</a:t>
          </a:r>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666750</xdr:colOff>
      <xdr:row>0</xdr:row>
      <xdr:rowOff>190500</xdr:rowOff>
    </xdr:from>
    <xdr:to>
      <xdr:col>2</xdr:col>
      <xdr:colOff>838200</xdr:colOff>
      <xdr:row>2</xdr:row>
      <xdr:rowOff>200025</xdr:rowOff>
    </xdr:to>
    <xdr:sp macro="[0]!DeserializePSkillData" textlink="">
      <xdr:nvSpPr>
        <xdr:cNvPr id="2" name="圓角矩形 1"/>
        <xdr:cNvSpPr/>
      </xdr:nvSpPr>
      <xdr:spPr>
        <a:xfrm>
          <a:off x="666750" y="190500"/>
          <a:ext cx="154305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t>DeserializePSkillData</a:t>
          </a:r>
          <a:endParaRPr lang="zh-TW" altLang="en-US" sz="1100"/>
        </a:p>
      </xdr:txBody>
    </xdr:sp>
    <xdr:clientData/>
  </xdr:twoCellAnchor>
  <xdr:twoCellAnchor>
    <xdr:from>
      <xdr:col>2</xdr:col>
      <xdr:colOff>952500</xdr:colOff>
      <xdr:row>0</xdr:row>
      <xdr:rowOff>190500</xdr:rowOff>
    </xdr:from>
    <xdr:to>
      <xdr:col>5</xdr:col>
      <xdr:colOff>180975</xdr:colOff>
      <xdr:row>2</xdr:row>
      <xdr:rowOff>200025</xdr:rowOff>
    </xdr:to>
    <xdr:sp macro="[0]!SerializePSkillData" textlink="">
      <xdr:nvSpPr>
        <xdr:cNvPr id="4" name="圓角矩形 3"/>
        <xdr:cNvSpPr/>
      </xdr:nvSpPr>
      <xdr:spPr>
        <a:xfrm>
          <a:off x="2428875" y="190500"/>
          <a:ext cx="1647825"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t>SerializePSkillData</a:t>
          </a:r>
          <a:endParaRPr lang="zh-TW"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ameDesign/PDT/PDT_JP/&#36039;&#26009;&#34920;&#26684;/&#35079;&#26412;%20&#33521;&#38596;_JP.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ero"/>
      <sheetName val="#ALIAS"/>
      <sheetName val="#DEFINE"/>
      <sheetName val="#PARAM"/>
      <sheetName val="#OPTION"/>
      <sheetName val="#OUTPUT"/>
      <sheetName val="#使用說明"/>
    </sheetNames>
    <sheetDataSet>
      <sheetData sheetId="0"/>
      <sheetData sheetId="1"/>
      <sheetData sheetId="2"/>
      <sheetData sheetId="3"/>
      <sheetData sheetId="4">
        <row r="2">
          <cell r="D2" t="str">
            <v>個人</v>
          </cell>
        </row>
        <row r="3">
          <cell r="D3" t="str">
            <v>全體</v>
          </cell>
        </row>
      </sheetData>
      <sheetData sheetId="5"/>
      <sheetData sheetId="6"/>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1"/>
  <dimension ref="A2:X181"/>
  <sheetViews>
    <sheetView tabSelected="1" zoomScaleNormal="100" workbookViewId="0">
      <selection activeCell="C8" sqref="C8"/>
    </sheetView>
  </sheetViews>
  <sheetFormatPr defaultRowHeight="16.5"/>
  <cols>
    <col min="2" max="2" width="11.75" customWidth="1"/>
    <col min="3" max="3" width="7.75" customWidth="1"/>
    <col min="4" max="4" width="14" customWidth="1"/>
    <col min="6" max="6" width="14.25" customWidth="1"/>
    <col min="8" max="8" width="9.5" bestFit="1" customWidth="1"/>
  </cols>
  <sheetData>
    <row r="2" spans="1:24" s="17" customFormat="1">
      <c r="C2" s="18" t="s">
        <v>147</v>
      </c>
    </row>
    <row r="3" spans="1:24">
      <c r="B3" s="12" t="s">
        <v>122</v>
      </c>
      <c r="C3" s="111" t="s">
        <v>3475</v>
      </c>
    </row>
    <row r="4" spans="1:24">
      <c r="B4" s="12" t="s">
        <v>124</v>
      </c>
      <c r="C4" t="s">
        <v>123</v>
      </c>
    </row>
    <row r="5" spans="1:24">
      <c r="B5" s="110" t="s">
        <v>14</v>
      </c>
      <c r="C5" s="110"/>
      <c r="D5" s="110" t="s">
        <v>15</v>
      </c>
      <c r="E5" s="110"/>
      <c r="F5" s="110" t="s">
        <v>16</v>
      </c>
      <c r="G5" s="110"/>
      <c r="H5" s="110" t="s">
        <v>17</v>
      </c>
      <c r="I5" s="110"/>
      <c r="J5" s="110" t="s">
        <v>18</v>
      </c>
      <c r="K5" s="110"/>
      <c r="L5" s="110" t="s">
        <v>19</v>
      </c>
      <c r="M5" s="110"/>
      <c r="N5" s="110" t="s">
        <v>20</v>
      </c>
      <c r="O5" s="110"/>
      <c r="P5" s="110" t="s">
        <v>21</v>
      </c>
      <c r="Q5" s="110"/>
    </row>
    <row r="6" spans="1:24">
      <c r="B6" s="5" t="s">
        <v>0</v>
      </c>
      <c r="C6" s="5" t="s">
        <v>1</v>
      </c>
      <c r="D6" s="5" t="s">
        <v>0</v>
      </c>
      <c r="E6" s="5" t="s">
        <v>1</v>
      </c>
      <c r="F6" s="5" t="s">
        <v>0</v>
      </c>
      <c r="G6" s="5" t="s">
        <v>1</v>
      </c>
      <c r="H6" s="5" t="s">
        <v>0</v>
      </c>
      <c r="I6" s="5" t="s">
        <v>1</v>
      </c>
      <c r="J6" s="5" t="s">
        <v>0</v>
      </c>
      <c r="K6" s="5" t="s">
        <v>1</v>
      </c>
      <c r="L6" s="5" t="s">
        <v>0</v>
      </c>
      <c r="M6" s="5" t="s">
        <v>1</v>
      </c>
      <c r="N6" s="5" t="s">
        <v>0</v>
      </c>
      <c r="O6" s="5" t="s">
        <v>1</v>
      </c>
      <c r="P6" s="5" t="s">
        <v>0</v>
      </c>
      <c r="Q6" s="5" t="s">
        <v>1</v>
      </c>
    </row>
    <row r="7" spans="1:24">
      <c r="A7" s="67" t="s">
        <v>2</v>
      </c>
      <c r="B7" s="21">
        <v>110401</v>
      </c>
      <c r="C7" s="1">
        <v>1</v>
      </c>
      <c r="D7" s="21">
        <v>110401</v>
      </c>
      <c r="E7" s="1">
        <v>1</v>
      </c>
      <c r="F7" s="21">
        <v>110401</v>
      </c>
      <c r="G7" s="1">
        <v>1</v>
      </c>
      <c r="H7" s="21"/>
      <c r="I7" s="1"/>
      <c r="J7" s="10"/>
      <c r="K7" s="1"/>
      <c r="L7" s="6"/>
      <c r="M7" s="1"/>
      <c r="N7" s="6"/>
      <c r="O7" s="1"/>
      <c r="P7" s="6"/>
      <c r="Q7" s="1"/>
      <c r="X7" s="28"/>
    </row>
    <row r="8" spans="1:24">
      <c r="A8" s="19" t="s">
        <v>3</v>
      </c>
      <c r="B8" s="21">
        <v>110701</v>
      </c>
      <c r="C8" s="1">
        <v>2</v>
      </c>
      <c r="D8" s="21">
        <v>110701</v>
      </c>
      <c r="E8" s="1">
        <v>2</v>
      </c>
      <c r="F8" s="21">
        <v>110701</v>
      </c>
      <c r="G8" s="1">
        <v>2</v>
      </c>
      <c r="H8" s="21"/>
      <c r="I8" s="1"/>
      <c r="J8" s="10"/>
      <c r="K8" s="1"/>
      <c r="L8" s="6"/>
      <c r="M8" s="1"/>
      <c r="N8" s="6"/>
      <c r="O8" s="1"/>
      <c r="P8" s="6"/>
      <c r="Q8" s="1"/>
      <c r="X8" s="28"/>
    </row>
    <row r="9" spans="1:24">
      <c r="A9" s="19" t="s">
        <v>4</v>
      </c>
      <c r="B9" s="21"/>
      <c r="C9" s="1"/>
      <c r="D9" s="21"/>
      <c r="E9" s="1"/>
      <c r="F9" s="21">
        <v>110901</v>
      </c>
      <c r="G9" s="1">
        <v>2</v>
      </c>
      <c r="H9" s="21"/>
      <c r="I9" s="1"/>
      <c r="J9" s="10"/>
      <c r="K9" s="1"/>
      <c r="L9" s="6"/>
      <c r="M9" s="1"/>
      <c r="N9" s="6"/>
      <c r="O9" s="1"/>
      <c r="P9" s="6"/>
      <c r="Q9" s="1"/>
      <c r="X9" s="28"/>
    </row>
    <row r="10" spans="1:24">
      <c r="A10" s="19" t="s">
        <v>5</v>
      </c>
      <c r="B10" s="21"/>
      <c r="C10" s="1"/>
      <c r="D10" s="21"/>
      <c r="E10" s="1"/>
      <c r="F10" s="21"/>
      <c r="G10" s="1"/>
      <c r="H10" s="21"/>
      <c r="I10" s="1"/>
      <c r="J10" s="10"/>
      <c r="K10" s="1"/>
      <c r="L10" s="10"/>
      <c r="M10" s="1"/>
      <c r="N10" s="6"/>
      <c r="O10" s="1"/>
      <c r="P10" s="6"/>
      <c r="Q10" s="1"/>
      <c r="X10" s="28"/>
    </row>
    <row r="11" spans="1:24">
      <c r="A11" s="19" t="s">
        <v>6</v>
      </c>
      <c r="B11" s="21"/>
      <c r="C11" s="1"/>
      <c r="D11" s="21"/>
      <c r="E11" s="1"/>
      <c r="F11" s="21"/>
      <c r="G11" s="1"/>
      <c r="H11" s="21"/>
      <c r="I11" s="1"/>
      <c r="J11" s="10"/>
      <c r="K11" s="1"/>
      <c r="L11" s="10"/>
      <c r="M11" s="1"/>
      <c r="N11" s="10"/>
      <c r="O11" s="1"/>
      <c r="P11" s="6"/>
      <c r="Q11" s="1"/>
      <c r="X11" s="28"/>
    </row>
    <row r="12" spans="1:24">
      <c r="A12" s="19" t="s">
        <v>7</v>
      </c>
      <c r="B12" s="21"/>
      <c r="C12" s="1"/>
      <c r="D12" s="21"/>
      <c r="E12" s="1"/>
      <c r="F12" s="21"/>
      <c r="G12" s="1"/>
      <c r="H12" s="21"/>
      <c r="I12" s="1"/>
      <c r="J12" s="10"/>
      <c r="K12" s="1"/>
      <c r="L12" s="6"/>
      <c r="M12" s="1"/>
      <c r="N12" s="10"/>
      <c r="O12" s="1"/>
      <c r="P12" s="6"/>
      <c r="Q12" s="1"/>
    </row>
    <row r="13" spans="1:24">
      <c r="A13" s="19" t="s">
        <v>8</v>
      </c>
      <c r="B13" s="21"/>
      <c r="C13" s="1"/>
      <c r="D13" s="6"/>
      <c r="E13" s="1"/>
      <c r="F13" s="21"/>
      <c r="G13" s="1"/>
      <c r="H13" s="21"/>
      <c r="I13" s="1"/>
      <c r="J13" s="6"/>
      <c r="K13" s="1"/>
      <c r="L13" s="6"/>
      <c r="M13" s="1"/>
      <c r="N13" s="6"/>
      <c r="O13" s="1"/>
      <c r="P13" s="6"/>
      <c r="Q13" s="1"/>
    </row>
    <row r="14" spans="1:24">
      <c r="A14" s="19" t="s">
        <v>9</v>
      </c>
      <c r="B14" s="6"/>
      <c r="C14" s="1"/>
      <c r="D14" s="6"/>
      <c r="E14" s="1"/>
      <c r="F14" s="21"/>
      <c r="G14" s="1"/>
      <c r="H14" s="21"/>
      <c r="I14" s="1"/>
      <c r="J14" s="6"/>
      <c r="K14" s="1"/>
      <c r="L14" s="6"/>
      <c r="M14" s="1"/>
      <c r="N14" s="6"/>
      <c r="O14" s="1"/>
      <c r="P14" s="6"/>
      <c r="Q14" s="1"/>
      <c r="S14" s="11" t="s">
        <v>1237</v>
      </c>
    </row>
    <row r="15" spans="1:24">
      <c r="A15" s="19" t="s">
        <v>10</v>
      </c>
      <c r="B15" s="6"/>
      <c r="C15" s="1"/>
      <c r="D15" s="6"/>
      <c r="E15" s="1"/>
      <c r="F15" s="6"/>
      <c r="G15" s="1"/>
      <c r="H15" s="10"/>
      <c r="I15" s="1"/>
      <c r="J15" s="6"/>
      <c r="K15" s="1"/>
      <c r="L15" s="6"/>
      <c r="M15" s="1"/>
      <c r="N15" s="6"/>
      <c r="O15" s="1"/>
      <c r="P15" s="10"/>
      <c r="Q15" s="1"/>
      <c r="S15" s="11" t="s">
        <v>148</v>
      </c>
    </row>
    <row r="16" spans="1:24">
      <c r="A16" s="19" t="s">
        <v>11</v>
      </c>
      <c r="B16" s="6"/>
      <c r="C16" s="1"/>
      <c r="D16" s="6"/>
      <c r="E16" s="1"/>
      <c r="F16" s="6"/>
      <c r="G16" s="1"/>
      <c r="H16" s="6"/>
      <c r="I16" s="1"/>
      <c r="J16" s="6"/>
      <c r="K16" s="1"/>
      <c r="L16" s="6"/>
      <c r="M16" s="1"/>
      <c r="N16" s="6"/>
      <c r="O16" s="1"/>
      <c r="P16" s="10"/>
      <c r="Q16" s="1"/>
      <c r="S16" s="11" t="s">
        <v>149</v>
      </c>
    </row>
    <row r="17" spans="1:21">
      <c r="S17" s="11" t="s">
        <v>1238</v>
      </c>
    </row>
    <row r="18" spans="1:21">
      <c r="B18" s="110" t="s">
        <v>14</v>
      </c>
      <c r="C18" s="110"/>
      <c r="D18" s="110" t="s">
        <v>15</v>
      </c>
      <c r="E18" s="110"/>
      <c r="F18" s="110" t="s">
        <v>16</v>
      </c>
      <c r="G18" s="110"/>
      <c r="H18" s="110" t="s">
        <v>17</v>
      </c>
      <c r="I18" s="110"/>
      <c r="J18" s="110" t="s">
        <v>18</v>
      </c>
      <c r="K18" s="110"/>
      <c r="L18" s="110" t="s">
        <v>19</v>
      </c>
      <c r="M18" s="110"/>
      <c r="N18" s="110" t="s">
        <v>20</v>
      </c>
      <c r="O18" s="110"/>
      <c r="P18" s="110" t="s">
        <v>21</v>
      </c>
      <c r="Q18" s="110"/>
    </row>
    <row r="19" spans="1:21">
      <c r="B19" s="5" t="s">
        <v>0</v>
      </c>
      <c r="C19" s="5" t="s">
        <v>1</v>
      </c>
      <c r="D19" s="5" t="s">
        <v>0</v>
      </c>
      <c r="E19" s="5" t="s">
        <v>1</v>
      </c>
      <c r="F19" s="5" t="s">
        <v>0</v>
      </c>
      <c r="G19" s="5" t="s">
        <v>1</v>
      </c>
      <c r="H19" s="5" t="s">
        <v>0</v>
      </c>
      <c r="I19" s="5" t="s">
        <v>1</v>
      </c>
      <c r="J19" s="5" t="s">
        <v>0</v>
      </c>
      <c r="K19" s="5" t="s">
        <v>1</v>
      </c>
      <c r="L19" s="5" t="s">
        <v>0</v>
      </c>
      <c r="M19" s="5" t="s">
        <v>1</v>
      </c>
      <c r="N19" s="5" t="s">
        <v>0</v>
      </c>
      <c r="O19" s="5" t="s">
        <v>1</v>
      </c>
      <c r="P19" s="5" t="s">
        <v>0</v>
      </c>
      <c r="Q19" s="5" t="s">
        <v>1</v>
      </c>
    </row>
    <row r="20" spans="1:21">
      <c r="A20" s="20" t="s">
        <v>2</v>
      </c>
      <c r="B20" s="21" t="str">
        <f>IF(B7&lt;&gt;"",VLOOKUP(VALUE(B7),英雄表!$A:$B,2,FALSE),"")</f>
        <v>力士</v>
      </c>
      <c r="C20" s="1">
        <f>IF(C7&lt;&gt;"",C7,"")</f>
        <v>1</v>
      </c>
      <c r="D20" s="21" t="str">
        <f>IF(D7&lt;&gt;"",VLOOKUP(VALUE(D7),英雄表!$A:$B,2,FALSE),"")</f>
        <v>力士</v>
      </c>
      <c r="E20" s="1">
        <f>IF(E7&lt;&gt;"",E7,"")</f>
        <v>1</v>
      </c>
      <c r="F20" s="21" t="str">
        <f>IF(F7&lt;&gt;"",VLOOKUP(VALUE(F7),英雄表!$A:$B,2,FALSE),"")</f>
        <v>力士</v>
      </c>
      <c r="G20" s="1">
        <f>IF(G7&lt;&gt;"",G7,"")</f>
        <v>1</v>
      </c>
      <c r="H20" s="21" t="str">
        <f>IF(H7&lt;&gt;"",VLOOKUP(VALUE(H7),英雄表!$A:$B,2,FALSE),"")</f>
        <v/>
      </c>
      <c r="I20" s="1" t="str">
        <f>IF(I7&lt;&gt;"",I7,"")</f>
        <v/>
      </c>
      <c r="J20" s="21" t="str">
        <f>IF(J7&lt;&gt;"",VLOOKUP(VALUE(J7),英雄表!$A:$B,2,FALSE),"")</f>
        <v/>
      </c>
      <c r="K20" s="1" t="str">
        <f>IF(K7&lt;&gt;"",K7,"")</f>
        <v/>
      </c>
      <c r="L20" s="21" t="str">
        <f>IF(L7&lt;&gt;"",VLOOKUP(VALUE(L7),英雄表!$A:$B,2,FALSE),"")</f>
        <v/>
      </c>
      <c r="M20" s="1" t="str">
        <f>IF(M7&lt;&gt;"",M7,"")</f>
        <v/>
      </c>
      <c r="N20" s="21" t="str">
        <f>IF(N7&lt;&gt;"",VLOOKUP(VALUE(N7),英雄表!$A:$B,2,FALSE),"")</f>
        <v/>
      </c>
      <c r="O20" s="1" t="str">
        <f>IF(O7&lt;&gt;"",O7,"")</f>
        <v/>
      </c>
      <c r="P20" s="21" t="str">
        <f>IF(P7&lt;&gt;"",VLOOKUP(VALUE(P7),英雄表!$A:$B,2,FALSE),"")</f>
        <v/>
      </c>
      <c r="Q20" s="1" t="str">
        <f>IF(Q7&lt;&gt;"",Q7,"")</f>
        <v/>
      </c>
      <c r="S20" t="s">
        <v>3273</v>
      </c>
      <c r="T20" s="24"/>
      <c r="U20" s="24"/>
    </row>
    <row r="21" spans="1:21">
      <c r="A21" s="20" t="s">
        <v>3</v>
      </c>
      <c r="B21" s="21" t="str">
        <f>IF(B8&lt;&gt;"",VLOOKUP(VALUE(B8),英雄表!$A:$B,2,FALSE),"")</f>
        <v>術士</v>
      </c>
      <c r="C21" s="1">
        <f t="shared" ref="C21:C29" si="0">IF(C8&lt;&gt;"",C8,"")</f>
        <v>2</v>
      </c>
      <c r="D21" s="21" t="str">
        <f>IF(D8&lt;&gt;"",VLOOKUP(VALUE(D8),英雄表!$A:$B,2,FALSE),"")</f>
        <v>術士</v>
      </c>
      <c r="E21" s="1">
        <f t="shared" ref="E21:E29" si="1">IF(E8&lt;&gt;"",E8,"")</f>
        <v>2</v>
      </c>
      <c r="F21" s="21" t="str">
        <f>IF(F8&lt;&gt;"",VLOOKUP(VALUE(F8),英雄表!$A:$B,2,FALSE),"")</f>
        <v>術士</v>
      </c>
      <c r="G21" s="1">
        <f t="shared" ref="G21" si="2">IF(G8&lt;&gt;"",G8,"")</f>
        <v>2</v>
      </c>
      <c r="H21" s="21" t="str">
        <f>IF(H8&lt;&gt;"",VLOOKUP(VALUE(H8),英雄表!$A:$B,2,FALSE),"")</f>
        <v/>
      </c>
      <c r="I21" s="1" t="str">
        <f t="shared" ref="I21" si="3">IF(I8&lt;&gt;"",I8,"")</f>
        <v/>
      </c>
      <c r="J21" s="21" t="str">
        <f>IF(J8&lt;&gt;"",VLOOKUP(VALUE(J8),英雄表!$A:$B,2,FALSE),"")</f>
        <v/>
      </c>
      <c r="K21" s="1" t="str">
        <f t="shared" ref="K21" si="4">IF(K8&lt;&gt;"",K8,"")</f>
        <v/>
      </c>
      <c r="L21" s="21" t="str">
        <f>IF(L8&lt;&gt;"",VLOOKUP(VALUE(L8),英雄表!$A:$B,2,FALSE),"")</f>
        <v/>
      </c>
      <c r="M21" s="1" t="str">
        <f t="shared" ref="M21" si="5">IF(M8&lt;&gt;"",M8,"")</f>
        <v/>
      </c>
      <c r="N21" s="21" t="str">
        <f>IF(N8&lt;&gt;"",VLOOKUP(VALUE(N8),英雄表!$A:$B,2,FALSE),"")</f>
        <v/>
      </c>
      <c r="O21" s="1" t="str">
        <f t="shared" ref="O21" si="6">IF(O8&lt;&gt;"",O8,"")</f>
        <v/>
      </c>
      <c r="P21" s="21" t="str">
        <f>IF(P8&lt;&gt;"",VLOOKUP(VALUE(P8),英雄表!$A:$B,2,FALSE),"")</f>
        <v/>
      </c>
      <c r="Q21" s="1" t="str">
        <f t="shared" ref="Q21" si="7">IF(Q8&lt;&gt;"",Q8,"")</f>
        <v/>
      </c>
      <c r="S21" s="24" t="s">
        <v>3272</v>
      </c>
    </row>
    <row r="22" spans="1:21">
      <c r="A22" s="20" t="s">
        <v>4</v>
      </c>
      <c r="B22" s="21" t="str">
        <f>IF(B9&lt;&gt;"",VLOOKUP(VALUE(B9),英雄表!$A:$B,2,FALSE),"")</f>
        <v/>
      </c>
      <c r="C22" s="1" t="str">
        <f t="shared" si="0"/>
        <v/>
      </c>
      <c r="D22" s="21" t="str">
        <f>IF(D9&lt;&gt;"",VLOOKUP(VALUE(D9),英雄表!$A:$B,2,FALSE),"")</f>
        <v/>
      </c>
      <c r="E22" s="1" t="str">
        <f t="shared" si="1"/>
        <v/>
      </c>
      <c r="F22" s="21" t="str">
        <f>IF(F9&lt;&gt;"",VLOOKUP(VALUE(F9),英雄表!$A:$B,2,FALSE),"")</f>
        <v>擲矛兵</v>
      </c>
      <c r="G22" s="1">
        <f t="shared" ref="G22" si="8">IF(G9&lt;&gt;"",G9,"")</f>
        <v>2</v>
      </c>
      <c r="H22" s="21" t="str">
        <f>IF(H9&lt;&gt;"",VLOOKUP(VALUE(H9),英雄表!$A:$B,2,FALSE),"")</f>
        <v/>
      </c>
      <c r="I22" s="1" t="str">
        <f t="shared" ref="I22" si="9">IF(I9&lt;&gt;"",I9,"")</f>
        <v/>
      </c>
      <c r="J22" s="21" t="str">
        <f>IF(J9&lt;&gt;"",VLOOKUP(VALUE(J9),英雄表!$A:$B,2,FALSE),"")</f>
        <v/>
      </c>
      <c r="K22" s="1" t="str">
        <f t="shared" ref="K22" si="10">IF(K9&lt;&gt;"",K9,"")</f>
        <v/>
      </c>
      <c r="L22" s="21" t="str">
        <f>IF(L9&lt;&gt;"",VLOOKUP(VALUE(L9),英雄表!$A:$B,2,FALSE),"")</f>
        <v/>
      </c>
      <c r="M22" s="1" t="str">
        <f t="shared" ref="M22" si="11">IF(M9&lt;&gt;"",M9,"")</f>
        <v/>
      </c>
      <c r="N22" s="21" t="str">
        <f>IF(N9&lt;&gt;"",VLOOKUP(VALUE(N9),英雄表!$A:$B,2,FALSE),"")</f>
        <v/>
      </c>
      <c r="O22" s="1" t="str">
        <f t="shared" ref="O22" si="12">IF(O9&lt;&gt;"",O9,"")</f>
        <v/>
      </c>
      <c r="P22" s="21" t="str">
        <f>IF(P9&lt;&gt;"",VLOOKUP(VALUE(P9),英雄表!$A:$B,2,FALSE),"")</f>
        <v/>
      </c>
      <c r="Q22" s="1" t="str">
        <f t="shared" ref="Q22" si="13">IF(Q9&lt;&gt;"",Q9,"")</f>
        <v/>
      </c>
      <c r="S22" s="24" t="s">
        <v>3274</v>
      </c>
    </row>
    <row r="23" spans="1:21">
      <c r="A23" s="20" t="s">
        <v>5</v>
      </c>
      <c r="B23" s="21" t="str">
        <f>IF(B10&lt;&gt;"",VLOOKUP(VALUE(B10),英雄表!$A:$B,2,FALSE),"")</f>
        <v/>
      </c>
      <c r="C23" s="1" t="str">
        <f t="shared" si="0"/>
        <v/>
      </c>
      <c r="D23" s="21" t="str">
        <f>IF(D10&lt;&gt;"",VLOOKUP(VALUE(D10),英雄表!$A:$B,2,FALSE),"")</f>
        <v/>
      </c>
      <c r="E23" s="1" t="str">
        <f t="shared" si="1"/>
        <v/>
      </c>
      <c r="F23" s="21" t="str">
        <f>IF(F10&lt;&gt;"",VLOOKUP(VALUE(F10),英雄表!$A:$B,2,FALSE),"")</f>
        <v/>
      </c>
      <c r="G23" s="1" t="str">
        <f t="shared" ref="G23" si="14">IF(G10&lt;&gt;"",G10,"")</f>
        <v/>
      </c>
      <c r="H23" s="21" t="str">
        <f>IF(H10&lt;&gt;"",VLOOKUP(VALUE(H10),英雄表!$A:$B,2,FALSE),"")</f>
        <v/>
      </c>
      <c r="I23" s="1" t="str">
        <f t="shared" ref="I23" si="15">IF(I10&lt;&gt;"",I10,"")</f>
        <v/>
      </c>
      <c r="J23" s="21" t="str">
        <f>IF(J10&lt;&gt;"",VLOOKUP(VALUE(J10),英雄表!$A:$B,2,FALSE),"")</f>
        <v/>
      </c>
      <c r="K23" s="1" t="str">
        <f t="shared" ref="K23" si="16">IF(K10&lt;&gt;"",K10,"")</f>
        <v/>
      </c>
      <c r="L23" s="21" t="str">
        <f>IF(L10&lt;&gt;"",VLOOKUP(VALUE(L10),英雄表!$A:$B,2,FALSE),"")</f>
        <v/>
      </c>
      <c r="M23" s="1" t="str">
        <f t="shared" ref="M23" si="17">IF(M10&lt;&gt;"",M10,"")</f>
        <v/>
      </c>
      <c r="N23" s="21" t="str">
        <f>IF(N10&lt;&gt;"",VLOOKUP(VALUE(N10),英雄表!$A:$B,2,FALSE),"")</f>
        <v/>
      </c>
      <c r="O23" s="1" t="str">
        <f t="shared" ref="O23" si="18">IF(O10&lt;&gt;"",O10,"")</f>
        <v/>
      </c>
      <c r="P23" s="21" t="str">
        <f>IF(P10&lt;&gt;"",VLOOKUP(VALUE(P10),英雄表!$A:$B,2,FALSE),"")</f>
        <v/>
      </c>
      <c r="Q23" s="1" t="str">
        <f t="shared" ref="Q23" si="19">IF(Q10&lt;&gt;"",Q10,"")</f>
        <v/>
      </c>
      <c r="S23" s="26"/>
    </row>
    <row r="24" spans="1:21">
      <c r="A24" s="20" t="s">
        <v>6</v>
      </c>
      <c r="B24" s="21" t="str">
        <f>IF(B11&lt;&gt;"",VLOOKUP(VALUE(B11),英雄表!$A:$B,2,FALSE),"")</f>
        <v/>
      </c>
      <c r="C24" s="1" t="str">
        <f t="shared" si="0"/>
        <v/>
      </c>
      <c r="D24" s="21" t="str">
        <f>IF(D11&lt;&gt;"",VLOOKUP(VALUE(D11),英雄表!$A:$B,2,FALSE),"")</f>
        <v/>
      </c>
      <c r="E24" s="1" t="str">
        <f t="shared" si="1"/>
        <v/>
      </c>
      <c r="F24" s="21" t="str">
        <f>IF(F11&lt;&gt;"",VLOOKUP(VALUE(F11),英雄表!$A:$B,2,FALSE),"")</f>
        <v/>
      </c>
      <c r="G24" s="1" t="str">
        <f t="shared" ref="G24" si="20">IF(G11&lt;&gt;"",G11,"")</f>
        <v/>
      </c>
      <c r="H24" s="21" t="str">
        <f>IF(H11&lt;&gt;"",VLOOKUP(VALUE(H11),英雄表!$A:$B,2,FALSE),"")</f>
        <v/>
      </c>
      <c r="I24" s="1" t="str">
        <f t="shared" ref="I24" si="21">IF(I11&lt;&gt;"",I11,"")</f>
        <v/>
      </c>
      <c r="J24" s="21" t="str">
        <f>IF(J11&lt;&gt;"",VLOOKUP(VALUE(J11),英雄表!$A:$B,2,FALSE),"")</f>
        <v/>
      </c>
      <c r="K24" s="1" t="str">
        <f t="shared" ref="K24" si="22">IF(K11&lt;&gt;"",K11,"")</f>
        <v/>
      </c>
      <c r="L24" s="21" t="str">
        <f>IF(L11&lt;&gt;"",VLOOKUP(VALUE(L11),英雄表!$A:$B,2,FALSE),"")</f>
        <v/>
      </c>
      <c r="M24" s="1" t="str">
        <f t="shared" ref="M24" si="23">IF(M11&lt;&gt;"",M11,"")</f>
        <v/>
      </c>
      <c r="N24" s="21" t="str">
        <f>IF(N11&lt;&gt;"",VLOOKUP(VALUE(N11),英雄表!$A:$B,2,FALSE),"")</f>
        <v/>
      </c>
      <c r="O24" s="1" t="str">
        <f t="shared" ref="O24" si="24">IF(O11&lt;&gt;"",O11,"")</f>
        <v/>
      </c>
      <c r="P24" s="21" t="str">
        <f>IF(P11&lt;&gt;"",VLOOKUP(VALUE(P11),英雄表!$A:$B,2,FALSE),"")</f>
        <v/>
      </c>
      <c r="Q24" s="1" t="str">
        <f t="shared" ref="Q24" si="25">IF(Q11&lt;&gt;"",Q11,"")</f>
        <v/>
      </c>
      <c r="S24" s="26"/>
    </row>
    <row r="25" spans="1:21">
      <c r="A25" s="20" t="s">
        <v>7</v>
      </c>
      <c r="B25" s="21" t="str">
        <f>IF(B12&lt;&gt;"",VLOOKUP(VALUE(B12),英雄表!$A:$B,2,FALSE),"")</f>
        <v/>
      </c>
      <c r="C25" s="1" t="str">
        <f t="shared" si="0"/>
        <v/>
      </c>
      <c r="D25" s="21" t="str">
        <f>IF(D12&lt;&gt;"",VLOOKUP(VALUE(D12),英雄表!$A:$B,2,FALSE),"")</f>
        <v/>
      </c>
      <c r="E25" s="1" t="str">
        <f t="shared" si="1"/>
        <v/>
      </c>
      <c r="F25" s="21" t="str">
        <f>IF(F12&lt;&gt;"",VLOOKUP(VALUE(F12),英雄表!$A:$B,2,FALSE),"")</f>
        <v/>
      </c>
      <c r="G25" s="1" t="str">
        <f t="shared" ref="G25" si="26">IF(G12&lt;&gt;"",G12,"")</f>
        <v/>
      </c>
      <c r="H25" s="21" t="str">
        <f>IF(H12&lt;&gt;"",VLOOKUP(VALUE(H12),英雄表!$A:$B,2,FALSE),"")</f>
        <v/>
      </c>
      <c r="I25" s="1" t="str">
        <f t="shared" ref="I25" si="27">IF(I12&lt;&gt;"",I12,"")</f>
        <v/>
      </c>
      <c r="J25" s="21" t="str">
        <f>IF(J12&lt;&gt;"",VLOOKUP(VALUE(J12),英雄表!$A:$B,2,FALSE),"")</f>
        <v/>
      </c>
      <c r="K25" s="1" t="str">
        <f t="shared" ref="K25" si="28">IF(K12&lt;&gt;"",K12,"")</f>
        <v/>
      </c>
      <c r="L25" s="21" t="str">
        <f>IF(L12&lt;&gt;"",VLOOKUP(VALUE(L12),英雄表!$A:$B,2,FALSE),"")</f>
        <v/>
      </c>
      <c r="M25" s="1" t="str">
        <f t="shared" ref="M25" si="29">IF(M12&lt;&gt;"",M12,"")</f>
        <v/>
      </c>
      <c r="N25" s="21" t="str">
        <f>IF(N12&lt;&gt;"",VLOOKUP(VALUE(N12),英雄表!$A:$B,2,FALSE),"")</f>
        <v/>
      </c>
      <c r="O25" s="1" t="str">
        <f t="shared" ref="O25" si="30">IF(O12&lt;&gt;"",O12,"")</f>
        <v/>
      </c>
      <c r="P25" s="21" t="str">
        <f>IF(P12&lt;&gt;"",VLOOKUP(VALUE(P12),英雄表!$A:$B,2,FALSE),"")</f>
        <v/>
      </c>
      <c r="Q25" s="1" t="str">
        <f t="shared" ref="Q25" si="31">IF(Q12&lt;&gt;"",Q12,"")</f>
        <v/>
      </c>
      <c r="S25" s="26"/>
    </row>
    <row r="26" spans="1:21">
      <c r="A26" s="20" t="s">
        <v>8</v>
      </c>
      <c r="B26" s="21" t="str">
        <f>IF(B13&lt;&gt;"",VLOOKUP(VALUE(B13),英雄表!$A:$B,2,FALSE),"")</f>
        <v/>
      </c>
      <c r="C26" s="1" t="str">
        <f t="shared" si="0"/>
        <v/>
      </c>
      <c r="D26" s="21" t="str">
        <f>IF(D13&lt;&gt;"",VLOOKUP(VALUE(D13),英雄表!$A:$B,2,FALSE),"")</f>
        <v/>
      </c>
      <c r="E26" s="1" t="str">
        <f t="shared" si="1"/>
        <v/>
      </c>
      <c r="F26" s="21" t="str">
        <f>IF(F13&lt;&gt;"",VLOOKUP(VALUE(F13),英雄表!$A:$B,2,FALSE),"")</f>
        <v/>
      </c>
      <c r="G26" s="1" t="str">
        <f t="shared" ref="G26" si="32">IF(G13&lt;&gt;"",G13,"")</f>
        <v/>
      </c>
      <c r="H26" s="21" t="str">
        <f>IF(H13&lt;&gt;"",VLOOKUP(VALUE(H13),英雄表!$A:$B,2,FALSE),"")</f>
        <v/>
      </c>
      <c r="I26" s="1" t="str">
        <f t="shared" ref="I26" si="33">IF(I13&lt;&gt;"",I13,"")</f>
        <v/>
      </c>
      <c r="J26" s="21" t="str">
        <f>IF(J13&lt;&gt;"",VLOOKUP(VALUE(J13),英雄表!$A:$B,2,FALSE),"")</f>
        <v/>
      </c>
      <c r="K26" s="1" t="str">
        <f t="shared" ref="K26" si="34">IF(K13&lt;&gt;"",K13,"")</f>
        <v/>
      </c>
      <c r="L26" s="21" t="str">
        <f>IF(L13&lt;&gt;"",VLOOKUP(VALUE(L13),英雄表!$A:$B,2,FALSE),"")</f>
        <v/>
      </c>
      <c r="M26" s="1" t="str">
        <f t="shared" ref="M26" si="35">IF(M13&lt;&gt;"",M13,"")</f>
        <v/>
      </c>
      <c r="N26" s="21" t="str">
        <f>IF(N13&lt;&gt;"",VLOOKUP(VALUE(N13),英雄表!$A:$B,2,FALSE),"")</f>
        <v/>
      </c>
      <c r="O26" s="1" t="str">
        <f t="shared" ref="O26" si="36">IF(O13&lt;&gt;"",O13,"")</f>
        <v/>
      </c>
      <c r="P26" s="21" t="str">
        <f>IF(P13&lt;&gt;"",VLOOKUP(VALUE(P13),英雄表!$A:$B,2,FALSE),"")</f>
        <v/>
      </c>
      <c r="Q26" s="1" t="str">
        <f t="shared" ref="Q26" si="37">IF(Q13&lt;&gt;"",Q13,"")</f>
        <v/>
      </c>
    </row>
    <row r="27" spans="1:21">
      <c r="A27" s="20" t="s">
        <v>9</v>
      </c>
      <c r="B27" s="21" t="str">
        <f>IF(B14&lt;&gt;"",VLOOKUP(VALUE(B14),英雄表!$A:$B,2,FALSE),"")</f>
        <v/>
      </c>
      <c r="C27" s="1" t="str">
        <f t="shared" si="0"/>
        <v/>
      </c>
      <c r="D27" s="21" t="str">
        <f>IF(D14&lt;&gt;"",VLOOKUP(VALUE(D14),英雄表!$A:$B,2,FALSE),"")</f>
        <v/>
      </c>
      <c r="E27" s="1" t="str">
        <f t="shared" si="1"/>
        <v/>
      </c>
      <c r="F27" s="21" t="str">
        <f>IF(F14&lt;&gt;"",VLOOKUP(VALUE(F14),英雄表!$A:$B,2,FALSE),"")</f>
        <v/>
      </c>
      <c r="G27" s="1" t="str">
        <f t="shared" ref="G27" si="38">IF(G14&lt;&gt;"",G14,"")</f>
        <v/>
      </c>
      <c r="H27" s="21" t="str">
        <f>IF(H14&lt;&gt;"",VLOOKUP(VALUE(H14),英雄表!$A:$B,2,FALSE),"")</f>
        <v/>
      </c>
      <c r="I27" s="1" t="str">
        <f t="shared" ref="I27" si="39">IF(I14&lt;&gt;"",I14,"")</f>
        <v/>
      </c>
      <c r="J27" s="21" t="str">
        <f>IF(J14&lt;&gt;"",VLOOKUP(VALUE(J14),英雄表!$A:$B,2,FALSE),"")</f>
        <v/>
      </c>
      <c r="K27" s="1" t="str">
        <f t="shared" ref="K27" si="40">IF(K14&lt;&gt;"",K14,"")</f>
        <v/>
      </c>
      <c r="L27" s="21" t="str">
        <f>IF(L14&lt;&gt;"",VLOOKUP(VALUE(L14),英雄表!$A:$B,2,FALSE),"")</f>
        <v/>
      </c>
      <c r="M27" s="1" t="str">
        <f t="shared" ref="M27" si="41">IF(M14&lt;&gt;"",M14,"")</f>
        <v/>
      </c>
      <c r="N27" s="21" t="str">
        <f>IF(N14&lt;&gt;"",VLOOKUP(VALUE(N14),英雄表!$A:$B,2,FALSE),"")</f>
        <v/>
      </c>
      <c r="O27" s="1" t="str">
        <f t="shared" ref="O27" si="42">IF(O14&lt;&gt;"",O14,"")</f>
        <v/>
      </c>
      <c r="P27" s="21" t="str">
        <f>IF(P14&lt;&gt;"",VLOOKUP(VALUE(P14),英雄表!$A:$B,2,FALSE),"")</f>
        <v/>
      </c>
      <c r="Q27" s="1" t="str">
        <f t="shared" ref="Q27" si="43">IF(Q14&lt;&gt;"",Q14,"")</f>
        <v/>
      </c>
    </row>
    <row r="28" spans="1:21">
      <c r="A28" s="20" t="s">
        <v>10</v>
      </c>
      <c r="B28" s="21" t="str">
        <f>IF(B15&lt;&gt;"",VLOOKUP(VALUE(B15),英雄表!$A:$B,2,FALSE),"")</f>
        <v/>
      </c>
      <c r="C28" s="1" t="str">
        <f t="shared" si="0"/>
        <v/>
      </c>
      <c r="D28" s="21" t="str">
        <f>IF(D15&lt;&gt;"",VLOOKUP(VALUE(D15),英雄表!$A:$B,2,FALSE),"")</f>
        <v/>
      </c>
      <c r="E28" s="1" t="str">
        <f t="shared" si="1"/>
        <v/>
      </c>
      <c r="F28" s="21" t="str">
        <f>IF(F15&lt;&gt;"",VLOOKUP(VALUE(F15),英雄表!$A:$B,2,FALSE),"")</f>
        <v/>
      </c>
      <c r="G28" s="1" t="str">
        <f t="shared" ref="G28" si="44">IF(G15&lt;&gt;"",G15,"")</f>
        <v/>
      </c>
      <c r="H28" s="21" t="str">
        <f>IF(H15&lt;&gt;"",VLOOKUP(VALUE(H15),英雄表!$A:$B,2,FALSE),"")</f>
        <v/>
      </c>
      <c r="I28" s="1" t="str">
        <f t="shared" ref="I28" si="45">IF(I15&lt;&gt;"",I15,"")</f>
        <v/>
      </c>
      <c r="J28" s="21" t="str">
        <f>IF(J15&lt;&gt;"",VLOOKUP(VALUE(J15),英雄表!$A:$B,2,FALSE),"")</f>
        <v/>
      </c>
      <c r="K28" s="1" t="str">
        <f t="shared" ref="K28" si="46">IF(K15&lt;&gt;"",K15,"")</f>
        <v/>
      </c>
      <c r="L28" s="21" t="str">
        <f>IF(L15&lt;&gt;"",VLOOKUP(VALUE(L15),英雄表!$A:$B,2,FALSE),"")</f>
        <v/>
      </c>
      <c r="M28" s="1" t="str">
        <f t="shared" ref="M28" si="47">IF(M15&lt;&gt;"",M15,"")</f>
        <v/>
      </c>
      <c r="N28" s="21" t="str">
        <f>IF(N15&lt;&gt;"",VLOOKUP(VALUE(N15),英雄表!$A:$B,2,FALSE),"")</f>
        <v/>
      </c>
      <c r="O28" s="1" t="str">
        <f t="shared" ref="O28" si="48">IF(O15&lt;&gt;"",O15,"")</f>
        <v/>
      </c>
      <c r="P28" s="21" t="str">
        <f>IF(P15&lt;&gt;"",VLOOKUP(VALUE(P15),英雄表!$A:$B,2,FALSE),"")</f>
        <v/>
      </c>
      <c r="Q28" s="1" t="str">
        <f t="shared" ref="Q28" si="49">IF(Q15&lt;&gt;"",Q15,"")</f>
        <v/>
      </c>
    </row>
    <row r="29" spans="1:21">
      <c r="A29" s="20" t="s">
        <v>11</v>
      </c>
      <c r="B29" s="21" t="str">
        <f>IF(B16&lt;&gt;"",VLOOKUP(VALUE(B16),英雄表!$A:$B,2,FALSE),"")</f>
        <v/>
      </c>
      <c r="C29" s="1" t="str">
        <f t="shared" si="0"/>
        <v/>
      </c>
      <c r="D29" s="21" t="str">
        <f>IF(D16&lt;&gt;"",VLOOKUP(VALUE(D16),英雄表!$A:$B,2,FALSE),"")</f>
        <v/>
      </c>
      <c r="E29" s="1" t="str">
        <f t="shared" si="1"/>
        <v/>
      </c>
      <c r="F29" s="21" t="str">
        <f>IF(F16&lt;&gt;"",VLOOKUP(VALUE(F16),英雄表!$A:$B,2,FALSE),"")</f>
        <v/>
      </c>
      <c r="G29" s="1" t="str">
        <f t="shared" ref="G29" si="50">IF(G16&lt;&gt;"",G16,"")</f>
        <v/>
      </c>
      <c r="H29" s="21" t="str">
        <f>IF(H16&lt;&gt;"",VLOOKUP(VALUE(H16),英雄表!$A:$B,2,FALSE),"")</f>
        <v/>
      </c>
      <c r="I29" s="1" t="str">
        <f t="shared" ref="I29" si="51">IF(I16&lt;&gt;"",I16,"")</f>
        <v/>
      </c>
      <c r="J29" s="21" t="str">
        <f>IF(J16&lt;&gt;"",VLOOKUP(VALUE(J16),英雄表!$A:$B,2,FALSE),"")</f>
        <v/>
      </c>
      <c r="K29" s="1" t="str">
        <f t="shared" ref="K29" si="52">IF(K16&lt;&gt;"",K16,"")</f>
        <v/>
      </c>
      <c r="L29" s="21" t="str">
        <f>IF(L16&lt;&gt;"",VLOOKUP(VALUE(L16),英雄表!$A:$B,2,FALSE),"")</f>
        <v/>
      </c>
      <c r="M29" s="1" t="str">
        <f t="shared" ref="M29" si="53">IF(M16&lt;&gt;"",M16,"")</f>
        <v/>
      </c>
      <c r="N29" s="21" t="str">
        <f>IF(N16&lt;&gt;"",VLOOKUP(VALUE(N16),英雄表!$A:$B,2,FALSE),"")</f>
        <v/>
      </c>
      <c r="O29" s="1" t="str">
        <f t="shared" ref="O29" si="54">IF(O16&lt;&gt;"",O16,"")</f>
        <v/>
      </c>
      <c r="P29" s="21" t="str">
        <f>IF(P16&lt;&gt;"",VLOOKUP(VALUE(P16),英雄表!$A:$B,2,FALSE),"")</f>
        <v/>
      </c>
      <c r="Q29" s="1" t="str">
        <f t="shared" ref="Q29" si="55">IF(Q16&lt;&gt;"",Q16,"")</f>
        <v/>
      </c>
    </row>
    <row r="31" spans="1:21">
      <c r="B31" s="12" t="s">
        <v>134</v>
      </c>
      <c r="C31" t="s">
        <v>3476</v>
      </c>
    </row>
    <row r="32" spans="1:21">
      <c r="B32" s="12" t="s">
        <v>597</v>
      </c>
      <c r="C32" t="str">
        <f>VLOOKUP(MAX(C33:C37),C33:D37,2,FALSE)</f>
        <v>光屬性</v>
      </c>
    </row>
    <row r="33" spans="2:4">
      <c r="B33" s="12"/>
      <c r="C33">
        <v>3</v>
      </c>
      <c r="D33" s="61" t="s">
        <v>599</v>
      </c>
    </row>
    <row r="34" spans="2:4">
      <c r="B34" s="12"/>
      <c r="C34">
        <v>0</v>
      </c>
      <c r="D34" s="61" t="s">
        <v>600</v>
      </c>
    </row>
    <row r="35" spans="2:4">
      <c r="B35" s="12"/>
      <c r="C35">
        <v>0</v>
      </c>
      <c r="D35" s="61" t="s">
        <v>598</v>
      </c>
    </row>
    <row r="36" spans="2:4">
      <c r="B36" s="12"/>
      <c r="C36">
        <v>0</v>
      </c>
      <c r="D36" s="61" t="s">
        <v>601</v>
      </c>
    </row>
    <row r="37" spans="2:4">
      <c r="B37" s="12"/>
      <c r="C37">
        <v>4</v>
      </c>
      <c r="D37" s="61" t="s">
        <v>602</v>
      </c>
    </row>
    <row r="38" spans="2:4">
      <c r="B38" s="12"/>
    </row>
    <row r="39" spans="2:4">
      <c r="B39" s="12"/>
    </row>
    <row r="40" spans="2:4">
      <c r="B40" s="12"/>
    </row>
    <row r="41" spans="2:4">
      <c r="B41" s="12"/>
    </row>
    <row r="42" spans="2:4">
      <c r="B42" s="12"/>
    </row>
    <row r="43" spans="2:4">
      <c r="B43" s="12"/>
    </row>
    <row r="44" spans="2:4">
      <c r="B44" s="12"/>
    </row>
    <row r="45" spans="2:4">
      <c r="B45" s="12"/>
    </row>
    <row r="46" spans="2:4">
      <c r="B46" s="12"/>
    </row>
    <row r="47" spans="2:4">
      <c r="B47" s="12"/>
    </row>
    <row r="49" spans="1:24" s="17" customFormat="1">
      <c r="C49" s="18" t="s">
        <v>133</v>
      </c>
    </row>
    <row r="51" spans="1:24">
      <c r="C51" s="9" t="s">
        <v>23</v>
      </c>
      <c r="D51" s="8"/>
      <c r="E51" s="11" t="s">
        <v>24</v>
      </c>
    </row>
    <row r="53" spans="1:24">
      <c r="B53" s="110" t="s">
        <v>14</v>
      </c>
      <c r="C53" s="110"/>
      <c r="D53" s="110" t="s">
        <v>15</v>
      </c>
      <c r="E53" s="110"/>
      <c r="F53" s="110" t="s">
        <v>16</v>
      </c>
      <c r="G53" s="110"/>
      <c r="H53" s="110" t="s">
        <v>17</v>
      </c>
      <c r="I53" s="110"/>
      <c r="J53" s="110" t="s">
        <v>18</v>
      </c>
      <c r="K53" s="110"/>
      <c r="L53" s="110" t="s">
        <v>19</v>
      </c>
      <c r="M53" s="110"/>
      <c r="N53" s="110" t="s">
        <v>20</v>
      </c>
      <c r="O53" s="110"/>
      <c r="P53" s="110" t="s">
        <v>21</v>
      </c>
      <c r="Q53" s="110"/>
      <c r="T53" s="12" t="s">
        <v>75</v>
      </c>
    </row>
    <row r="54" spans="1:24">
      <c r="B54" s="5" t="s">
        <v>0</v>
      </c>
      <c r="C54" s="5" t="s">
        <v>1</v>
      </c>
      <c r="D54" s="5" t="s">
        <v>0</v>
      </c>
      <c r="E54" s="5" t="s">
        <v>1</v>
      </c>
      <c r="F54" s="5" t="s">
        <v>0</v>
      </c>
      <c r="G54" s="5" t="s">
        <v>1</v>
      </c>
      <c r="H54" s="5" t="s">
        <v>0</v>
      </c>
      <c r="I54" s="5" t="s">
        <v>1</v>
      </c>
      <c r="J54" s="5" t="s">
        <v>0</v>
      </c>
      <c r="K54" s="5" t="s">
        <v>1</v>
      </c>
      <c r="L54" s="5" t="s">
        <v>0</v>
      </c>
      <c r="M54" s="5" t="s">
        <v>1</v>
      </c>
      <c r="N54" s="5" t="s">
        <v>0</v>
      </c>
      <c r="O54" s="5" t="s">
        <v>1</v>
      </c>
      <c r="P54" s="5" t="s">
        <v>0</v>
      </c>
      <c r="Q54" s="5" t="s">
        <v>1</v>
      </c>
      <c r="T54" s="14">
        <v>131301</v>
      </c>
      <c r="U54" s="13" t="str">
        <f>IF(ISNA(VLOOKUP(T54,英雄表!A:B,2,FALSE)),"",VLOOKUP(T54,英雄表!A:B,2,FALSE))</f>
        <v>人馬騎士</v>
      </c>
      <c r="W54" s="13" t="s">
        <v>52</v>
      </c>
      <c r="X54" s="13">
        <f>IF(ISNA(VLOOKUP(W54,英雄表!B:C,2,FALSE)),"",VLOOKUP(W54,英雄表!B:C,2,FALSE))</f>
        <v>133401</v>
      </c>
    </row>
    <row r="55" spans="1:24">
      <c r="A55" s="2" t="s">
        <v>2</v>
      </c>
      <c r="B55" s="10" t="s">
        <v>126</v>
      </c>
      <c r="C55" s="1">
        <v>3</v>
      </c>
      <c r="D55" s="10" t="s">
        <v>129</v>
      </c>
      <c r="E55" s="1">
        <v>3</v>
      </c>
      <c r="F55" s="10" t="s">
        <v>130</v>
      </c>
      <c r="G55" s="1">
        <v>3</v>
      </c>
      <c r="H55" s="10" t="s">
        <v>125</v>
      </c>
      <c r="I55" s="1">
        <v>3</v>
      </c>
      <c r="J55" s="6"/>
      <c r="K55" s="1" t="str">
        <f>IF(J55="","",IF($D$51&lt;&gt;"",$D$51,""))</f>
        <v/>
      </c>
      <c r="L55" s="6"/>
      <c r="M55" s="1" t="str">
        <f>IF(L55="","",IF($D$51&lt;&gt;"",$D$51,""))</f>
        <v/>
      </c>
      <c r="N55" s="6"/>
      <c r="O55" s="1" t="str">
        <f>IF(N55="","",IF($D$51&lt;&gt;"",$D$51,""))</f>
        <v/>
      </c>
      <c r="P55" s="6"/>
      <c r="Q55" s="1" t="str">
        <f>IF(P55="","",IF($D$51&lt;&gt;"",$D$51,""))</f>
        <v/>
      </c>
      <c r="T55" s="13">
        <v>133401</v>
      </c>
      <c r="U55" s="13" t="str">
        <f>IF(ISNA(VLOOKUP(T55,英雄表!A:B,2,FALSE)),"",VLOOKUP(T55,英雄表!A:B,2,FALSE))</f>
        <v>基利</v>
      </c>
      <c r="W55" s="13"/>
      <c r="X55" s="13" t="str">
        <f>IF(ISNA(VLOOKUP(W55,英雄表!B:C,2,TRUE)),"",VLOOKUP(W55,英雄表!B:C,2,TRUE))</f>
        <v/>
      </c>
    </row>
    <row r="56" spans="1:24">
      <c r="A56" s="2" t="s">
        <v>3</v>
      </c>
      <c r="B56" s="10" t="s">
        <v>129</v>
      </c>
      <c r="C56" s="1">
        <v>3</v>
      </c>
      <c r="D56" s="10" t="s">
        <v>129</v>
      </c>
      <c r="E56" s="1">
        <v>3</v>
      </c>
      <c r="F56" s="10" t="s">
        <v>130</v>
      </c>
      <c r="G56" s="1">
        <v>3</v>
      </c>
      <c r="H56" s="10" t="s">
        <v>127</v>
      </c>
      <c r="I56" s="1">
        <v>4</v>
      </c>
      <c r="J56" s="6"/>
      <c r="K56" s="1" t="str">
        <f t="shared" ref="K56:K64" si="56">IF(J56="","",IF($D$51&lt;&gt;"",$D$51,""))</f>
        <v/>
      </c>
      <c r="L56" s="6"/>
      <c r="M56" s="1" t="str">
        <f t="shared" ref="M56:M64" si="57">IF(L56="","",IF($D$51&lt;&gt;"",$D$51,""))</f>
        <v/>
      </c>
      <c r="N56" s="6"/>
      <c r="O56" s="1" t="str">
        <f t="shared" ref="O56:O64" si="58">IF(N56="","",IF($D$51&lt;&gt;"",$D$51,""))</f>
        <v/>
      </c>
      <c r="P56" s="6"/>
      <c r="Q56" s="1" t="str">
        <f t="shared" ref="Q56:Q64" si="59">IF(P56="","",IF($D$51&lt;&gt;"",$D$51,""))</f>
        <v/>
      </c>
      <c r="T56" s="13">
        <v>131401</v>
      </c>
      <c r="U56" s="13" t="str">
        <f>IF(ISNA(VLOOKUP(T56,英雄表!A:B,2,FALSE)),"",VLOOKUP(T56,英雄表!A:B,2,FALSE))</f>
        <v>寧芙</v>
      </c>
      <c r="W56" s="13"/>
      <c r="X56" s="13" t="str">
        <f>IF(ISNA(VLOOKUP(W56,英雄表!B:C,2,TRUE)),"",VLOOKUP(W56,英雄表!B:C,2,TRUE))</f>
        <v/>
      </c>
    </row>
    <row r="57" spans="1:24">
      <c r="A57" s="2" t="s">
        <v>4</v>
      </c>
      <c r="B57" s="10">
        <v>131702</v>
      </c>
      <c r="C57" s="1">
        <v>4</v>
      </c>
      <c r="D57" s="10">
        <v>131702</v>
      </c>
      <c r="E57" s="1">
        <v>4</v>
      </c>
      <c r="F57" s="10" t="s">
        <v>131</v>
      </c>
      <c r="G57" s="1">
        <v>4</v>
      </c>
      <c r="H57" s="10">
        <v>131702</v>
      </c>
      <c r="I57" s="1">
        <v>3</v>
      </c>
      <c r="J57" s="6"/>
      <c r="K57" s="1" t="str">
        <f t="shared" si="56"/>
        <v/>
      </c>
      <c r="L57" s="6"/>
      <c r="M57" s="1" t="str">
        <f t="shared" si="57"/>
        <v/>
      </c>
      <c r="N57" s="6"/>
      <c r="O57" s="1" t="str">
        <f t="shared" si="58"/>
        <v/>
      </c>
      <c r="P57" s="6"/>
      <c r="Q57" s="1" t="str">
        <f t="shared" si="59"/>
        <v/>
      </c>
      <c r="T57" s="13">
        <v>135201</v>
      </c>
      <c r="U57" s="13" t="str">
        <f>IF(ISNA(VLOOKUP(T57,英雄表!A:B,2,FALSE)),"",VLOOKUP(T57,英雄表!A:B,2,FALSE))</f>
        <v>克里特巨牛</v>
      </c>
      <c r="W57" s="13"/>
      <c r="X57" s="13" t="str">
        <f>IF(ISNA(VLOOKUP(W57,英雄表!B:C,2,TRUE)),"",VLOOKUP(W57,英雄表!B:C,2,TRUE))</f>
        <v/>
      </c>
    </row>
    <row r="58" spans="1:24">
      <c r="A58" s="2" t="s">
        <v>5</v>
      </c>
      <c r="B58" s="10"/>
      <c r="C58" s="1"/>
      <c r="D58" s="10">
        <v>131702</v>
      </c>
      <c r="E58" s="1">
        <v>4</v>
      </c>
      <c r="F58" s="10">
        <v>131702</v>
      </c>
      <c r="G58" s="1">
        <v>3</v>
      </c>
      <c r="H58" s="10">
        <v>131702</v>
      </c>
      <c r="I58" s="1">
        <v>3</v>
      </c>
      <c r="J58" s="6"/>
      <c r="K58" s="1" t="str">
        <f t="shared" si="56"/>
        <v/>
      </c>
      <c r="L58" s="10"/>
      <c r="M58" s="1" t="str">
        <f t="shared" si="57"/>
        <v/>
      </c>
      <c r="N58" s="6"/>
      <c r="O58" s="1" t="str">
        <f t="shared" si="58"/>
        <v/>
      </c>
      <c r="P58" s="6"/>
      <c r="Q58" s="1" t="str">
        <f t="shared" si="59"/>
        <v/>
      </c>
      <c r="T58" s="13">
        <v>135301</v>
      </c>
      <c r="U58" s="13" t="str">
        <f>IF(ISNA(VLOOKUP(T58,英雄表!A:B,2,FALSE)),"",VLOOKUP(T58,英雄表!A:B,2,FALSE))</f>
        <v>涅墨亞巨獅</v>
      </c>
      <c r="W58" s="13"/>
      <c r="X58" s="13" t="str">
        <f>IF(ISNA(VLOOKUP(W58,英雄表!B:C,2,TRUE)),"",VLOOKUP(W58,英雄表!B:C,2,TRUE))</f>
        <v/>
      </c>
    </row>
    <row r="59" spans="1:24">
      <c r="A59" s="2" t="s">
        <v>6</v>
      </c>
      <c r="B59" s="6"/>
      <c r="C59" s="1"/>
      <c r="D59" s="10"/>
      <c r="E59" s="1"/>
      <c r="F59" s="10">
        <v>131702</v>
      </c>
      <c r="G59" s="1">
        <v>3</v>
      </c>
      <c r="H59" s="10" t="s">
        <v>128</v>
      </c>
      <c r="I59" s="1">
        <v>5</v>
      </c>
      <c r="J59" s="6"/>
      <c r="K59" s="1" t="str">
        <f t="shared" si="56"/>
        <v/>
      </c>
      <c r="L59" s="10"/>
      <c r="M59" s="1" t="str">
        <f t="shared" si="57"/>
        <v/>
      </c>
      <c r="N59" s="10"/>
      <c r="O59" s="1" t="str">
        <f t="shared" si="58"/>
        <v/>
      </c>
      <c r="P59" s="6"/>
      <c r="Q59" s="1" t="str">
        <f t="shared" si="59"/>
        <v/>
      </c>
      <c r="T59" s="13">
        <v>133101</v>
      </c>
      <c r="U59" s="13" t="str">
        <f>IF(ISNA(VLOOKUP(T59,英雄表!A:B,2,FALSE)),"",VLOOKUP(T59,英雄表!A:B,2,FALSE))</f>
        <v>拉塔托斯克</v>
      </c>
      <c r="W59" s="13"/>
      <c r="X59" s="13" t="str">
        <f>IF(ISNA(VLOOKUP(W59,英雄表!B:C,2,TRUE)),"",VLOOKUP(W59,英雄表!B:C,2,TRUE))</f>
        <v/>
      </c>
    </row>
    <row r="60" spans="1:24">
      <c r="A60" s="2" t="s">
        <v>7</v>
      </c>
      <c r="B60" s="6"/>
      <c r="C60" s="1"/>
      <c r="D60" s="10"/>
      <c r="E60" s="1"/>
      <c r="F60" s="10" t="s">
        <v>132</v>
      </c>
      <c r="G60" s="1">
        <v>5</v>
      </c>
      <c r="H60" s="10"/>
      <c r="I60" s="1"/>
      <c r="J60" s="6"/>
      <c r="K60" s="1" t="str">
        <f t="shared" si="56"/>
        <v/>
      </c>
      <c r="L60" s="6"/>
      <c r="M60" s="1" t="str">
        <f t="shared" si="57"/>
        <v/>
      </c>
      <c r="N60" s="10"/>
      <c r="O60" s="1" t="str">
        <f t="shared" si="58"/>
        <v/>
      </c>
      <c r="P60" s="6"/>
      <c r="Q60" s="1" t="str">
        <f t="shared" si="59"/>
        <v/>
      </c>
      <c r="T60" s="13">
        <v>130701</v>
      </c>
      <c r="U60" s="13" t="str">
        <f>IF(ISNA(VLOOKUP(T60,英雄表!A:B,2,FALSE)),"",VLOOKUP(T60,英雄表!A:B,2,FALSE))</f>
        <v>刻律涅牝鹿</v>
      </c>
      <c r="W60" s="13"/>
      <c r="X60" s="13" t="str">
        <f>IF(ISNA(VLOOKUP(W60,英雄表!B:C,2,TRUE)),"",VLOOKUP(W60,英雄表!B:C,2,TRUE))</f>
        <v/>
      </c>
    </row>
    <row r="61" spans="1:24">
      <c r="A61" s="2" t="s">
        <v>8</v>
      </c>
      <c r="B61" s="6"/>
      <c r="C61" s="1"/>
      <c r="D61" s="6"/>
      <c r="E61" s="1"/>
      <c r="F61" s="6"/>
      <c r="G61" s="1"/>
      <c r="H61" s="6"/>
      <c r="I61" s="1"/>
      <c r="J61" s="6"/>
      <c r="K61" s="1" t="str">
        <f t="shared" si="56"/>
        <v/>
      </c>
      <c r="L61" s="6"/>
      <c r="M61" s="1" t="str">
        <f t="shared" si="57"/>
        <v/>
      </c>
      <c r="N61" s="6"/>
      <c r="O61" s="1" t="str">
        <f t="shared" si="58"/>
        <v/>
      </c>
      <c r="P61" s="6"/>
      <c r="Q61" s="1" t="str">
        <f t="shared" si="59"/>
        <v/>
      </c>
      <c r="T61" s="13">
        <v>130801</v>
      </c>
      <c r="U61" s="13" t="str">
        <f>IF(ISNA(VLOOKUP(T61,英雄表!A:B,2,FALSE)),"",VLOOKUP(T61,英雄表!A:B,2,FALSE))</f>
        <v>鳥妖</v>
      </c>
      <c r="W61" s="13"/>
      <c r="X61" s="13" t="str">
        <f>IF(ISNA(VLOOKUP(W61,英雄表!B:C,2,TRUE)),"",VLOOKUP(W61,英雄表!B:C,2,TRUE))</f>
        <v/>
      </c>
    </row>
    <row r="62" spans="1:24">
      <c r="A62" s="2" t="s">
        <v>9</v>
      </c>
      <c r="B62" s="6"/>
      <c r="C62" s="1"/>
      <c r="D62" s="6"/>
      <c r="E62" s="1"/>
      <c r="F62" s="6"/>
      <c r="G62" s="1"/>
      <c r="I62" s="1"/>
      <c r="J62" s="6"/>
      <c r="K62" s="1" t="str">
        <f t="shared" si="56"/>
        <v/>
      </c>
      <c r="L62" s="6"/>
      <c r="M62" s="1" t="str">
        <f t="shared" si="57"/>
        <v/>
      </c>
      <c r="N62" s="6"/>
      <c r="O62" s="1" t="str">
        <f t="shared" si="58"/>
        <v/>
      </c>
      <c r="P62" s="6"/>
      <c r="Q62" s="1" t="str">
        <f t="shared" si="59"/>
        <v/>
      </c>
      <c r="T62" s="13">
        <v>136101</v>
      </c>
      <c r="U62" s="13" t="str">
        <f>IF(ISNA(VLOOKUP(T62,英雄表!A:B,2,FALSE)),"",VLOOKUP(T62,英雄表!A:B,2,FALSE))</f>
        <v>巨型獅鷲</v>
      </c>
      <c r="W62" s="13"/>
      <c r="X62" s="13" t="str">
        <f>IF(ISNA(VLOOKUP(W62,英雄表!B:C,2,TRUE)),"",VLOOKUP(W62,英雄表!B:C,2,TRUE))</f>
        <v/>
      </c>
    </row>
    <row r="63" spans="1:24">
      <c r="A63" s="2" t="s">
        <v>10</v>
      </c>
      <c r="B63" s="6"/>
      <c r="C63" s="1"/>
      <c r="D63" s="6"/>
      <c r="E63" s="1"/>
      <c r="F63" s="6"/>
      <c r="G63" s="1"/>
      <c r="H63" s="10"/>
      <c r="I63" s="1"/>
      <c r="J63" s="6"/>
      <c r="K63" s="1" t="str">
        <f t="shared" si="56"/>
        <v/>
      </c>
      <c r="L63" s="6"/>
      <c r="M63" s="1" t="str">
        <f t="shared" si="57"/>
        <v/>
      </c>
      <c r="N63" s="6"/>
      <c r="O63" s="1" t="str">
        <f t="shared" si="58"/>
        <v/>
      </c>
      <c r="P63" s="10"/>
      <c r="Q63" s="1" t="str">
        <f t="shared" si="59"/>
        <v/>
      </c>
      <c r="T63" s="13">
        <v>133001</v>
      </c>
      <c r="U63" s="13" t="str">
        <f>IF(ISNA(VLOOKUP(T63,英雄表!A:B,2,FALSE)),"",VLOOKUP(T63,英雄表!A:B,2,FALSE))</f>
        <v>巨型野豬</v>
      </c>
      <c r="W63" s="13"/>
      <c r="X63" s="13" t="str">
        <f>IF(ISNA(VLOOKUP(W63,英雄表!B:C,2,TRUE)),"",VLOOKUP(W63,英雄表!B:C,2,TRUE))</f>
        <v/>
      </c>
    </row>
    <row r="64" spans="1:24">
      <c r="A64" s="2" t="s">
        <v>11</v>
      </c>
      <c r="B64" s="6"/>
      <c r="C64" s="1"/>
      <c r="D64" s="6"/>
      <c r="E64" s="1"/>
      <c r="F64" s="6"/>
      <c r="G64" s="1"/>
      <c r="H64" s="6"/>
      <c r="I64" s="1"/>
      <c r="J64" s="6"/>
      <c r="K64" s="1" t="str">
        <f t="shared" si="56"/>
        <v/>
      </c>
      <c r="L64" s="6"/>
      <c r="M64" s="1" t="str">
        <f t="shared" si="57"/>
        <v/>
      </c>
      <c r="N64" s="6"/>
      <c r="O64" s="1" t="str">
        <f t="shared" si="58"/>
        <v/>
      </c>
      <c r="P64" s="10"/>
      <c r="Q64" s="1" t="str">
        <f t="shared" si="59"/>
        <v/>
      </c>
      <c r="T64" s="13">
        <v>110601</v>
      </c>
      <c r="U64" s="13" t="str">
        <f>IF(ISNA(VLOOKUP(T64,英雄表!A:B,2,FALSE)),"",VLOOKUP(T64,英雄表!A:B,2,FALSE))</f>
        <v>槍兵</v>
      </c>
      <c r="W64" s="13"/>
      <c r="X64" s="13" t="str">
        <f>IF(ISNA(VLOOKUP(W64,英雄表!B:C,2,TRUE)),"",VLOOKUP(W64,英雄表!B:C,2,TRUE))</f>
        <v/>
      </c>
    </row>
    <row r="65" spans="2:24">
      <c r="T65" s="13">
        <v>110701</v>
      </c>
      <c r="U65" s="13" t="str">
        <f>IF(ISNA(VLOOKUP(T65,英雄表!A:B,2,FALSE)),"",VLOOKUP(T65,英雄表!A:B,2,FALSE))</f>
        <v>術士</v>
      </c>
      <c r="W65" s="13"/>
      <c r="X65" s="13" t="str">
        <f>IF(ISNA(VLOOKUP(W65,英雄表!B:C,2,TRUE)),"",VLOOKUP(W65,英雄表!B:C,2,TRUE))</f>
        <v/>
      </c>
    </row>
    <row r="66" spans="2:24">
      <c r="M66" s="15"/>
      <c r="T66" s="13">
        <v>110801</v>
      </c>
      <c r="U66" s="13" t="str">
        <f>IF(ISNA(VLOOKUP(T66,英雄表!A:B,2,FALSE)),"",VLOOKUP(T66,英雄表!A:B,2,FALSE))</f>
        <v>弓兵</v>
      </c>
      <c r="W66" s="13"/>
      <c r="X66" s="13" t="str">
        <f>IF(ISNA(VLOOKUP(W66,英雄表!B:C,2,TRUE)),"",VLOOKUP(W66,英雄表!B:C,2,TRUE))</f>
        <v/>
      </c>
    </row>
    <row r="67" spans="2:24">
      <c r="T67" s="13">
        <v>110301</v>
      </c>
      <c r="U67" s="13" t="str">
        <f>IF(ISNA(VLOOKUP(T67,英雄表!A:B,2,FALSE)),"",VLOOKUP(T67,英雄表!A:B,2,FALSE))</f>
        <v>鬥士</v>
      </c>
      <c r="W67" s="13"/>
      <c r="X67" s="13" t="str">
        <f>IF(ISNA(VLOOKUP(W67,英雄表!B:C,2,TRUE)),"",VLOOKUP(W67,英雄表!B:C,2,TRUE))</f>
        <v/>
      </c>
    </row>
    <row r="68" spans="2:24">
      <c r="T68" s="13">
        <v>110401</v>
      </c>
      <c r="U68" s="13" t="str">
        <f>IF(ISNA(VLOOKUP(T68,英雄表!A:B,2,FALSE)),"",VLOOKUP(T68,英雄表!A:B,2,FALSE))</f>
        <v>力士</v>
      </c>
      <c r="W68" s="13"/>
      <c r="X68" s="13" t="str">
        <f>IF(ISNA(VLOOKUP(W68,英雄表!B:C,2,TRUE)),"",VLOOKUP(W68,英雄表!B:C,2,TRUE))</f>
        <v/>
      </c>
    </row>
    <row r="69" spans="2:24">
      <c r="T69" s="13">
        <v>131501</v>
      </c>
      <c r="U69" s="13" t="str">
        <f>IF(ISNA(VLOOKUP(T69,英雄表!A:B,2,FALSE)),"",VLOOKUP(T69,英雄表!A:B,2,FALSE))</f>
        <v>大螯怪</v>
      </c>
    </row>
    <row r="70" spans="2:24" hidden="1">
      <c r="U70" s="13" t="str">
        <f>IF(ISNA(VLOOKUP(T70,英雄表!A:B,2,FALSE)),"",VLOOKUP(T70,英雄表!A:B,2,FALSE))</f>
        <v/>
      </c>
    </row>
    <row r="71" spans="2:24" hidden="1">
      <c r="B71" s="4" t="s">
        <v>13</v>
      </c>
      <c r="D71" s="4" t="s">
        <v>13</v>
      </c>
      <c r="U71" s="13" t="str">
        <f>IF(ISNA(VLOOKUP(T71,英雄表!A:B,2,FALSE)),"",VLOOKUP(T71,英雄表!A:B,2,FALSE))</f>
        <v/>
      </c>
    </row>
    <row r="72" spans="2:24" hidden="1">
      <c r="B72" s="3" t="str">
        <f>IF(CONCATENATE(B55,"#",C55)="#","",CONCATENATE(B55,IF(C55&lt;&gt;"","#",""),C55))</f>
        <v>131502#3</v>
      </c>
      <c r="D72" s="3" t="s">
        <v>12</v>
      </c>
      <c r="E72" s="3" t="str">
        <f>CONCATENATE(B72,(IF(B73="","","@")),B73,(IF(B74="","","@")),B74,(IF(B75="","","@")),B75,(IF(B76="","","@")),B76,(IF(B77="","","@")),B77,(IF(B78="","","@")),B78,(IF(B79="","","@")),B79,(IF(B80="","","@")),B80,(IF(B81="","","@")),B81)</f>
        <v>131502#3@131502#3@131702#4</v>
      </c>
      <c r="F72" s="3"/>
      <c r="G72" s="3"/>
      <c r="H72" s="3"/>
      <c r="I72" s="3"/>
      <c r="J72" s="3"/>
      <c r="K72" s="3"/>
      <c r="L72" s="3"/>
      <c r="M72" s="3"/>
      <c r="N72" s="3"/>
      <c r="O72" s="3"/>
      <c r="U72" s="13" t="str">
        <f>IF(ISNA(VLOOKUP(T72,英雄表!A:B,2,FALSE)),"",VLOOKUP(T72,英雄表!A:B,2,FALSE))</f>
        <v/>
      </c>
    </row>
    <row r="73" spans="2:24" hidden="1">
      <c r="B73" s="3" t="str">
        <f>IF(CONCATENATE(B56,"#",C56)="#","",CONCATENATE(B56,IF(C56&lt;&gt;"","#",""),C56))</f>
        <v>131502#3</v>
      </c>
      <c r="U73" s="13" t="str">
        <f>IF(ISNA(VLOOKUP(T73,英雄表!A:B,2,FALSE)),"",VLOOKUP(T73,英雄表!A:B,2,FALSE))</f>
        <v/>
      </c>
    </row>
    <row r="74" spans="2:24" hidden="1">
      <c r="B74" s="3" t="str">
        <f t="shared" ref="B74:B81" si="60">IF(CONCATENATE(B57,"#",C57)="#","",CONCATENATE(B57,IF(C57&lt;&gt;"","#",""),C57))</f>
        <v>131702#4</v>
      </c>
      <c r="U74" s="13" t="str">
        <f>IF(ISNA(VLOOKUP(T74,英雄表!A:B,2,FALSE)),"",VLOOKUP(T74,英雄表!A:B,2,FALSE))</f>
        <v/>
      </c>
    </row>
    <row r="75" spans="2:24" hidden="1">
      <c r="B75" s="3" t="str">
        <f>IF(CONCATENATE(B58,"#",C58)="#","",CONCATENATE(B58,IF(C58&lt;&gt;"","#",""),C58))</f>
        <v/>
      </c>
      <c r="U75" s="13" t="str">
        <f>IF(ISNA(VLOOKUP(T75,英雄表!A:B,2,FALSE)),"",VLOOKUP(T75,英雄表!A:B,2,FALSE))</f>
        <v/>
      </c>
    </row>
    <row r="76" spans="2:24" hidden="1">
      <c r="B76" s="3" t="str">
        <f t="shared" si="60"/>
        <v/>
      </c>
      <c r="U76" s="13" t="str">
        <f>IF(ISNA(VLOOKUP(T76,英雄表!A:B,2,FALSE)),"",VLOOKUP(T76,英雄表!A:B,2,FALSE))</f>
        <v/>
      </c>
    </row>
    <row r="77" spans="2:24" hidden="1">
      <c r="B77" s="3" t="str">
        <f t="shared" si="60"/>
        <v/>
      </c>
      <c r="U77" s="13" t="str">
        <f>IF(ISNA(VLOOKUP(T77,英雄表!A:B,2,FALSE)),"",VLOOKUP(T77,英雄表!A:B,2,FALSE))</f>
        <v/>
      </c>
    </row>
    <row r="78" spans="2:24" hidden="1">
      <c r="B78" s="3" t="str">
        <f t="shared" si="60"/>
        <v/>
      </c>
      <c r="U78" s="13" t="str">
        <f>IF(ISNA(VLOOKUP(T78,英雄表!A:B,2,FALSE)),"",VLOOKUP(T78,英雄表!A:B,2,FALSE))</f>
        <v/>
      </c>
    </row>
    <row r="79" spans="2:24" hidden="1">
      <c r="B79" s="3" t="str">
        <f t="shared" si="60"/>
        <v/>
      </c>
      <c r="U79" s="13" t="str">
        <f>IF(ISNA(VLOOKUP(T79,英雄表!A:B,2,FALSE)),"",VLOOKUP(T79,英雄表!A:B,2,FALSE))</f>
        <v/>
      </c>
    </row>
    <row r="80" spans="2:24" hidden="1">
      <c r="B80" s="3" t="str">
        <f t="shared" si="60"/>
        <v/>
      </c>
      <c r="U80" s="13" t="str">
        <f>IF(ISNA(VLOOKUP(T80,英雄表!A:B,2,FALSE)),"",VLOOKUP(T80,英雄表!A:B,2,FALSE))</f>
        <v/>
      </c>
    </row>
    <row r="81" spans="2:21" hidden="1">
      <c r="B81" s="3" t="str">
        <f t="shared" si="60"/>
        <v/>
      </c>
      <c r="U81" s="13" t="str">
        <f>IF(ISNA(VLOOKUP(T81,英雄表!A:B,2,FALSE)),"",VLOOKUP(T81,英雄表!A:B,2,FALSE))</f>
        <v/>
      </c>
    </row>
    <row r="82" spans="2:21" hidden="1">
      <c r="U82" s="13" t="str">
        <f>IF(ISNA(VLOOKUP(T82,英雄表!A:B,2,FALSE)),"",VLOOKUP(T82,英雄表!A:B,2,FALSE))</f>
        <v/>
      </c>
    </row>
    <row r="83" spans="2:21" hidden="1">
      <c r="B83" s="4" t="s">
        <v>13</v>
      </c>
      <c r="D83" s="4" t="s">
        <v>13</v>
      </c>
      <c r="U83" s="13" t="str">
        <f>IF(ISNA(VLOOKUP(T83,英雄表!A:B,2,FALSE)),"",VLOOKUP(T83,英雄表!A:B,2,FALSE))</f>
        <v/>
      </c>
    </row>
    <row r="84" spans="2:21" hidden="1">
      <c r="B84" s="3" t="str">
        <f>IF(CONCATENATE(D55,"#",E55)="#","",CONCATENATE(D55,IF(E55&lt;&gt;"","#",""),E55))</f>
        <v>131502#3</v>
      </c>
      <c r="D84" s="3" t="s">
        <v>12</v>
      </c>
      <c r="E84" s="3" t="str">
        <f>CONCATENATE(B84,(IF(B85="","","@")),B85,(IF(B86="","","@")),B86,(IF(B87="","","@")),B87,(IF(B88="","","@")),B88,(IF(B89="","","@")),B89,(IF(B90="","","@")),B90,(IF(B91="","","@")),B91,(IF(B92="","","@")),B92,(IF(B93="","","@")),B93)</f>
        <v>131502#3@131502#3@131702#4@131702#4</v>
      </c>
      <c r="F84" s="3"/>
      <c r="G84" s="3"/>
      <c r="H84" s="3"/>
      <c r="I84" s="3"/>
      <c r="J84" s="3"/>
      <c r="K84" s="3"/>
      <c r="L84" s="3"/>
      <c r="M84" s="3"/>
      <c r="N84" s="3"/>
      <c r="O84" s="3"/>
      <c r="U84" s="13" t="str">
        <f>IF(ISNA(VLOOKUP(T84,英雄表!A:B,2,FALSE)),"",VLOOKUP(T84,英雄表!A:B,2,FALSE))</f>
        <v/>
      </c>
    </row>
    <row r="85" spans="2:21" hidden="1">
      <c r="B85" s="3" t="str">
        <f t="shared" ref="B85:B93" si="61">IF(CONCATENATE(D56,"#",E56)="#","",CONCATENATE(D56,IF(E56&lt;&gt;"","#",""),E56))</f>
        <v>131502#3</v>
      </c>
      <c r="U85" s="13" t="str">
        <f>IF(ISNA(VLOOKUP(T85,英雄表!A:B,2,FALSE)),"",VLOOKUP(T85,英雄表!A:B,2,FALSE))</f>
        <v/>
      </c>
    </row>
    <row r="86" spans="2:21" hidden="1">
      <c r="B86" s="3" t="str">
        <f t="shared" si="61"/>
        <v>131702#4</v>
      </c>
      <c r="U86" s="13" t="str">
        <f>IF(ISNA(VLOOKUP(T86,英雄表!A:B,2,FALSE)),"",VLOOKUP(T86,英雄表!A:B,2,FALSE))</f>
        <v/>
      </c>
    </row>
    <row r="87" spans="2:21" hidden="1">
      <c r="B87" s="3" t="str">
        <f t="shared" si="61"/>
        <v>131702#4</v>
      </c>
      <c r="U87" s="13" t="str">
        <f>IF(ISNA(VLOOKUP(T87,英雄表!A:B,2,FALSE)),"",VLOOKUP(T87,英雄表!A:B,2,FALSE))</f>
        <v/>
      </c>
    </row>
    <row r="88" spans="2:21" hidden="1">
      <c r="B88" s="3" t="str">
        <f t="shared" si="61"/>
        <v/>
      </c>
      <c r="U88" s="13" t="str">
        <f>IF(ISNA(VLOOKUP(T88,英雄表!A:B,2,FALSE)),"",VLOOKUP(T88,英雄表!A:B,2,FALSE))</f>
        <v/>
      </c>
    </row>
    <row r="89" spans="2:21" hidden="1">
      <c r="B89" s="3" t="str">
        <f t="shared" si="61"/>
        <v/>
      </c>
      <c r="U89" s="13" t="str">
        <f>IF(ISNA(VLOOKUP(T89,英雄表!A:B,2,FALSE)),"",VLOOKUP(T89,英雄表!A:B,2,FALSE))</f>
        <v/>
      </c>
    </row>
    <row r="90" spans="2:21" hidden="1">
      <c r="B90" s="3" t="str">
        <f t="shared" si="61"/>
        <v/>
      </c>
      <c r="U90" s="13" t="str">
        <f>IF(ISNA(VLOOKUP(T90,英雄表!A:B,2,FALSE)),"",VLOOKUP(T90,英雄表!A:B,2,FALSE))</f>
        <v/>
      </c>
    </row>
    <row r="91" spans="2:21" hidden="1">
      <c r="B91" s="3" t="str">
        <f t="shared" si="61"/>
        <v/>
      </c>
      <c r="U91" s="13" t="str">
        <f>IF(ISNA(VLOOKUP(T91,英雄表!A:B,2,FALSE)),"",VLOOKUP(T91,英雄表!A:B,2,FALSE))</f>
        <v/>
      </c>
    </row>
    <row r="92" spans="2:21" hidden="1">
      <c r="B92" s="3" t="str">
        <f t="shared" si="61"/>
        <v/>
      </c>
      <c r="U92" s="13" t="str">
        <f>IF(ISNA(VLOOKUP(T92,英雄表!A:B,2,FALSE)),"",VLOOKUP(T92,英雄表!A:B,2,FALSE))</f>
        <v/>
      </c>
    </row>
    <row r="93" spans="2:21" hidden="1">
      <c r="B93" s="3" t="str">
        <f t="shared" si="61"/>
        <v/>
      </c>
      <c r="U93" s="13" t="str">
        <f>IF(ISNA(VLOOKUP(T93,英雄表!A:B,2,FALSE)),"",VLOOKUP(T93,英雄表!A:B,2,FALSE))</f>
        <v/>
      </c>
    </row>
    <row r="94" spans="2:21" hidden="1">
      <c r="U94" s="13" t="str">
        <f>IF(ISNA(VLOOKUP(T94,英雄表!A:B,2,FALSE)),"",VLOOKUP(T94,英雄表!A:B,2,FALSE))</f>
        <v/>
      </c>
    </row>
    <row r="95" spans="2:21" hidden="1">
      <c r="B95" s="4" t="s">
        <v>13</v>
      </c>
      <c r="D95" s="4" t="s">
        <v>13</v>
      </c>
      <c r="U95" s="13" t="str">
        <f>IF(ISNA(VLOOKUP(T95,英雄表!A:B,2,FALSE)),"",VLOOKUP(T95,英雄表!A:B,2,FALSE))</f>
        <v/>
      </c>
    </row>
    <row r="96" spans="2:21" hidden="1">
      <c r="B96" s="3" t="str">
        <f>IF(CONCATENATE(F55,"#",G55)="#","",CONCATENATE(F55,IF(G55&lt;&gt;"","#",""),G55))</f>
        <v>131502#3</v>
      </c>
      <c r="D96" s="3" t="s">
        <v>12</v>
      </c>
      <c r="E96" s="3" t="str">
        <f>CONCATENATE(B96,(IF(B97="","","@")),B97,(IF(B98="","","@")),B98,(IF(B99="","","@")),B99,(IF(B100="","","@")),B100,(IF(B101="","","@")),B101,(IF(B102="","","@")),B102,(IF(B103="","","@")),B103,(IF(B104="","","@")),B104,(IF(B105="","","@")),B105)</f>
        <v>131502#3@131502#3@131801#4@131702#3@131702#3@130601#5</v>
      </c>
      <c r="F96" s="3"/>
      <c r="G96" s="3"/>
      <c r="H96" s="3"/>
      <c r="I96" s="3"/>
      <c r="J96" s="3"/>
      <c r="K96" s="3"/>
      <c r="L96" s="3"/>
      <c r="M96" s="3"/>
      <c r="N96" s="3"/>
      <c r="O96" s="3"/>
      <c r="U96" s="13" t="str">
        <f>IF(ISNA(VLOOKUP(T96,英雄表!A:B,2,FALSE)),"",VLOOKUP(T96,英雄表!A:B,2,FALSE))</f>
        <v/>
      </c>
    </row>
    <row r="97" spans="2:21" hidden="1">
      <c r="B97" s="3" t="str">
        <f t="shared" ref="B97:B105" si="62">IF(CONCATENATE(F56,"#",G56)="#","",CONCATENATE(F56,IF(G56&lt;&gt;"","#",""),G56))</f>
        <v>131502#3</v>
      </c>
      <c r="U97" s="13" t="str">
        <f>IF(ISNA(VLOOKUP(T97,英雄表!A:B,2,FALSE)),"",VLOOKUP(T97,英雄表!A:B,2,FALSE))</f>
        <v/>
      </c>
    </row>
    <row r="98" spans="2:21" hidden="1">
      <c r="B98" s="3" t="str">
        <f t="shared" si="62"/>
        <v>131801#4</v>
      </c>
      <c r="U98" s="13" t="str">
        <f>IF(ISNA(VLOOKUP(T98,英雄表!A:B,2,FALSE)),"",VLOOKUP(T98,英雄表!A:B,2,FALSE))</f>
        <v/>
      </c>
    </row>
    <row r="99" spans="2:21" hidden="1">
      <c r="B99" s="3" t="str">
        <f t="shared" si="62"/>
        <v>131702#3</v>
      </c>
      <c r="U99" s="13" t="str">
        <f>IF(ISNA(VLOOKUP(T99,英雄表!A:B,2,FALSE)),"",VLOOKUP(T99,英雄表!A:B,2,FALSE))</f>
        <v/>
      </c>
    </row>
    <row r="100" spans="2:21" hidden="1">
      <c r="B100" s="3" t="str">
        <f t="shared" si="62"/>
        <v>131702#3</v>
      </c>
      <c r="U100" s="13" t="str">
        <f>IF(ISNA(VLOOKUP(T100,英雄表!A:B,2,FALSE)),"",VLOOKUP(T100,英雄表!A:B,2,FALSE))</f>
        <v/>
      </c>
    </row>
    <row r="101" spans="2:21" hidden="1">
      <c r="B101" s="3" t="str">
        <f>IF(CONCATENATE(F60,"#",G60)="#","",CONCATENATE(F60,IF(G60&lt;&gt;"","#",""),G60))</f>
        <v>130601#5</v>
      </c>
      <c r="U101" s="13" t="str">
        <f>IF(ISNA(VLOOKUP(T101,英雄表!A:B,2,FALSE)),"",VLOOKUP(T101,英雄表!A:B,2,FALSE))</f>
        <v/>
      </c>
    </row>
    <row r="102" spans="2:21" hidden="1">
      <c r="B102" s="3" t="str">
        <f>IF(CONCATENATE(F61,"#",G61)="#","",CONCATENATE(F61,IF(G61&lt;&gt;"","#",""),G61))</f>
        <v/>
      </c>
      <c r="U102" s="13" t="str">
        <f>IF(ISNA(VLOOKUP(T102,英雄表!A:B,2,FALSE)),"",VLOOKUP(T102,英雄表!A:B,2,FALSE))</f>
        <v/>
      </c>
    </row>
    <row r="103" spans="2:21" hidden="1">
      <c r="B103" s="3" t="str">
        <f t="shared" si="62"/>
        <v/>
      </c>
      <c r="U103" s="13" t="str">
        <f>IF(ISNA(VLOOKUP(T103,英雄表!A:B,2,FALSE)),"",VLOOKUP(T103,英雄表!A:B,2,FALSE))</f>
        <v/>
      </c>
    </row>
    <row r="104" spans="2:21" hidden="1">
      <c r="B104" s="3" t="str">
        <f t="shared" si="62"/>
        <v/>
      </c>
      <c r="U104" s="13" t="str">
        <f>IF(ISNA(VLOOKUP(T104,英雄表!A:B,2,FALSE)),"",VLOOKUP(T104,英雄表!A:B,2,FALSE))</f>
        <v/>
      </c>
    </row>
    <row r="105" spans="2:21" hidden="1">
      <c r="B105" s="3" t="str">
        <f t="shared" si="62"/>
        <v/>
      </c>
      <c r="U105" s="13" t="str">
        <f>IF(ISNA(VLOOKUP(T105,英雄表!A:B,2,FALSE)),"",VLOOKUP(T105,英雄表!A:B,2,FALSE))</f>
        <v/>
      </c>
    </row>
    <row r="106" spans="2:21" hidden="1">
      <c r="U106" s="13" t="str">
        <f>IF(ISNA(VLOOKUP(T106,英雄表!A:B,2,FALSE)),"",VLOOKUP(T106,英雄表!A:B,2,FALSE))</f>
        <v/>
      </c>
    </row>
    <row r="107" spans="2:21" hidden="1">
      <c r="B107" s="4" t="s">
        <v>13</v>
      </c>
      <c r="D107" s="4" t="s">
        <v>13</v>
      </c>
      <c r="U107" s="13" t="str">
        <f>IF(ISNA(VLOOKUP(T107,英雄表!A:B,2,FALSE)),"",VLOOKUP(T107,英雄表!A:B,2,FALSE))</f>
        <v/>
      </c>
    </row>
    <row r="108" spans="2:21" hidden="1">
      <c r="B108" s="3" t="str">
        <f>IF(CONCATENATE(H55,"#",I55)="#","",CONCATENATE(H55,IF(I55&lt;&gt;"","#",""),I55))</f>
        <v>131502#3</v>
      </c>
      <c r="D108" s="3" t="s">
        <v>12</v>
      </c>
      <c r="E108" s="3" t="str">
        <f>CONCATENATE(B108,(IF(B109="","","@")),B109,(IF(B110="","","@")),B110,(IF(B111="","","@")),B111,(IF(B112="","","@")),B112,(IF(B113="","","@")),B113,(IF(B114="","","@")),B114,(IF(B115="","","@")),B115,(IF(B116="","","@")),B116,(IF(B117="","","@")),B117)</f>
        <v>131502#3@131801#4@131702#3@131702#3@130601#5</v>
      </c>
      <c r="F108" s="3"/>
      <c r="G108" s="3"/>
      <c r="H108" s="3"/>
      <c r="I108" s="3"/>
      <c r="J108" s="3"/>
      <c r="K108" s="3"/>
      <c r="L108" s="3"/>
      <c r="M108" s="3"/>
      <c r="N108" s="3"/>
      <c r="O108" s="3"/>
      <c r="U108" s="13" t="str">
        <f>IF(ISNA(VLOOKUP(T108,英雄表!A:B,2,FALSE)),"",VLOOKUP(T108,英雄表!A:B,2,FALSE))</f>
        <v/>
      </c>
    </row>
    <row r="109" spans="2:21" hidden="1">
      <c r="B109" s="3" t="str">
        <f t="shared" ref="B109:B117" si="63">IF(CONCATENATE(H56,"#",I56)="#","",CONCATENATE(H56,IF(I56&lt;&gt;"","#",""),I56))</f>
        <v>131801#4</v>
      </c>
      <c r="U109" s="13" t="str">
        <f>IF(ISNA(VLOOKUP(T109,英雄表!A:B,2,FALSE)),"",VLOOKUP(T109,英雄表!A:B,2,FALSE))</f>
        <v/>
      </c>
    </row>
    <row r="110" spans="2:21" hidden="1">
      <c r="B110" s="3" t="str">
        <f t="shared" si="63"/>
        <v>131702#3</v>
      </c>
      <c r="U110" s="13" t="str">
        <f>IF(ISNA(VLOOKUP(T110,英雄表!A:B,2,FALSE)),"",VLOOKUP(T110,英雄表!A:B,2,FALSE))</f>
        <v/>
      </c>
    </row>
    <row r="111" spans="2:21" hidden="1">
      <c r="B111" s="3" t="str">
        <f t="shared" si="63"/>
        <v>131702#3</v>
      </c>
      <c r="U111" s="13" t="str">
        <f>IF(ISNA(VLOOKUP(T111,英雄表!A:B,2,FALSE)),"",VLOOKUP(T111,英雄表!A:B,2,FALSE))</f>
        <v/>
      </c>
    </row>
    <row r="112" spans="2:21" hidden="1">
      <c r="B112" s="3" t="str">
        <f t="shared" si="63"/>
        <v>130601#5</v>
      </c>
      <c r="U112" s="13" t="str">
        <f>IF(ISNA(VLOOKUP(T112,英雄表!A:B,2,FALSE)),"",VLOOKUP(T112,英雄表!A:B,2,FALSE))</f>
        <v/>
      </c>
    </row>
    <row r="113" spans="2:21" hidden="1">
      <c r="B113" s="3" t="str">
        <f>IF(CONCATENATE(H60,"#",I60)="#","",CONCATENATE(H60,IF(I60&lt;&gt;"","#",""),I60))</f>
        <v/>
      </c>
      <c r="U113" s="13" t="str">
        <f>IF(ISNA(VLOOKUP(T113,英雄表!A:B,2,FALSE)),"",VLOOKUP(T113,英雄表!A:B,2,FALSE))</f>
        <v/>
      </c>
    </row>
    <row r="114" spans="2:21" hidden="1">
      <c r="B114" s="3" t="str">
        <f>IF(CONCATENATE(H61,"#",I61)="#","",CONCATENATE(H61,IF(I61&lt;&gt;"","#",""),I61))</f>
        <v/>
      </c>
      <c r="U114" s="13" t="str">
        <f>IF(ISNA(VLOOKUP(T114,英雄表!A:B,2,FALSE)),"",VLOOKUP(T114,英雄表!A:B,2,FALSE))</f>
        <v/>
      </c>
    </row>
    <row r="115" spans="2:21" hidden="1">
      <c r="B115" s="3" t="str">
        <f t="shared" si="63"/>
        <v/>
      </c>
      <c r="U115" s="13" t="str">
        <f>IF(ISNA(VLOOKUP(T115,英雄表!A:B,2,FALSE)),"",VLOOKUP(T115,英雄表!A:B,2,FALSE))</f>
        <v/>
      </c>
    </row>
    <row r="116" spans="2:21" hidden="1">
      <c r="B116" s="3" t="str">
        <f t="shared" si="63"/>
        <v/>
      </c>
      <c r="U116" s="13" t="str">
        <f>IF(ISNA(VLOOKUP(T116,英雄表!A:B,2,FALSE)),"",VLOOKUP(T116,英雄表!A:B,2,FALSE))</f>
        <v/>
      </c>
    </row>
    <row r="117" spans="2:21" hidden="1">
      <c r="B117" s="3" t="str">
        <f t="shared" si="63"/>
        <v/>
      </c>
      <c r="U117" s="13" t="str">
        <f>IF(ISNA(VLOOKUP(T117,英雄表!A:B,2,FALSE)),"",VLOOKUP(T117,英雄表!A:B,2,FALSE))</f>
        <v/>
      </c>
    </row>
    <row r="118" spans="2:21" hidden="1">
      <c r="U118" s="13" t="str">
        <f>IF(ISNA(VLOOKUP(T118,英雄表!A:B,2,FALSE)),"",VLOOKUP(T118,英雄表!A:B,2,FALSE))</f>
        <v/>
      </c>
    </row>
    <row r="119" spans="2:21" hidden="1">
      <c r="B119" s="4" t="s">
        <v>13</v>
      </c>
      <c r="D119" s="4" t="s">
        <v>13</v>
      </c>
      <c r="U119" s="13" t="str">
        <f>IF(ISNA(VLOOKUP(T119,英雄表!A:B,2,FALSE)),"",VLOOKUP(T119,英雄表!A:B,2,FALSE))</f>
        <v/>
      </c>
    </row>
    <row r="120" spans="2:21" hidden="1">
      <c r="B120" s="3" t="str">
        <f>IF(CONCATENATE(J55,"#",K55)="#","",CONCATENATE(J55,IF(K55&lt;&gt;"","#",""),K55))</f>
        <v/>
      </c>
      <c r="D120" s="3" t="s">
        <v>12</v>
      </c>
      <c r="E120" s="3" t="str">
        <f>CONCATENATE(B120,(IF(B121="","","@")),B121,(IF(B122="","","@")),B122,(IF(B123="","","@")),B123,(IF(B124="","","@")),B124,(IF(B125="","","@")),B125,(IF(B126="","","@")),B126,(IF(B127="","","@")),B127,(IF(B128="","","@")),B128,(IF(B129="","","@")),B129)</f>
        <v/>
      </c>
      <c r="F120" s="3"/>
      <c r="G120" s="3"/>
      <c r="H120" s="3"/>
      <c r="I120" s="3"/>
      <c r="J120" s="3"/>
      <c r="K120" s="3"/>
      <c r="L120" s="3"/>
      <c r="M120" s="3"/>
      <c r="N120" s="3"/>
      <c r="O120" s="3"/>
      <c r="U120" s="13" t="str">
        <f>IF(ISNA(VLOOKUP(T120,英雄表!A:B,2,FALSE)),"",VLOOKUP(T120,英雄表!A:B,2,FALSE))</f>
        <v/>
      </c>
    </row>
    <row r="121" spans="2:21" hidden="1">
      <c r="B121" s="3" t="str">
        <f t="shared" ref="B121:B129" si="64">IF(CONCATENATE(J56,"#",K56)="#","",CONCATENATE(J56,IF(K56&lt;&gt;"","#",""),K56))</f>
        <v/>
      </c>
      <c r="U121" s="13" t="str">
        <f>IF(ISNA(VLOOKUP(T121,英雄表!A:B,2,FALSE)),"",VLOOKUP(T121,英雄表!A:B,2,FALSE))</f>
        <v/>
      </c>
    </row>
    <row r="122" spans="2:21" hidden="1">
      <c r="B122" s="3" t="str">
        <f t="shared" si="64"/>
        <v/>
      </c>
      <c r="U122" s="13" t="str">
        <f>IF(ISNA(VLOOKUP(T122,英雄表!A:B,2,FALSE)),"",VLOOKUP(T122,英雄表!A:B,2,FALSE))</f>
        <v/>
      </c>
    </row>
    <row r="123" spans="2:21" hidden="1">
      <c r="B123" s="3" t="str">
        <f t="shared" si="64"/>
        <v/>
      </c>
      <c r="U123" s="13" t="str">
        <f>IF(ISNA(VLOOKUP(T123,英雄表!A:B,2,FALSE)),"",VLOOKUP(T123,英雄表!A:B,2,FALSE))</f>
        <v/>
      </c>
    </row>
    <row r="124" spans="2:21" hidden="1">
      <c r="B124" s="3" t="str">
        <f t="shared" si="64"/>
        <v/>
      </c>
      <c r="U124" s="13" t="str">
        <f>IF(ISNA(VLOOKUP(T124,英雄表!A:B,2,FALSE)),"",VLOOKUP(T124,英雄表!A:B,2,FALSE))</f>
        <v/>
      </c>
    </row>
    <row r="125" spans="2:21" hidden="1">
      <c r="B125" s="3" t="str">
        <f t="shared" si="64"/>
        <v/>
      </c>
      <c r="U125" s="13" t="str">
        <f>IF(ISNA(VLOOKUP(T125,英雄表!A:B,2,FALSE)),"",VLOOKUP(T125,英雄表!A:B,2,FALSE))</f>
        <v/>
      </c>
    </row>
    <row r="126" spans="2:21" hidden="1">
      <c r="B126" s="3" t="str">
        <f t="shared" si="64"/>
        <v/>
      </c>
      <c r="U126" s="13" t="str">
        <f>IF(ISNA(VLOOKUP(T126,英雄表!A:B,2,FALSE)),"",VLOOKUP(T126,英雄表!A:B,2,FALSE))</f>
        <v/>
      </c>
    </row>
    <row r="127" spans="2:21" hidden="1">
      <c r="B127" s="3" t="str">
        <f t="shared" si="64"/>
        <v/>
      </c>
      <c r="U127" s="13" t="str">
        <f>IF(ISNA(VLOOKUP(T127,英雄表!A:B,2,FALSE)),"",VLOOKUP(T127,英雄表!A:B,2,FALSE))</f>
        <v/>
      </c>
    </row>
    <row r="128" spans="2:21" hidden="1">
      <c r="B128" s="3" t="str">
        <f t="shared" si="64"/>
        <v/>
      </c>
      <c r="U128" s="13" t="str">
        <f>IF(ISNA(VLOOKUP(T128,英雄表!A:B,2,FALSE)),"",VLOOKUP(T128,英雄表!A:B,2,FALSE))</f>
        <v/>
      </c>
    </row>
    <row r="129" spans="2:21" hidden="1">
      <c r="B129" s="3" t="str">
        <f t="shared" si="64"/>
        <v/>
      </c>
      <c r="U129" s="13" t="str">
        <f>IF(ISNA(VLOOKUP(T129,英雄表!A:B,2,FALSE)),"",VLOOKUP(T129,英雄表!A:B,2,FALSE))</f>
        <v/>
      </c>
    </row>
    <row r="130" spans="2:21" hidden="1">
      <c r="U130" s="13" t="str">
        <f>IF(ISNA(VLOOKUP(T130,英雄表!A:B,2,FALSE)),"",VLOOKUP(T130,英雄表!A:B,2,FALSE))</f>
        <v/>
      </c>
    </row>
    <row r="131" spans="2:21" hidden="1">
      <c r="B131" s="4" t="s">
        <v>13</v>
      </c>
      <c r="D131" s="4" t="s">
        <v>13</v>
      </c>
      <c r="U131" s="13" t="str">
        <f>IF(ISNA(VLOOKUP(T131,英雄表!A:B,2,FALSE)),"",VLOOKUP(T131,英雄表!A:B,2,FALSE))</f>
        <v/>
      </c>
    </row>
    <row r="132" spans="2:21" hidden="1">
      <c r="B132" s="3" t="str">
        <f>IF(CONCATENATE(L55,"#",M55)="#","",CONCATENATE(L55,IF(M55&lt;&gt;"","#",""),M55))</f>
        <v/>
      </c>
      <c r="D132" s="3" t="s">
        <v>12</v>
      </c>
      <c r="E132" s="3" t="str">
        <f>CONCATENATE(B132,(IF(B133="","","@")),B133,(IF(B134="","","@")),B134,(IF(B135="","","@")),B135,(IF(B136="","","@")),B136,(IF(B137="","","@")),B137,(IF(B138="","","@")),B138,(IF(B139="","","@")),B139,(IF(B140="","","@")),B140,(IF(B141="","","@")),B141)</f>
        <v/>
      </c>
      <c r="F132" s="3"/>
      <c r="G132" s="3"/>
      <c r="H132" s="3"/>
      <c r="I132" s="3"/>
      <c r="J132" s="3"/>
      <c r="K132" s="3"/>
      <c r="L132" s="3"/>
      <c r="M132" s="3"/>
      <c r="N132" s="3"/>
      <c r="O132" s="3"/>
      <c r="U132" s="13" t="str">
        <f>IF(ISNA(VLOOKUP(T132,英雄表!A:B,2,FALSE)),"",VLOOKUP(T132,英雄表!A:B,2,FALSE))</f>
        <v/>
      </c>
    </row>
    <row r="133" spans="2:21" hidden="1">
      <c r="B133" s="3" t="str">
        <f t="shared" ref="B133:B141" si="65">IF(CONCATENATE(L56,"#",M56)="#","",CONCATENATE(L56,IF(M56&lt;&gt;"","#",""),M56))</f>
        <v/>
      </c>
      <c r="U133" s="13" t="str">
        <f>IF(ISNA(VLOOKUP(T133,英雄表!A:B,2,FALSE)),"",VLOOKUP(T133,英雄表!A:B,2,FALSE))</f>
        <v/>
      </c>
    </row>
    <row r="134" spans="2:21" hidden="1">
      <c r="B134" s="3" t="str">
        <f t="shared" si="65"/>
        <v/>
      </c>
      <c r="U134" s="13" t="str">
        <f>IF(ISNA(VLOOKUP(T134,英雄表!A:B,2,FALSE)),"",VLOOKUP(T134,英雄表!A:B,2,FALSE))</f>
        <v/>
      </c>
    </row>
    <row r="135" spans="2:21" hidden="1">
      <c r="B135" s="3" t="str">
        <f t="shared" si="65"/>
        <v/>
      </c>
      <c r="U135" s="13" t="str">
        <f>IF(ISNA(VLOOKUP(T135,英雄表!A:B,2,FALSE)),"",VLOOKUP(T135,英雄表!A:B,2,FALSE))</f>
        <v/>
      </c>
    </row>
    <row r="136" spans="2:21" hidden="1">
      <c r="B136" s="3" t="str">
        <f t="shared" si="65"/>
        <v/>
      </c>
      <c r="U136" s="13" t="str">
        <f>IF(ISNA(VLOOKUP(T136,英雄表!A:B,2,FALSE)),"",VLOOKUP(T136,英雄表!A:B,2,FALSE))</f>
        <v/>
      </c>
    </row>
    <row r="137" spans="2:21" hidden="1">
      <c r="B137" s="3" t="str">
        <f t="shared" si="65"/>
        <v/>
      </c>
      <c r="U137" s="13" t="str">
        <f>IF(ISNA(VLOOKUP(T137,英雄表!A:B,2,FALSE)),"",VLOOKUP(T137,英雄表!A:B,2,FALSE))</f>
        <v/>
      </c>
    </row>
    <row r="138" spans="2:21" hidden="1">
      <c r="B138" s="3" t="str">
        <f t="shared" si="65"/>
        <v/>
      </c>
      <c r="U138" s="13" t="str">
        <f>IF(ISNA(VLOOKUP(T138,英雄表!A:B,2,FALSE)),"",VLOOKUP(T138,英雄表!A:B,2,FALSE))</f>
        <v/>
      </c>
    </row>
    <row r="139" spans="2:21" hidden="1">
      <c r="B139" s="3" t="str">
        <f t="shared" si="65"/>
        <v/>
      </c>
      <c r="U139" s="13" t="str">
        <f>IF(ISNA(VLOOKUP(T139,英雄表!A:B,2,FALSE)),"",VLOOKUP(T139,英雄表!A:B,2,FALSE))</f>
        <v/>
      </c>
    </row>
    <row r="140" spans="2:21" hidden="1">
      <c r="B140" s="3" t="str">
        <f t="shared" si="65"/>
        <v/>
      </c>
      <c r="U140" s="13" t="str">
        <f>IF(ISNA(VLOOKUP(T140,英雄表!A:B,2,FALSE)),"",VLOOKUP(T140,英雄表!A:B,2,FALSE))</f>
        <v/>
      </c>
    </row>
    <row r="141" spans="2:21" hidden="1">
      <c r="B141" s="3" t="str">
        <f t="shared" si="65"/>
        <v/>
      </c>
      <c r="U141" s="13" t="str">
        <f>IF(ISNA(VLOOKUP(T141,英雄表!A:B,2,FALSE)),"",VLOOKUP(T141,英雄表!A:B,2,FALSE))</f>
        <v/>
      </c>
    </row>
    <row r="142" spans="2:21" hidden="1">
      <c r="U142" s="13" t="str">
        <f>IF(ISNA(VLOOKUP(T142,英雄表!A:B,2,FALSE)),"",VLOOKUP(T142,英雄表!A:B,2,FALSE))</f>
        <v/>
      </c>
    </row>
    <row r="143" spans="2:21" hidden="1">
      <c r="B143" s="4" t="s">
        <v>13</v>
      </c>
      <c r="D143" s="4" t="s">
        <v>13</v>
      </c>
      <c r="U143" s="13" t="str">
        <f>IF(ISNA(VLOOKUP(T143,英雄表!A:B,2,FALSE)),"",VLOOKUP(T143,英雄表!A:B,2,FALSE))</f>
        <v/>
      </c>
    </row>
    <row r="144" spans="2:21" hidden="1">
      <c r="B144" s="3" t="str">
        <f>IF(CONCATENATE(N55,"#",O55)="#","",CONCATENATE(N55,IF(O55&lt;&gt;"","#",""),O55))</f>
        <v/>
      </c>
      <c r="D144" s="3" t="s">
        <v>12</v>
      </c>
      <c r="E144" s="3" t="str">
        <f>CONCATENATE(B144,(IF(B145="","","@")),B145,(IF(B146="","","@")),B146,(IF(B147="","","@")),B147,(IF(B148="","","@")),B148,(IF(B149="","","@")),B149,(IF(B150="","","@")),B150,(IF(B151="","","@")),B151,(IF(B152="","","@")),B152,(IF(B153="","","@")),B153)</f>
        <v/>
      </c>
      <c r="F144" s="3"/>
      <c r="G144" s="3"/>
      <c r="H144" s="3"/>
      <c r="I144" s="3"/>
      <c r="J144" s="3"/>
      <c r="K144" s="3"/>
      <c r="L144" s="3"/>
      <c r="M144" s="3"/>
      <c r="N144" s="3"/>
      <c r="O144" s="3"/>
      <c r="U144" s="13" t="str">
        <f>IF(ISNA(VLOOKUP(T144,英雄表!A:B,2,FALSE)),"",VLOOKUP(T144,英雄表!A:B,2,FALSE))</f>
        <v/>
      </c>
    </row>
    <row r="145" spans="2:21" hidden="1">
      <c r="B145" s="3" t="str">
        <f t="shared" ref="B145:B153" si="66">IF(CONCATENATE(N56,"#",O56)="#","",CONCATENATE(N56,IF(O56&lt;&gt;"","#",""),O56))</f>
        <v/>
      </c>
      <c r="U145" s="13" t="str">
        <f>IF(ISNA(VLOOKUP(T145,英雄表!A:B,2,FALSE)),"",VLOOKUP(T145,英雄表!A:B,2,FALSE))</f>
        <v/>
      </c>
    </row>
    <row r="146" spans="2:21" hidden="1">
      <c r="B146" s="3" t="str">
        <f t="shared" si="66"/>
        <v/>
      </c>
      <c r="U146" s="13" t="str">
        <f>IF(ISNA(VLOOKUP(T146,英雄表!A:B,2,FALSE)),"",VLOOKUP(T146,英雄表!A:B,2,FALSE))</f>
        <v/>
      </c>
    </row>
    <row r="147" spans="2:21" hidden="1">
      <c r="B147" s="3" t="str">
        <f t="shared" si="66"/>
        <v/>
      </c>
      <c r="U147" s="13" t="str">
        <f>IF(ISNA(VLOOKUP(T147,英雄表!A:B,2,FALSE)),"",VLOOKUP(T147,英雄表!A:B,2,FALSE))</f>
        <v/>
      </c>
    </row>
    <row r="148" spans="2:21" hidden="1">
      <c r="B148" s="3" t="str">
        <f t="shared" si="66"/>
        <v/>
      </c>
      <c r="U148" s="13" t="str">
        <f>IF(ISNA(VLOOKUP(T148,英雄表!A:B,2,FALSE)),"",VLOOKUP(T148,英雄表!A:B,2,FALSE))</f>
        <v/>
      </c>
    </row>
    <row r="149" spans="2:21" hidden="1">
      <c r="B149" s="3" t="str">
        <f t="shared" si="66"/>
        <v/>
      </c>
      <c r="U149" s="13" t="str">
        <f>IF(ISNA(VLOOKUP(T149,英雄表!A:B,2,FALSE)),"",VLOOKUP(T149,英雄表!A:B,2,FALSE))</f>
        <v/>
      </c>
    </row>
    <row r="150" spans="2:21" hidden="1">
      <c r="B150" s="3" t="str">
        <f t="shared" si="66"/>
        <v/>
      </c>
      <c r="U150" s="13" t="str">
        <f>IF(ISNA(VLOOKUP(T150,英雄表!A:B,2,FALSE)),"",VLOOKUP(T150,英雄表!A:B,2,FALSE))</f>
        <v/>
      </c>
    </row>
    <row r="151" spans="2:21" hidden="1">
      <c r="B151" s="3" t="str">
        <f t="shared" si="66"/>
        <v/>
      </c>
      <c r="U151" s="13" t="str">
        <f>IF(ISNA(VLOOKUP(T151,英雄表!A:B,2,FALSE)),"",VLOOKUP(T151,英雄表!A:B,2,FALSE))</f>
        <v/>
      </c>
    </row>
    <row r="152" spans="2:21" hidden="1">
      <c r="B152" s="3" t="str">
        <f t="shared" si="66"/>
        <v/>
      </c>
      <c r="U152" s="13" t="str">
        <f>IF(ISNA(VLOOKUP(T152,英雄表!A:B,2,FALSE)),"",VLOOKUP(T152,英雄表!A:B,2,FALSE))</f>
        <v/>
      </c>
    </row>
    <row r="153" spans="2:21" hidden="1">
      <c r="B153" s="3" t="str">
        <f t="shared" si="66"/>
        <v/>
      </c>
      <c r="U153" s="13" t="str">
        <f>IF(ISNA(VLOOKUP(T153,英雄表!A:B,2,FALSE)),"",VLOOKUP(T153,英雄表!A:B,2,FALSE))</f>
        <v/>
      </c>
    </row>
    <row r="154" spans="2:21" hidden="1">
      <c r="U154" s="13" t="str">
        <f>IF(ISNA(VLOOKUP(T154,英雄表!A:B,2,FALSE)),"",VLOOKUP(T154,英雄表!A:B,2,FALSE))</f>
        <v/>
      </c>
    </row>
    <row r="155" spans="2:21" hidden="1">
      <c r="B155" s="4" t="s">
        <v>13</v>
      </c>
      <c r="D155" s="4" t="s">
        <v>13</v>
      </c>
      <c r="U155" s="13" t="str">
        <f>IF(ISNA(VLOOKUP(T155,英雄表!A:B,2,FALSE)),"",VLOOKUP(T155,英雄表!A:B,2,FALSE))</f>
        <v/>
      </c>
    </row>
    <row r="156" spans="2:21" hidden="1">
      <c r="B156" s="3" t="str">
        <f>IF(CONCATENATE(P55,"#",Q55)="#","",CONCATENATE(P55,IF(Q55&lt;&gt;"","#",""),Q55))</f>
        <v/>
      </c>
      <c r="D156" s="3" t="s">
        <v>12</v>
      </c>
      <c r="E156" s="3" t="str">
        <f>CONCATENATE(B156,(IF(B157="","","@")),B157,(IF(B158="","","@")),B158,(IF(B159="","","@")),B159,(IF(B160="","","@")),B160,(IF(B161="","","@")),B161,(IF(B162="","","@")),B162,(IF(B163="","","@")),B163,(IF(B164="","","@")),B164,(IF(B165="","","@")),B165)</f>
        <v/>
      </c>
      <c r="F156" s="3"/>
      <c r="G156" s="3"/>
      <c r="H156" s="3"/>
      <c r="I156" s="3"/>
      <c r="J156" s="3"/>
      <c r="K156" s="3"/>
      <c r="L156" s="3"/>
      <c r="M156" s="3"/>
      <c r="N156" s="3"/>
      <c r="O156" s="3"/>
      <c r="U156" s="13" t="str">
        <f>IF(ISNA(VLOOKUP(T156,英雄表!A:B,2,FALSE)),"",VLOOKUP(T156,英雄表!A:B,2,FALSE))</f>
        <v/>
      </c>
    </row>
    <row r="157" spans="2:21" hidden="1">
      <c r="B157" s="3" t="str">
        <f t="shared" ref="B157:B165" si="67">IF(CONCATENATE(P56,"#",Q56)="#","",CONCATENATE(P56,IF(Q56&lt;&gt;"","#",""),Q56))</f>
        <v/>
      </c>
      <c r="U157" s="13" t="str">
        <f>IF(ISNA(VLOOKUP(T157,英雄表!A:B,2,FALSE)),"",VLOOKUP(T157,英雄表!A:B,2,FALSE))</f>
        <v/>
      </c>
    </row>
    <row r="158" spans="2:21" hidden="1">
      <c r="B158" s="3" t="str">
        <f t="shared" si="67"/>
        <v/>
      </c>
      <c r="U158" s="13" t="str">
        <f>IF(ISNA(VLOOKUP(T158,英雄表!A:B,2,FALSE)),"",VLOOKUP(T158,英雄表!A:B,2,FALSE))</f>
        <v/>
      </c>
    </row>
    <row r="159" spans="2:21" hidden="1">
      <c r="B159" s="3" t="str">
        <f t="shared" si="67"/>
        <v/>
      </c>
      <c r="U159" s="13" t="str">
        <f>IF(ISNA(VLOOKUP(T159,英雄表!A:B,2,FALSE)),"",VLOOKUP(T159,英雄表!A:B,2,FALSE))</f>
        <v/>
      </c>
    </row>
    <row r="160" spans="2:21" hidden="1">
      <c r="B160" s="3" t="str">
        <f t="shared" si="67"/>
        <v/>
      </c>
      <c r="U160" s="13" t="str">
        <f>IF(ISNA(VLOOKUP(T160,英雄表!A:B,2,FALSE)),"",VLOOKUP(T160,英雄表!A:B,2,FALSE))</f>
        <v/>
      </c>
    </row>
    <row r="161" spans="1:21" hidden="1">
      <c r="B161" s="3" t="str">
        <f t="shared" si="67"/>
        <v/>
      </c>
      <c r="U161" s="13" t="str">
        <f>IF(ISNA(VLOOKUP(T161,英雄表!A:B,2,FALSE)),"",VLOOKUP(T161,英雄表!A:B,2,FALSE))</f>
        <v/>
      </c>
    </row>
    <row r="162" spans="1:21" hidden="1">
      <c r="B162" s="3" t="str">
        <f t="shared" si="67"/>
        <v/>
      </c>
      <c r="U162" s="13" t="str">
        <f>IF(ISNA(VLOOKUP(T162,英雄表!A:B,2,FALSE)),"",VLOOKUP(T162,英雄表!A:B,2,FALSE))</f>
        <v/>
      </c>
    </row>
    <row r="163" spans="1:21" hidden="1">
      <c r="B163" s="3" t="str">
        <f t="shared" si="67"/>
        <v/>
      </c>
      <c r="U163" s="13" t="str">
        <f>IF(ISNA(VLOOKUP(T163,英雄表!A:B,2,FALSE)),"",VLOOKUP(T163,英雄表!A:B,2,FALSE))</f>
        <v/>
      </c>
    </row>
    <row r="164" spans="1:21" hidden="1">
      <c r="B164" s="3" t="str">
        <f t="shared" si="67"/>
        <v/>
      </c>
      <c r="U164" s="13" t="str">
        <f>IF(ISNA(VLOOKUP(T164,英雄表!A:B,2,FALSE)),"",VLOOKUP(T164,英雄表!A:B,2,FALSE))</f>
        <v/>
      </c>
    </row>
    <row r="165" spans="1:21" hidden="1">
      <c r="B165" s="3" t="str">
        <f t="shared" si="67"/>
        <v/>
      </c>
      <c r="U165" s="13" t="str">
        <f>IF(ISNA(VLOOKUP(T165,英雄表!A:B,2,FALSE)),"",VLOOKUP(T165,英雄表!A:B,2,FALSE))</f>
        <v/>
      </c>
    </row>
    <row r="166" spans="1:21">
      <c r="T166">
        <v>131702</v>
      </c>
      <c r="U166" s="13" t="str">
        <f>IF(ISNA(VLOOKUP(T166,英雄表!A:B,2,FALSE)),"",VLOOKUP(T166,英雄表!A:B,2,FALSE))</f>
        <v>人魚</v>
      </c>
    </row>
    <row r="167" spans="1:21">
      <c r="A167" s="7" t="s">
        <v>22</v>
      </c>
      <c r="B167" s="3" t="s">
        <v>12</v>
      </c>
      <c r="C167" s="3" t="str">
        <f>CONCATENATE(E72,IF(E84="","","/"),E84,IF(E96="","","/"),E96,IF(E108="","","/"),E108,IF(E120="","","/"),E120,IF(E132="","","/"),E132,IF(E144="","","/"),E144,IF(E156="","","/"),E156)</f>
        <v>131502#3@131502#3@131702#4/131502#3@131502#3@131702#4@131702#4/131502#3@131502#3@131801#4@131702#3@131702#3@130601#5/131502#3@131801#4@131702#3@131702#3@130601#5</v>
      </c>
      <c r="D167" s="3"/>
      <c r="E167" s="3"/>
      <c r="F167" s="3"/>
      <c r="G167" s="3"/>
      <c r="H167" s="3"/>
      <c r="I167" s="3"/>
      <c r="J167" s="3"/>
      <c r="K167" s="3"/>
      <c r="L167" s="3"/>
      <c r="M167" s="3"/>
      <c r="T167">
        <v>131801</v>
      </c>
      <c r="U167" s="13" t="str">
        <f>IF(ISNA(VLOOKUP(T167,英雄表!A:B,2,FALSE)),"",VLOOKUP(T167,英雄表!A:B,2,FALSE))</f>
        <v>海妖</v>
      </c>
    </row>
    <row r="168" spans="1:21">
      <c r="T168">
        <v>131101</v>
      </c>
      <c r="U168" s="13" t="str">
        <f>IF(ISNA(VLOOKUP(T168,英雄表!A:B,2,FALSE)),"",VLOOKUP(T168,英雄表!A:B,2,FALSE))</f>
        <v>不死鳥</v>
      </c>
    </row>
    <row r="169" spans="1:21">
      <c r="T169">
        <v>130401</v>
      </c>
      <c r="U169" s="13" t="str">
        <f>IF(ISNA(VLOOKUP(T169,英雄表!A:B,2,FALSE)),"",VLOOKUP(T169,英雄表!A:B,2,FALSE))</f>
        <v>小型地獄犬</v>
      </c>
    </row>
    <row r="170" spans="1:21">
      <c r="T170">
        <v>134901</v>
      </c>
      <c r="U170" s="13" t="str">
        <f>IF(ISNA(VLOOKUP(T170,英雄表!A:B,2,FALSE)),"",VLOOKUP(T170,英雄表!A:B,2,FALSE))</f>
        <v>穆斯佩火巨人</v>
      </c>
    </row>
    <row r="171" spans="1:21">
      <c r="T171" s="16">
        <v>131003</v>
      </c>
      <c r="U171" s="13" t="str">
        <f>IF(ISNA(VLOOKUP(T171,英雄表!A:B,2,FALSE)),"",VLOOKUP(T171,英雄表!A:B,2,FALSE))</f>
        <v>小飛馬</v>
      </c>
    </row>
    <row r="172" spans="1:21">
      <c r="T172" s="16">
        <v>130503</v>
      </c>
      <c r="U172" s="13" t="str">
        <f>IF(ISNA(VLOOKUP(T172,英雄表!A:B,2,FALSE)),"",VLOOKUP(T172,英雄表!A:B,2,FALSE))</f>
        <v>獅鷲</v>
      </c>
    </row>
    <row r="173" spans="1:21">
      <c r="T173" s="16">
        <v>133302</v>
      </c>
      <c r="U173" s="13" t="str">
        <f>IF(ISNA(VLOOKUP(T173,英雄表!A:B,2,FALSE)),"",VLOOKUP(T173,英雄表!A:B,2,FALSE))</f>
        <v>胡金</v>
      </c>
    </row>
    <row r="174" spans="1:21">
      <c r="U174" s="13" t="str">
        <f>IF(ISNA(VLOOKUP(T174,英雄表!A:B,2,FALSE)),"",VLOOKUP(T174,英雄表!A:B,2,FALSE))</f>
        <v/>
      </c>
    </row>
    <row r="175" spans="1:21">
      <c r="U175" s="13" t="str">
        <f>IF(ISNA(VLOOKUP(T175,英雄表!A:B,2,FALSE)),"",VLOOKUP(T175,英雄表!A:B,2,FALSE))</f>
        <v/>
      </c>
    </row>
    <row r="176" spans="1:21">
      <c r="U176" s="13" t="str">
        <f>IF(ISNA(VLOOKUP(T176,英雄表!A:B,2,FALSE)),"",VLOOKUP(T176,英雄表!A:B,2,FALSE))</f>
        <v/>
      </c>
    </row>
    <row r="177" spans="21:21">
      <c r="U177" s="13" t="str">
        <f>IF(ISNA(VLOOKUP(T177,英雄表!A:B,2,FALSE)),"",VLOOKUP(T177,英雄表!A:B,2,FALSE))</f>
        <v/>
      </c>
    </row>
    <row r="178" spans="21:21">
      <c r="U178" s="13" t="str">
        <f>IF(ISNA(VLOOKUP(T178,英雄表!A:B,2,FALSE)),"",VLOOKUP(T178,英雄表!A:B,2,FALSE))</f>
        <v/>
      </c>
    </row>
    <row r="179" spans="21:21">
      <c r="U179" s="13" t="str">
        <f>IF(ISNA(VLOOKUP(T179,英雄表!A:B,2,FALSE)),"",VLOOKUP(T179,英雄表!A:B,2,FALSE))</f>
        <v/>
      </c>
    </row>
    <row r="180" spans="21:21">
      <c r="U180" s="13" t="str">
        <f>IF(ISNA(VLOOKUP(T180,英雄表!A:B,2,FALSE)),"",VLOOKUP(T180,英雄表!A:B,2,FALSE))</f>
        <v/>
      </c>
    </row>
    <row r="181" spans="21:21">
      <c r="U181" s="13" t="str">
        <f>IF(ISNA(VLOOKUP(T181,英雄表!A:B,2,FALSE)),"",VLOOKUP(T181,英雄表!A:B,2,FALSE))</f>
        <v/>
      </c>
    </row>
  </sheetData>
  <mergeCells count="24">
    <mergeCell ref="N5:O5"/>
    <mergeCell ref="P5:Q5"/>
    <mergeCell ref="B5:C5"/>
    <mergeCell ref="D5:E5"/>
    <mergeCell ref="F5:G5"/>
    <mergeCell ref="H5:I5"/>
    <mergeCell ref="J5:K5"/>
    <mergeCell ref="L5:M5"/>
    <mergeCell ref="N53:O53"/>
    <mergeCell ref="P53:Q53"/>
    <mergeCell ref="B53:C53"/>
    <mergeCell ref="D53:E53"/>
    <mergeCell ref="F53:G53"/>
    <mergeCell ref="H53:I53"/>
    <mergeCell ref="J53:K53"/>
    <mergeCell ref="L53:M53"/>
    <mergeCell ref="L18:M18"/>
    <mergeCell ref="N18:O18"/>
    <mergeCell ref="P18:Q18"/>
    <mergeCell ref="B18:C18"/>
    <mergeCell ref="D18:E18"/>
    <mergeCell ref="F18:G18"/>
    <mergeCell ref="H18:I18"/>
    <mergeCell ref="J18:K18"/>
  </mergeCells>
  <phoneticPr fontId="2" type="noConversion"/>
  <pageMargins left="0.75" right="0.75" top="1" bottom="1" header="0.5" footer="0.5"/>
  <pageSetup paperSize="9" orientation="portrait" r:id="rId1"/>
  <headerFooter alignWithMargins="0"/>
  <ignoredErrors>
    <ignoredError sqref="C25" formula="1"/>
  </ignoredErrors>
  <drawing r:id="rId2"/>
</worksheet>
</file>

<file path=xl/worksheets/sheet2.xml><?xml version="1.0" encoding="utf-8"?>
<worksheet xmlns="http://schemas.openxmlformats.org/spreadsheetml/2006/main" xmlns:r="http://schemas.openxmlformats.org/officeDocument/2006/relationships">
  <sheetPr codeName="Sheet5"/>
  <dimension ref="C2:S542"/>
  <sheetViews>
    <sheetView workbookViewId="0">
      <selection activeCell="G8" sqref="G8:G10"/>
    </sheetView>
  </sheetViews>
  <sheetFormatPr defaultRowHeight="16.5"/>
  <cols>
    <col min="1" max="1" width="14.875" customWidth="1"/>
    <col min="3" max="3" width="13.25" customWidth="1"/>
    <col min="4" max="4" width="14.125" customWidth="1"/>
    <col min="5" max="5" width="5.625" customWidth="1"/>
    <col min="6" max="6" width="8" customWidth="1"/>
    <col min="7" max="7" width="12.375" customWidth="1"/>
    <col min="8" max="8" width="7.375" customWidth="1"/>
    <col min="9" max="9" width="8.375" customWidth="1"/>
    <col min="10" max="10" width="14" customWidth="1"/>
    <col min="11" max="11" width="7.75" customWidth="1"/>
    <col min="12" max="12" width="9.875" customWidth="1"/>
    <col min="13" max="13" width="12.75" customWidth="1"/>
    <col min="14" max="14" width="10.375" customWidth="1"/>
    <col min="15" max="15" width="15.25" customWidth="1"/>
    <col min="16" max="16" width="12.75" customWidth="1"/>
    <col min="17" max="17" width="12.25" customWidth="1"/>
    <col min="18" max="18" width="18.375" customWidth="1"/>
  </cols>
  <sheetData>
    <row r="2" spans="3:17">
      <c r="C2" s="12" t="s">
        <v>168</v>
      </c>
      <c r="D2" s="83" t="s">
        <v>1268</v>
      </c>
      <c r="E2" s="82" t="s">
        <v>3276</v>
      </c>
      <c r="F2" s="82" t="s">
        <v>3276</v>
      </c>
      <c r="G2" s="82" t="s">
        <v>3276</v>
      </c>
      <c r="H2" s="82" t="s">
        <v>3276</v>
      </c>
    </row>
    <row r="5" spans="3:17">
      <c r="D5" s="110" t="s">
        <v>587</v>
      </c>
      <c r="E5" s="110"/>
      <c r="F5" s="110" t="s">
        <v>588</v>
      </c>
      <c r="G5" s="110"/>
      <c r="H5" s="110"/>
      <c r="I5" s="110" t="s">
        <v>589</v>
      </c>
      <c r="J5" s="110"/>
      <c r="K5" s="110"/>
      <c r="L5" s="110" t="s">
        <v>590</v>
      </c>
      <c r="M5" s="110"/>
      <c r="N5" s="110"/>
      <c r="O5" s="110" t="s">
        <v>591</v>
      </c>
      <c r="P5" s="110"/>
      <c r="Q5" s="110"/>
    </row>
    <row r="6" spans="3:17">
      <c r="D6" s="49" t="s">
        <v>154</v>
      </c>
      <c r="E6" s="49" t="s">
        <v>167</v>
      </c>
      <c r="F6" s="50" t="s">
        <v>157</v>
      </c>
      <c r="G6" s="51" t="s">
        <v>150</v>
      </c>
      <c r="H6" s="51" t="s">
        <v>167</v>
      </c>
      <c r="I6" s="52" t="s">
        <v>157</v>
      </c>
      <c r="J6" s="49" t="s">
        <v>151</v>
      </c>
      <c r="K6" s="49" t="s">
        <v>167</v>
      </c>
      <c r="L6" s="50" t="s">
        <v>157</v>
      </c>
      <c r="M6" s="51" t="s">
        <v>152</v>
      </c>
      <c r="N6" s="51" t="s">
        <v>167</v>
      </c>
      <c r="O6" s="52" t="s">
        <v>157</v>
      </c>
      <c r="P6" s="49" t="s">
        <v>153</v>
      </c>
      <c r="Q6" s="49" t="s">
        <v>167</v>
      </c>
    </row>
    <row r="7" spans="3:17">
      <c r="C7" s="1" t="s">
        <v>155</v>
      </c>
      <c r="D7" s="1">
        <v>301</v>
      </c>
      <c r="E7" s="1">
        <v>1</v>
      </c>
      <c r="F7" s="53">
        <v>1</v>
      </c>
      <c r="G7" s="1">
        <v>703</v>
      </c>
      <c r="H7" s="1">
        <v>1</v>
      </c>
      <c r="I7" s="53">
        <v>1</v>
      </c>
      <c r="J7" s="1">
        <v>703</v>
      </c>
      <c r="K7" s="1">
        <v>1</v>
      </c>
      <c r="L7" s="53">
        <v>1</v>
      </c>
      <c r="M7" s="1">
        <v>703</v>
      </c>
      <c r="N7" s="1">
        <v>1</v>
      </c>
      <c r="O7" s="53">
        <v>1</v>
      </c>
      <c r="P7" s="1">
        <v>703</v>
      </c>
      <c r="Q7" s="1">
        <v>1</v>
      </c>
    </row>
    <row r="8" spans="3:17">
      <c r="C8" s="1" t="s">
        <v>156</v>
      </c>
      <c r="D8" s="1"/>
      <c r="E8" s="1"/>
      <c r="F8" s="53">
        <v>1</v>
      </c>
      <c r="G8" s="1">
        <v>702</v>
      </c>
      <c r="H8" s="1">
        <v>3</v>
      </c>
      <c r="I8" s="53">
        <v>1</v>
      </c>
      <c r="J8" s="1">
        <v>702</v>
      </c>
      <c r="K8" s="1">
        <v>3</v>
      </c>
      <c r="L8" s="53">
        <v>1</v>
      </c>
      <c r="M8" s="1">
        <v>702</v>
      </c>
      <c r="N8" s="1">
        <v>3</v>
      </c>
      <c r="O8" s="53">
        <v>1</v>
      </c>
      <c r="P8" s="1">
        <v>702</v>
      </c>
      <c r="Q8" s="1">
        <v>3</v>
      </c>
    </row>
    <row r="9" spans="3:17">
      <c r="C9" s="1" t="s">
        <v>158</v>
      </c>
      <c r="D9" s="1"/>
      <c r="E9" s="1"/>
      <c r="F9" s="53">
        <v>1</v>
      </c>
      <c r="G9" s="1">
        <v>701</v>
      </c>
      <c r="H9" s="1">
        <v>20</v>
      </c>
      <c r="I9" s="53">
        <v>1</v>
      </c>
      <c r="J9" s="1">
        <v>701</v>
      </c>
      <c r="K9" s="1">
        <v>20</v>
      </c>
      <c r="L9" s="53">
        <v>1</v>
      </c>
      <c r="M9" s="1">
        <v>701</v>
      </c>
      <c r="N9" s="1">
        <v>20</v>
      </c>
      <c r="O9" s="53">
        <v>1</v>
      </c>
      <c r="P9" s="1">
        <v>701</v>
      </c>
      <c r="Q9" s="1">
        <v>20</v>
      </c>
    </row>
    <row r="10" spans="3:17">
      <c r="C10" s="1" t="s">
        <v>159</v>
      </c>
      <c r="D10" s="1"/>
      <c r="E10" s="1"/>
      <c r="F10" s="53"/>
      <c r="G10" s="1"/>
      <c r="H10" s="1"/>
      <c r="I10" s="53"/>
      <c r="J10" s="1"/>
      <c r="K10" s="1"/>
      <c r="L10" s="53"/>
      <c r="M10" s="1"/>
      <c r="N10" s="1"/>
      <c r="O10" s="53"/>
      <c r="P10" s="1"/>
      <c r="Q10" s="1"/>
    </row>
    <row r="11" spans="3:17">
      <c r="C11" s="1" t="s">
        <v>160</v>
      </c>
      <c r="D11" s="1"/>
      <c r="E11" s="1"/>
      <c r="F11" s="53"/>
      <c r="G11" s="1"/>
      <c r="H11" s="1"/>
      <c r="I11" s="53"/>
      <c r="J11" s="1"/>
      <c r="K11" s="1"/>
      <c r="L11" s="53"/>
      <c r="M11" s="1"/>
      <c r="N11" s="1"/>
      <c r="O11" s="53"/>
      <c r="P11" s="1"/>
      <c r="Q11" s="1"/>
    </row>
    <row r="12" spans="3:17">
      <c r="C12" s="1" t="s">
        <v>161</v>
      </c>
      <c r="D12" s="1"/>
      <c r="E12" s="1"/>
      <c r="F12" s="53"/>
      <c r="G12" s="1"/>
      <c r="H12" s="1"/>
      <c r="I12" s="53"/>
      <c r="J12" s="1"/>
      <c r="K12" s="1"/>
      <c r="L12" s="53"/>
      <c r="M12" s="1"/>
      <c r="N12" s="1"/>
      <c r="O12" s="53"/>
      <c r="P12" s="1"/>
      <c r="Q12" s="1"/>
    </row>
    <row r="13" spans="3:17">
      <c r="C13" s="1" t="s">
        <v>162</v>
      </c>
      <c r="D13" s="1"/>
      <c r="E13" s="1"/>
      <c r="F13" s="53"/>
      <c r="G13" s="1"/>
      <c r="H13" s="1"/>
      <c r="I13" s="53"/>
      <c r="J13" s="1"/>
      <c r="K13" s="1"/>
      <c r="L13" s="53"/>
      <c r="M13" s="1"/>
      <c r="N13" s="1"/>
      <c r="O13" s="53"/>
      <c r="P13" s="1"/>
      <c r="Q13" s="1"/>
    </row>
    <row r="14" spans="3:17">
      <c r="C14" s="1" t="s">
        <v>163</v>
      </c>
      <c r="D14" s="1"/>
      <c r="E14" s="1"/>
      <c r="F14" s="53"/>
      <c r="G14" s="1"/>
      <c r="H14" s="1"/>
      <c r="I14" s="53"/>
      <c r="J14" s="1"/>
      <c r="K14" s="1"/>
      <c r="L14" s="53"/>
      <c r="M14" s="1"/>
      <c r="N14" s="1"/>
      <c r="O14" s="53"/>
      <c r="P14" s="1"/>
      <c r="Q14" s="1"/>
    </row>
    <row r="15" spans="3:17">
      <c r="C15" s="1" t="s">
        <v>164</v>
      </c>
      <c r="D15" s="1"/>
      <c r="E15" s="1"/>
      <c r="F15" s="53"/>
      <c r="G15" s="1"/>
      <c r="H15" s="1"/>
      <c r="I15" s="53"/>
      <c r="J15" s="1"/>
      <c r="K15" s="1"/>
      <c r="L15" s="53"/>
      <c r="M15" s="1"/>
      <c r="N15" s="1"/>
      <c r="O15" s="53"/>
      <c r="P15" s="1"/>
      <c r="Q15" s="1"/>
    </row>
    <row r="16" spans="3:17">
      <c r="C16" s="1" t="s">
        <v>165</v>
      </c>
      <c r="D16" s="1"/>
      <c r="E16" s="1"/>
      <c r="F16" s="53"/>
      <c r="G16" s="1"/>
      <c r="H16" s="1"/>
      <c r="I16" s="53"/>
      <c r="J16" s="1"/>
      <c r="K16" s="1"/>
      <c r="L16" s="53"/>
      <c r="M16" s="1"/>
      <c r="N16" s="1"/>
      <c r="O16" s="53"/>
      <c r="P16" s="1"/>
      <c r="Q16" s="1"/>
    </row>
    <row r="17" spans="3:17">
      <c r="F17" s="48"/>
      <c r="I17" s="48"/>
      <c r="L17" s="48"/>
      <c r="O17" s="48"/>
    </row>
    <row r="18" spans="3:17">
      <c r="F18" s="48"/>
      <c r="I18" s="48"/>
      <c r="L18" s="48"/>
      <c r="O18" s="48"/>
    </row>
    <row r="19" spans="3:17">
      <c r="F19" s="48"/>
      <c r="I19" s="48"/>
      <c r="L19" s="48"/>
      <c r="O19" s="48"/>
    </row>
    <row r="20" spans="3:17">
      <c r="D20" s="110" t="s">
        <v>587</v>
      </c>
      <c r="E20" s="110"/>
      <c r="F20" s="110" t="s">
        <v>588</v>
      </c>
      <c r="G20" s="110"/>
      <c r="H20" s="110"/>
      <c r="I20" s="110" t="s">
        <v>589</v>
      </c>
      <c r="J20" s="110"/>
      <c r="K20" s="110"/>
      <c r="L20" s="110" t="s">
        <v>590</v>
      </c>
      <c r="M20" s="110"/>
      <c r="N20" s="110"/>
      <c r="O20" s="110" t="s">
        <v>591</v>
      </c>
      <c r="P20" s="110"/>
      <c r="Q20" s="110"/>
    </row>
    <row r="21" spans="3:17">
      <c r="D21" s="54" t="s">
        <v>154</v>
      </c>
      <c r="E21" s="54" t="s">
        <v>167</v>
      </c>
      <c r="F21" s="55" t="s">
        <v>157</v>
      </c>
      <c r="G21" s="56" t="s">
        <v>150</v>
      </c>
      <c r="H21" s="56" t="s">
        <v>167</v>
      </c>
      <c r="I21" s="57" t="s">
        <v>157</v>
      </c>
      <c r="J21" s="54" t="s">
        <v>151</v>
      </c>
      <c r="K21" s="54" t="s">
        <v>167</v>
      </c>
      <c r="L21" s="55" t="s">
        <v>157</v>
      </c>
      <c r="M21" s="56" t="s">
        <v>152</v>
      </c>
      <c r="N21" s="56" t="s">
        <v>167</v>
      </c>
      <c r="O21" s="57" t="s">
        <v>157</v>
      </c>
      <c r="P21" s="54" t="s">
        <v>153</v>
      </c>
      <c r="Q21" s="54" t="s">
        <v>167</v>
      </c>
    </row>
    <row r="22" spans="3:17">
      <c r="C22" s="1" t="s">
        <v>155</v>
      </c>
      <c r="D22" s="70" t="str">
        <f>IF(D7&lt;&gt;"",VLOOKUP(D7,道具表!$A:$B,2,FALSE),"")</f>
        <v>金色勳章(5)</v>
      </c>
      <c r="E22" s="70">
        <f t="shared" ref="E22:F25" si="0">IF(E7&lt;&gt;"",E7,"")</f>
        <v>1</v>
      </c>
      <c r="F22" s="71">
        <f t="shared" si="0"/>
        <v>1</v>
      </c>
      <c r="G22" s="70" t="str">
        <f>IF(G7&lt;&gt;"",VLOOKUP(G7,道具表!$A:$B,2,FALSE),"")</f>
        <v>潛能神石</v>
      </c>
      <c r="H22" s="70">
        <f>IF(H7&lt;&gt;"",H7,"")</f>
        <v>1</v>
      </c>
      <c r="I22" s="53">
        <f>IF(I7&lt;&gt;"",I7,"")</f>
        <v>1</v>
      </c>
      <c r="J22" s="1" t="str">
        <f>IF(J7&lt;&gt;"",VLOOKUP(J7,道具表!$A:$B,2,FALSE),"")</f>
        <v>潛能神石</v>
      </c>
      <c r="K22" s="1">
        <f>IF(K7&lt;&gt;"",K7,"")</f>
        <v>1</v>
      </c>
      <c r="L22" s="53">
        <f>IF(L7&lt;&gt;"",L7,"")</f>
        <v>1</v>
      </c>
      <c r="M22" s="1" t="str">
        <f>IF(M7&lt;&gt;"",VLOOKUP(M7,道具表!$A:$B,2,FALSE),"")</f>
        <v>潛能神石</v>
      </c>
      <c r="N22" s="1">
        <f>IF(N7&lt;&gt;"",N7,"")</f>
        <v>1</v>
      </c>
      <c r="O22" s="53">
        <f>IF(O7&lt;&gt;"",O7,"")</f>
        <v>1</v>
      </c>
      <c r="P22" s="1" t="str">
        <f>IF(P7&lt;&gt;"",VLOOKUP(P7,道具表!$A:$B,2,FALSE),"")</f>
        <v>潛能神石</v>
      </c>
      <c r="Q22" s="1">
        <f>IF(Q7&lt;&gt;"",Q7,"")</f>
        <v>1</v>
      </c>
    </row>
    <row r="23" spans="3:17">
      <c r="C23" s="1" t="s">
        <v>156</v>
      </c>
      <c r="D23" s="70" t="str">
        <f>IF(D8&lt;&gt;"",VLOOKUP(D8,道具表!$A:$B,2,FALSE),"")</f>
        <v/>
      </c>
      <c r="E23" s="70" t="str">
        <f t="shared" si="0"/>
        <v/>
      </c>
      <c r="F23" s="71">
        <f t="shared" si="0"/>
        <v>1</v>
      </c>
      <c r="G23" s="70" t="str">
        <f>IF(G8&lt;&gt;"",VLOOKUP(G8,道具表!$A:$B,2,FALSE),"")</f>
        <v>潛能祕石</v>
      </c>
      <c r="H23" s="70">
        <f>IF(H8&lt;&gt;"",H8,"")</f>
        <v>3</v>
      </c>
      <c r="I23" s="53">
        <f t="shared" ref="I23" si="1">IF(I8&lt;&gt;"",I8,"")</f>
        <v>1</v>
      </c>
      <c r="J23" s="1" t="str">
        <f>IF(J8&lt;&gt;"",VLOOKUP(J8,道具表!$A:$B,2,FALSE),"")</f>
        <v>潛能祕石</v>
      </c>
      <c r="K23" s="1">
        <f t="shared" ref="K23:L23" si="2">IF(K8&lt;&gt;"",K8,"")</f>
        <v>3</v>
      </c>
      <c r="L23" s="53">
        <f t="shared" si="2"/>
        <v>1</v>
      </c>
      <c r="M23" s="1" t="str">
        <f>IF(M8&lt;&gt;"",VLOOKUP(M8,道具表!$A:$B,2,FALSE),"")</f>
        <v>潛能祕石</v>
      </c>
      <c r="N23" s="1">
        <f t="shared" ref="N23:O23" si="3">IF(N8&lt;&gt;"",N8,"")</f>
        <v>3</v>
      </c>
      <c r="O23" s="53">
        <f t="shared" si="3"/>
        <v>1</v>
      </c>
      <c r="P23" s="1" t="str">
        <f>IF(P8&lt;&gt;"",VLOOKUP(P8,道具表!$A:$B,2,FALSE),"")</f>
        <v>潛能祕石</v>
      </c>
      <c r="Q23" s="1">
        <f t="shared" ref="Q23:Q31" si="4">IF(Q8&lt;&gt;"",Q8,"")</f>
        <v>3</v>
      </c>
    </row>
    <row r="24" spans="3:17">
      <c r="C24" s="1" t="s">
        <v>158</v>
      </c>
      <c r="D24" s="70" t="str">
        <f>IF(D9&lt;&gt;"",VLOOKUP(D9,道具表!$A:$B,2,FALSE),"")</f>
        <v/>
      </c>
      <c r="E24" s="70" t="str">
        <f t="shared" si="0"/>
        <v/>
      </c>
      <c r="F24" s="71">
        <f t="shared" si="0"/>
        <v>1</v>
      </c>
      <c r="G24" s="70" t="str">
        <f>IF(G9&lt;&gt;"",VLOOKUP(G9,道具表!$A:$B,2,FALSE),"")</f>
        <v>潛能盧石</v>
      </c>
      <c r="H24" s="70">
        <f>IF(H9&lt;&gt;"",H9,"")</f>
        <v>20</v>
      </c>
      <c r="I24" s="53">
        <f t="shared" ref="I24" si="5">IF(I9&lt;&gt;"",I9,"")</f>
        <v>1</v>
      </c>
      <c r="J24" s="1" t="str">
        <f>IF(J9&lt;&gt;"",VLOOKUP(J9,道具表!$A:$B,2,FALSE),"")</f>
        <v>潛能盧石</v>
      </c>
      <c r="K24" s="1">
        <f t="shared" ref="K24:L24" si="6">IF(K9&lt;&gt;"",K9,"")</f>
        <v>20</v>
      </c>
      <c r="L24" s="53">
        <f t="shared" si="6"/>
        <v>1</v>
      </c>
      <c r="M24" s="1" t="str">
        <f>IF(M9&lt;&gt;"",VLOOKUP(M9,道具表!$A:$B,2,FALSE),"")</f>
        <v>潛能盧石</v>
      </c>
      <c r="N24" s="1">
        <f t="shared" ref="N24:O24" si="7">IF(N9&lt;&gt;"",N9,"")</f>
        <v>20</v>
      </c>
      <c r="O24" s="53">
        <f t="shared" si="7"/>
        <v>1</v>
      </c>
      <c r="P24" s="1" t="str">
        <f>IF(P9&lt;&gt;"",VLOOKUP(P9,道具表!$A:$B,2,FALSE),"")</f>
        <v>潛能盧石</v>
      </c>
      <c r="Q24" s="1">
        <f t="shared" si="4"/>
        <v>20</v>
      </c>
    </row>
    <row r="25" spans="3:17">
      <c r="C25" s="1" t="s">
        <v>159</v>
      </c>
      <c r="D25" s="70" t="str">
        <f>IF(D10&lt;&gt;"",VLOOKUP(D10,道具表!$A:$B,2,FALSE),"")</f>
        <v/>
      </c>
      <c r="E25" s="70" t="str">
        <f t="shared" si="0"/>
        <v/>
      </c>
      <c r="F25" s="71" t="str">
        <f t="shared" si="0"/>
        <v/>
      </c>
      <c r="G25" s="70" t="str">
        <f>IF(G10&lt;&gt;"",VLOOKUP(G10,道具表!$A:$B,2,FALSE),"")</f>
        <v/>
      </c>
      <c r="H25" s="70" t="str">
        <f>IF(H10&lt;&gt;"",H10,"")</f>
        <v/>
      </c>
      <c r="I25" s="53" t="str">
        <f t="shared" ref="I25" si="8">IF(I10&lt;&gt;"",I10,"")</f>
        <v/>
      </c>
      <c r="J25" s="1" t="str">
        <f>IF(J10&lt;&gt;"",VLOOKUP(J10,道具表!$A:$B,2,FALSE),"")</f>
        <v/>
      </c>
      <c r="K25" s="1" t="str">
        <f t="shared" ref="K25:L25" si="9">IF(K10&lt;&gt;"",K10,"")</f>
        <v/>
      </c>
      <c r="L25" s="53" t="str">
        <f t="shared" si="9"/>
        <v/>
      </c>
      <c r="M25" s="1" t="str">
        <f>IF(M10&lt;&gt;"",VLOOKUP(M10,道具表!$A:$B,2,FALSE),"")</f>
        <v/>
      </c>
      <c r="N25" s="1" t="str">
        <f t="shared" ref="N25:O25" si="10">IF(N10&lt;&gt;"",N10,"")</f>
        <v/>
      </c>
      <c r="O25" s="53" t="str">
        <f t="shared" si="10"/>
        <v/>
      </c>
      <c r="P25" s="1" t="str">
        <f>IF(P10&lt;&gt;"",VLOOKUP(P10,道具表!$A:$B,2,FALSE),"")</f>
        <v/>
      </c>
      <c r="Q25" s="1" t="str">
        <f t="shared" si="4"/>
        <v/>
      </c>
    </row>
    <row r="26" spans="3:17">
      <c r="C26" s="1" t="s">
        <v>160</v>
      </c>
      <c r="D26" s="1" t="str">
        <f>IF(D11&lt;&gt;"",VLOOKUP(D11,道具表!$A:$B,2,FALSE),"")</f>
        <v/>
      </c>
      <c r="E26" s="1" t="str">
        <f t="shared" ref="E26:F26" si="11">IF(E11&lt;&gt;"",E11,"")</f>
        <v/>
      </c>
      <c r="F26" s="53" t="str">
        <f t="shared" si="11"/>
        <v/>
      </c>
      <c r="G26" s="1" t="str">
        <f>IF(G11&lt;&gt;"",VLOOKUP(G11,道具表!$A:$B,2,FALSE),"")</f>
        <v/>
      </c>
      <c r="H26" s="1" t="str">
        <f t="shared" ref="H26:I26" si="12">IF(H11&lt;&gt;"",H11,"")</f>
        <v/>
      </c>
      <c r="I26" s="53" t="str">
        <f t="shared" si="12"/>
        <v/>
      </c>
      <c r="J26" s="1" t="str">
        <f>IF(J11&lt;&gt;"",VLOOKUP(J11,道具表!$A:$B,2,FALSE),"")</f>
        <v/>
      </c>
      <c r="K26" s="1" t="str">
        <f t="shared" ref="K26:L26" si="13">IF(K11&lt;&gt;"",K11,"")</f>
        <v/>
      </c>
      <c r="L26" s="53" t="str">
        <f t="shared" si="13"/>
        <v/>
      </c>
      <c r="M26" s="1" t="str">
        <f>IF(M11&lt;&gt;"",VLOOKUP(M11,道具表!$A:$B,2,FALSE),"")</f>
        <v/>
      </c>
      <c r="N26" s="1" t="str">
        <f t="shared" ref="N26:O26" si="14">IF(N11&lt;&gt;"",N11,"")</f>
        <v/>
      </c>
      <c r="O26" s="53" t="str">
        <f t="shared" si="14"/>
        <v/>
      </c>
      <c r="P26" s="1" t="str">
        <f>IF(P11&lt;&gt;"",VLOOKUP(P11,道具表!$A:$B,2,FALSE),"")</f>
        <v/>
      </c>
      <c r="Q26" s="1" t="str">
        <f t="shared" si="4"/>
        <v/>
      </c>
    </row>
    <row r="27" spans="3:17">
      <c r="C27" s="1" t="s">
        <v>161</v>
      </c>
      <c r="D27" s="1" t="str">
        <f>IF(D12&lt;&gt;"",VLOOKUP(D12,道具表!$A:$B,2,FALSE),"")</f>
        <v/>
      </c>
      <c r="E27" s="1" t="str">
        <f t="shared" ref="E27:F27" si="15">IF(E12&lt;&gt;"",E12,"")</f>
        <v/>
      </c>
      <c r="F27" s="53" t="str">
        <f t="shared" si="15"/>
        <v/>
      </c>
      <c r="G27" s="1" t="str">
        <f>IF(G12&lt;&gt;"",VLOOKUP(G12,道具表!$A:$B,2,FALSE),"")</f>
        <v/>
      </c>
      <c r="H27" s="1" t="str">
        <f t="shared" ref="H27:I27" si="16">IF(H12&lt;&gt;"",H12,"")</f>
        <v/>
      </c>
      <c r="I27" s="53" t="str">
        <f t="shared" si="16"/>
        <v/>
      </c>
      <c r="J27" s="1" t="str">
        <f>IF(J12&lt;&gt;"",VLOOKUP(J12,道具表!$A:$B,2,FALSE),"")</f>
        <v/>
      </c>
      <c r="K27" s="1" t="str">
        <f t="shared" ref="K27:L27" si="17">IF(K12&lt;&gt;"",K12,"")</f>
        <v/>
      </c>
      <c r="L27" s="53" t="str">
        <f t="shared" si="17"/>
        <v/>
      </c>
      <c r="M27" s="1" t="str">
        <f>IF(M12&lt;&gt;"",VLOOKUP(M12,道具表!$A:$B,2,FALSE),"")</f>
        <v/>
      </c>
      <c r="N27" s="1" t="str">
        <f t="shared" ref="N27:O27" si="18">IF(N12&lt;&gt;"",N12,"")</f>
        <v/>
      </c>
      <c r="O27" s="53" t="str">
        <f t="shared" si="18"/>
        <v/>
      </c>
      <c r="P27" s="1" t="str">
        <f>IF(P12&lt;&gt;"",VLOOKUP(P12,道具表!$A:$B,2,FALSE),"")</f>
        <v/>
      </c>
      <c r="Q27" s="1" t="str">
        <f t="shared" si="4"/>
        <v/>
      </c>
    </row>
    <row r="28" spans="3:17">
      <c r="C28" s="1" t="s">
        <v>162</v>
      </c>
      <c r="D28" s="1" t="str">
        <f>IF(D13&lt;&gt;"",VLOOKUP(D13,道具表!$A:$B,2,FALSE),"")</f>
        <v/>
      </c>
      <c r="E28" s="1" t="str">
        <f t="shared" ref="E28:F28" si="19">IF(E13&lt;&gt;"",E13,"")</f>
        <v/>
      </c>
      <c r="F28" s="53" t="str">
        <f t="shared" si="19"/>
        <v/>
      </c>
      <c r="G28" s="1" t="str">
        <f>IF(G13&lt;&gt;"",VLOOKUP(G13,道具表!$A:$B,2,FALSE),"")</f>
        <v/>
      </c>
      <c r="H28" s="1" t="str">
        <f t="shared" ref="H28:I28" si="20">IF(H13&lt;&gt;"",H13,"")</f>
        <v/>
      </c>
      <c r="I28" s="53" t="str">
        <f t="shared" si="20"/>
        <v/>
      </c>
      <c r="J28" s="1" t="str">
        <f>IF(J13&lt;&gt;"",VLOOKUP(J13,道具表!$A:$B,2,FALSE),"")</f>
        <v/>
      </c>
      <c r="K28" s="1" t="str">
        <f t="shared" ref="K28:L28" si="21">IF(K13&lt;&gt;"",K13,"")</f>
        <v/>
      </c>
      <c r="L28" s="53" t="str">
        <f t="shared" si="21"/>
        <v/>
      </c>
      <c r="M28" s="1" t="str">
        <f>IF(M13&lt;&gt;"",VLOOKUP(M13,道具表!$A:$B,2,FALSE),"")</f>
        <v/>
      </c>
      <c r="N28" s="1" t="str">
        <f t="shared" ref="N28:O28" si="22">IF(N13&lt;&gt;"",N13,"")</f>
        <v/>
      </c>
      <c r="O28" s="53" t="str">
        <f t="shared" si="22"/>
        <v/>
      </c>
      <c r="P28" s="1" t="str">
        <f>IF(P13&lt;&gt;"",VLOOKUP(P13,道具表!$A:$B,2,FALSE),"")</f>
        <v/>
      </c>
      <c r="Q28" s="1" t="str">
        <f t="shared" si="4"/>
        <v/>
      </c>
    </row>
    <row r="29" spans="3:17">
      <c r="C29" s="1" t="s">
        <v>163</v>
      </c>
      <c r="D29" s="1" t="str">
        <f>IF(D14&lt;&gt;"",VLOOKUP(D14,道具表!$A:$B,2,FALSE),"")</f>
        <v/>
      </c>
      <c r="E29" s="1" t="str">
        <f t="shared" ref="E29:F29" si="23">IF(E14&lt;&gt;"",E14,"")</f>
        <v/>
      </c>
      <c r="F29" s="53" t="str">
        <f t="shared" si="23"/>
        <v/>
      </c>
      <c r="G29" s="1" t="str">
        <f>IF(G14&lt;&gt;"",VLOOKUP(G14,道具表!$A:$B,2,FALSE),"")</f>
        <v/>
      </c>
      <c r="H29" s="1" t="str">
        <f t="shared" ref="H29:I29" si="24">IF(H14&lt;&gt;"",H14,"")</f>
        <v/>
      </c>
      <c r="I29" s="53" t="str">
        <f t="shared" si="24"/>
        <v/>
      </c>
      <c r="J29" s="1" t="str">
        <f>IF(J14&lt;&gt;"",VLOOKUP(J14,道具表!$A:$B,2,FALSE),"")</f>
        <v/>
      </c>
      <c r="K29" s="1" t="str">
        <f t="shared" ref="K29:L29" si="25">IF(K14&lt;&gt;"",K14,"")</f>
        <v/>
      </c>
      <c r="L29" s="53" t="str">
        <f t="shared" si="25"/>
        <v/>
      </c>
      <c r="M29" s="1" t="str">
        <f>IF(M14&lt;&gt;"",VLOOKUP(M14,道具表!$A:$B,2,FALSE),"")</f>
        <v/>
      </c>
      <c r="N29" s="1" t="str">
        <f t="shared" ref="N29:O29" si="26">IF(N14&lt;&gt;"",N14,"")</f>
        <v/>
      </c>
      <c r="O29" s="53" t="str">
        <f t="shared" si="26"/>
        <v/>
      </c>
      <c r="P29" s="1" t="str">
        <f>IF(P14&lt;&gt;"",VLOOKUP(P14,道具表!$A:$B,2,FALSE),"")</f>
        <v/>
      </c>
      <c r="Q29" s="1" t="str">
        <f t="shared" si="4"/>
        <v/>
      </c>
    </row>
    <row r="30" spans="3:17">
      <c r="C30" s="1" t="s">
        <v>164</v>
      </c>
      <c r="D30" s="1" t="str">
        <f>IF(D15&lt;&gt;"",VLOOKUP(D15,道具表!$A:$B,2,FALSE),"")</f>
        <v/>
      </c>
      <c r="E30" s="1" t="str">
        <f t="shared" ref="E30:F30" si="27">IF(E15&lt;&gt;"",E15,"")</f>
        <v/>
      </c>
      <c r="F30" s="53" t="str">
        <f t="shared" si="27"/>
        <v/>
      </c>
      <c r="G30" s="1" t="str">
        <f>IF(G15&lt;&gt;"",VLOOKUP(G15,道具表!$A:$B,2,FALSE),"")</f>
        <v/>
      </c>
      <c r="H30" s="1" t="str">
        <f t="shared" ref="H30:I30" si="28">IF(H15&lt;&gt;"",H15,"")</f>
        <v/>
      </c>
      <c r="I30" s="53" t="str">
        <f t="shared" si="28"/>
        <v/>
      </c>
      <c r="J30" s="1" t="str">
        <f>IF(J15&lt;&gt;"",VLOOKUP(J15,道具表!$A:$B,2,FALSE),"")</f>
        <v/>
      </c>
      <c r="K30" s="1" t="str">
        <f t="shared" ref="K30:L30" si="29">IF(K15&lt;&gt;"",K15,"")</f>
        <v/>
      </c>
      <c r="L30" s="53" t="str">
        <f t="shared" si="29"/>
        <v/>
      </c>
      <c r="M30" s="1" t="str">
        <f>IF(M15&lt;&gt;"",VLOOKUP(M15,道具表!$A:$B,2,FALSE),"")</f>
        <v/>
      </c>
      <c r="N30" s="1" t="str">
        <f t="shared" ref="N30:O30" si="30">IF(N15&lt;&gt;"",N15,"")</f>
        <v/>
      </c>
      <c r="O30" s="53" t="str">
        <f t="shared" si="30"/>
        <v/>
      </c>
      <c r="P30" s="1" t="str">
        <f>IF(P15&lt;&gt;"",VLOOKUP(P15,道具表!$A:$B,2,FALSE),"")</f>
        <v/>
      </c>
      <c r="Q30" s="1" t="str">
        <f t="shared" si="4"/>
        <v/>
      </c>
    </row>
    <row r="31" spans="3:17">
      <c r="C31" s="1" t="s">
        <v>165</v>
      </c>
      <c r="D31" s="1" t="str">
        <f>IF(D16&lt;&gt;"",VLOOKUP(D16,道具表!$A:$B,2,FALSE),"")</f>
        <v/>
      </c>
      <c r="E31" s="1" t="str">
        <f t="shared" ref="E31:F31" si="31">IF(E16&lt;&gt;"",E16,"")</f>
        <v/>
      </c>
      <c r="F31" s="53" t="str">
        <f t="shared" si="31"/>
        <v/>
      </c>
      <c r="G31" s="1" t="str">
        <f>IF(G16&lt;&gt;"",VLOOKUP(G16,道具表!$A:$B,2,FALSE),"")</f>
        <v/>
      </c>
      <c r="H31" s="1" t="str">
        <f t="shared" ref="H31:I31" si="32">IF(H16&lt;&gt;"",H16,"")</f>
        <v/>
      </c>
      <c r="I31" s="53" t="str">
        <f t="shared" si="32"/>
        <v/>
      </c>
      <c r="J31" s="1" t="str">
        <f>IF(J16&lt;&gt;"",VLOOKUP(J16,道具表!$A:$B,2,FALSE),"")</f>
        <v/>
      </c>
      <c r="K31" s="1" t="str">
        <f t="shared" ref="K31:L31" si="33">IF(K16&lt;&gt;"",K16,"")</f>
        <v/>
      </c>
      <c r="L31" s="53" t="str">
        <f t="shared" si="33"/>
        <v/>
      </c>
      <c r="M31" s="1" t="str">
        <f>IF(M16&lt;&gt;"",VLOOKUP(M16,道具表!$A:$B,2,FALSE),"")</f>
        <v/>
      </c>
      <c r="N31" s="1" t="str">
        <f t="shared" ref="N31:O31" si="34">IF(N16&lt;&gt;"",N16,"")</f>
        <v/>
      </c>
      <c r="O31" s="53" t="str">
        <f t="shared" si="34"/>
        <v/>
      </c>
      <c r="P31" s="1" t="str">
        <f>IF(P16&lt;&gt;"",VLOOKUP(P16,道具表!$A:$B,2,FALSE),"")</f>
        <v/>
      </c>
      <c r="Q31" s="1" t="str">
        <f t="shared" si="4"/>
        <v/>
      </c>
    </row>
    <row r="32" spans="3:17">
      <c r="I32" s="48"/>
      <c r="O32" s="48"/>
    </row>
    <row r="34" spans="3:19">
      <c r="C34" s="12" t="s">
        <v>166</v>
      </c>
      <c r="D34" s="58" t="s">
        <v>3275</v>
      </c>
      <c r="E34" s="58" t="s">
        <v>3277</v>
      </c>
      <c r="F34" s="58" t="s">
        <v>3277</v>
      </c>
      <c r="G34" s="58" t="s">
        <v>3277</v>
      </c>
      <c r="H34" s="58" t="s">
        <v>3277</v>
      </c>
    </row>
    <row r="37" spans="3:19">
      <c r="I37" s="69" t="s">
        <v>1501</v>
      </c>
      <c r="J37" s="54" t="s">
        <v>154</v>
      </c>
      <c r="K37" s="54" t="s">
        <v>167</v>
      </c>
      <c r="L37" s="55" t="s">
        <v>157</v>
      </c>
      <c r="M37" s="56" t="s">
        <v>150</v>
      </c>
      <c r="N37" s="56" t="s">
        <v>167</v>
      </c>
      <c r="O37" s="54" t="s">
        <v>154</v>
      </c>
      <c r="P37" s="54" t="s">
        <v>167</v>
      </c>
      <c r="Q37" s="55" t="s">
        <v>157</v>
      </c>
      <c r="R37" s="56" t="s">
        <v>150</v>
      </c>
      <c r="S37" s="56" t="s">
        <v>167</v>
      </c>
    </row>
    <row r="38" spans="3:19">
      <c r="I38" s="69" t="s">
        <v>2345</v>
      </c>
      <c r="O38" t="str">
        <f>IF(J38="","",VLOOKUP(J38,道具表!B:C,2,FALSE))</f>
        <v/>
      </c>
      <c r="P38" t="str">
        <f>IF(K38="","",K38)</f>
        <v/>
      </c>
      <c r="Q38" t="str">
        <f>IF(L38="","",L38)</f>
        <v/>
      </c>
      <c r="R38" t="str">
        <f>IF(M38="","",VLOOKUP(M38,道具表!B:C,2,FALSE))</f>
        <v/>
      </c>
      <c r="S38" t="str">
        <f>IF(N38="","",N38)</f>
        <v/>
      </c>
    </row>
    <row r="39" spans="3:19">
      <c r="I39" s="68" t="s">
        <v>1269</v>
      </c>
      <c r="J39" t="s">
        <v>2261</v>
      </c>
      <c r="K39">
        <v>1</v>
      </c>
      <c r="L39">
        <v>0.2</v>
      </c>
      <c r="M39" t="s">
        <v>293</v>
      </c>
      <c r="N39">
        <v>1</v>
      </c>
      <c r="O39" t="str">
        <f>IF(J39="","",VLOOKUP(J39,道具表!B:C,2,FALSE))</f>
        <v>ソールメダル(10)</v>
      </c>
      <c r="P39">
        <f t="shared" ref="P39:P102" si="35">IF(K39="","",K39)</f>
        <v>1</v>
      </c>
      <c r="Q39">
        <f t="shared" ref="Q39:Q102" si="36">IF(L39="","",L39)</f>
        <v>0.2</v>
      </c>
      <c r="R39" t="str">
        <f>IF(M39="","",VLOOKUP(M39,道具表!B:C,2,FALSE))</f>
        <v>ルーナ(100)</v>
      </c>
      <c r="S39">
        <f t="shared" ref="S39:S102" si="37">IF(N39="","",N39)</f>
        <v>1</v>
      </c>
    </row>
    <row r="40" spans="3:19">
      <c r="I40" s="69" t="s">
        <v>1270</v>
      </c>
      <c r="J40" t="s">
        <v>1278</v>
      </c>
      <c r="K40" t="s">
        <v>1278</v>
      </c>
      <c r="L40">
        <v>0.2</v>
      </c>
      <c r="M40" t="s">
        <v>1503</v>
      </c>
      <c r="N40">
        <v>1</v>
      </c>
      <c r="O40" t="str">
        <f>IF(J40="","",VLOOKUP(J40,道具表!B:C,2,FALSE))</f>
        <v/>
      </c>
      <c r="P40" t="str">
        <f t="shared" si="35"/>
        <v/>
      </c>
      <c r="Q40">
        <f t="shared" si="36"/>
        <v>0.2</v>
      </c>
      <c r="R40" t="str">
        <f>IF(M40="","",VLOOKUP(M40,道具表!B:C,2,FALSE))</f>
        <v>ホーリーキャンディー(20g)</v>
      </c>
      <c r="S40">
        <f t="shared" si="37"/>
        <v>1</v>
      </c>
    </row>
    <row r="41" spans="3:19">
      <c r="I41" s="68" t="s">
        <v>1271</v>
      </c>
      <c r="J41" t="s">
        <v>1502</v>
      </c>
      <c r="K41">
        <v>1</v>
      </c>
      <c r="L41">
        <v>0.5</v>
      </c>
      <c r="M41" t="s">
        <v>1737</v>
      </c>
      <c r="N41">
        <v>1</v>
      </c>
      <c r="O41" t="str">
        <f>IF(J41="","",VLOOKUP(J41,道具表!B:C,2,FALSE))</f>
        <v>ソールメダル(10)</v>
      </c>
      <c r="P41">
        <f t="shared" si="35"/>
        <v>1</v>
      </c>
      <c r="Q41">
        <f t="shared" si="36"/>
        <v>0.5</v>
      </c>
      <c r="R41" t="str">
        <f>IF(M41="","",VLOOKUP(M41,道具表!B:C,2,FALSE))</f>
        <v>石塊</v>
      </c>
      <c r="S41">
        <f t="shared" si="37"/>
        <v>1</v>
      </c>
    </row>
    <row r="42" spans="3:19">
      <c r="J42" t="s">
        <v>1278</v>
      </c>
      <c r="K42" t="s">
        <v>1278</v>
      </c>
      <c r="L42">
        <v>0.1</v>
      </c>
      <c r="M42" t="s">
        <v>1738</v>
      </c>
      <c r="N42">
        <v>1</v>
      </c>
      <c r="O42" t="str">
        <f>IF(J42="","",VLOOKUP(J42,道具表!B:C,2,FALSE))</f>
        <v/>
      </c>
      <c r="P42" t="str">
        <f t="shared" si="35"/>
        <v/>
      </c>
      <c r="Q42">
        <f t="shared" si="36"/>
        <v>0.1</v>
      </c>
      <c r="R42" t="str">
        <f>IF(M42="","",VLOOKUP(M42,道具表!B:C,2,FALSE))</f>
        <v>気品ある花束</v>
      </c>
      <c r="S42">
        <f t="shared" si="37"/>
        <v>1</v>
      </c>
    </row>
    <row r="43" spans="3:19">
      <c r="I43" s="68" t="s">
        <v>1272</v>
      </c>
      <c r="J43" t="s">
        <v>1502</v>
      </c>
      <c r="K43">
        <v>1</v>
      </c>
      <c r="L43">
        <v>0.5</v>
      </c>
      <c r="M43" t="s">
        <v>1737</v>
      </c>
      <c r="N43">
        <v>1</v>
      </c>
      <c r="O43" t="str">
        <f>IF(J43="","",VLOOKUP(J43,道具表!B:C,2,FALSE))</f>
        <v>ソールメダル(10)</v>
      </c>
      <c r="P43">
        <f t="shared" si="35"/>
        <v>1</v>
      </c>
      <c r="Q43">
        <f t="shared" si="36"/>
        <v>0.5</v>
      </c>
      <c r="R43" t="str">
        <f>IF(M43="","",VLOOKUP(M43,道具表!B:C,2,FALSE))</f>
        <v>石塊</v>
      </c>
      <c r="S43">
        <f t="shared" si="37"/>
        <v>1</v>
      </c>
    </row>
    <row r="44" spans="3:19">
      <c r="J44" t="s">
        <v>1278</v>
      </c>
      <c r="K44" t="s">
        <v>1278</v>
      </c>
      <c r="L44">
        <v>0.1</v>
      </c>
      <c r="M44" t="s">
        <v>1738</v>
      </c>
      <c r="N44">
        <v>1</v>
      </c>
      <c r="O44" t="str">
        <f>IF(J44="","",VLOOKUP(J44,道具表!B:C,2,FALSE))</f>
        <v/>
      </c>
      <c r="P44" t="str">
        <f t="shared" si="35"/>
        <v/>
      </c>
      <c r="Q44">
        <f t="shared" si="36"/>
        <v>0.1</v>
      </c>
      <c r="R44" t="str">
        <f>IF(M44="","",VLOOKUP(M44,道具表!B:C,2,FALSE))</f>
        <v>気品ある花束</v>
      </c>
      <c r="S44">
        <f t="shared" si="37"/>
        <v>1</v>
      </c>
    </row>
    <row r="45" spans="3:19">
      <c r="I45" s="68" t="s">
        <v>1273</v>
      </c>
      <c r="J45" t="s">
        <v>1502</v>
      </c>
      <c r="K45">
        <v>1</v>
      </c>
      <c r="L45">
        <v>1</v>
      </c>
      <c r="M45" t="s">
        <v>1504</v>
      </c>
      <c r="N45">
        <v>1</v>
      </c>
      <c r="O45" t="str">
        <f>IF(J45="","",VLOOKUP(J45,道具表!B:C,2,FALSE))</f>
        <v>ソールメダル(10)</v>
      </c>
      <c r="P45">
        <f t="shared" si="35"/>
        <v>1</v>
      </c>
      <c r="Q45">
        <f t="shared" si="36"/>
        <v>1</v>
      </c>
      <c r="R45" t="str">
        <f>IF(M45="","",VLOOKUP(M45,道具表!B:C,2,FALSE))</f>
        <v>宿命の果実</v>
      </c>
      <c r="S45">
        <f t="shared" si="37"/>
        <v>1</v>
      </c>
    </row>
    <row r="46" spans="3:19">
      <c r="I46" s="68" t="s">
        <v>1274</v>
      </c>
      <c r="J46" t="s">
        <v>1502</v>
      </c>
      <c r="K46">
        <v>1</v>
      </c>
      <c r="L46">
        <v>0.5</v>
      </c>
      <c r="M46" t="s">
        <v>1737</v>
      </c>
      <c r="N46">
        <v>1</v>
      </c>
      <c r="O46" t="str">
        <f>IF(J46="","",VLOOKUP(J46,道具表!B:C,2,FALSE))</f>
        <v>ソールメダル(10)</v>
      </c>
      <c r="P46">
        <f t="shared" si="35"/>
        <v>1</v>
      </c>
      <c r="Q46">
        <f t="shared" si="36"/>
        <v>0.5</v>
      </c>
      <c r="R46" t="str">
        <f>IF(M46="","",VLOOKUP(M46,道具表!B:C,2,FALSE))</f>
        <v>石塊</v>
      </c>
      <c r="S46">
        <f t="shared" si="37"/>
        <v>1</v>
      </c>
    </row>
    <row r="47" spans="3:19">
      <c r="J47" t="s">
        <v>1278</v>
      </c>
      <c r="K47" t="s">
        <v>1278</v>
      </c>
      <c r="L47">
        <v>0.1</v>
      </c>
      <c r="M47" t="s">
        <v>1735</v>
      </c>
      <c r="N47">
        <v>1</v>
      </c>
      <c r="O47" t="str">
        <f>IF(J47="","",VLOOKUP(J47,道具表!B:C,2,FALSE))</f>
        <v/>
      </c>
      <c r="P47" t="str">
        <f t="shared" si="35"/>
        <v/>
      </c>
      <c r="Q47">
        <f t="shared" si="36"/>
        <v>0.1</v>
      </c>
      <c r="R47" t="str">
        <f>IF(M47="","",VLOOKUP(M47,道具表!B:C,2,FALSE))</f>
        <v>82年物の蜂蜜酒</v>
      </c>
      <c r="S47">
        <f t="shared" si="37"/>
        <v>1</v>
      </c>
    </row>
    <row r="48" spans="3:19">
      <c r="I48" s="68" t="s">
        <v>1275</v>
      </c>
      <c r="J48" t="s">
        <v>1502</v>
      </c>
      <c r="K48">
        <v>1</v>
      </c>
      <c r="L48">
        <v>0.5</v>
      </c>
      <c r="M48" t="s">
        <v>1737</v>
      </c>
      <c r="N48">
        <v>1</v>
      </c>
      <c r="O48" t="str">
        <f>IF(J48="","",VLOOKUP(J48,道具表!B:C,2,FALSE))</f>
        <v>ソールメダル(10)</v>
      </c>
      <c r="P48">
        <f t="shared" si="35"/>
        <v>1</v>
      </c>
      <c r="Q48">
        <f t="shared" si="36"/>
        <v>0.5</v>
      </c>
      <c r="R48" t="str">
        <f>IF(M48="","",VLOOKUP(M48,道具表!B:C,2,FALSE))</f>
        <v>石塊</v>
      </c>
      <c r="S48">
        <f t="shared" si="37"/>
        <v>1</v>
      </c>
    </row>
    <row r="49" spans="9:19">
      <c r="J49" t="s">
        <v>1278</v>
      </c>
      <c r="K49" t="s">
        <v>1278</v>
      </c>
      <c r="L49">
        <v>0.1</v>
      </c>
      <c r="M49" t="s">
        <v>1505</v>
      </c>
      <c r="N49">
        <v>1</v>
      </c>
      <c r="O49" t="str">
        <f>IF(J49="","",VLOOKUP(J49,道具表!B:C,2,FALSE))</f>
        <v/>
      </c>
      <c r="P49" t="str">
        <f t="shared" si="35"/>
        <v/>
      </c>
      <c r="Q49">
        <f t="shared" si="36"/>
        <v>0.1</v>
      </c>
      <c r="R49" t="str">
        <f>IF(M49="","",VLOOKUP(M49,道具表!B:C,2,FALSE))</f>
        <v>82年物の蜂蜜酒</v>
      </c>
      <c r="S49">
        <f t="shared" si="37"/>
        <v>1</v>
      </c>
    </row>
    <row r="50" spans="9:19">
      <c r="I50" s="68" t="s">
        <v>1276</v>
      </c>
      <c r="J50" t="s">
        <v>1502</v>
      </c>
      <c r="K50">
        <v>1</v>
      </c>
      <c r="L50">
        <v>0.25</v>
      </c>
      <c r="M50" t="s">
        <v>1742</v>
      </c>
      <c r="N50">
        <v>1</v>
      </c>
      <c r="O50" t="str">
        <f>IF(J50="","",VLOOKUP(J50,道具表!B:C,2,FALSE))</f>
        <v>ソールメダル(10)</v>
      </c>
      <c r="P50">
        <f t="shared" si="35"/>
        <v>1</v>
      </c>
      <c r="Q50">
        <f t="shared" si="36"/>
        <v>0.25</v>
      </c>
      <c r="R50" t="str">
        <f>IF(M50="","",VLOOKUP(M50,道具表!B:C,2,FALSE))</f>
        <v>銅鉱</v>
      </c>
      <c r="S50">
        <f t="shared" si="37"/>
        <v>1</v>
      </c>
    </row>
    <row r="51" spans="9:19">
      <c r="I51" s="68" t="s">
        <v>1277</v>
      </c>
      <c r="J51" t="s">
        <v>1502</v>
      </c>
      <c r="K51">
        <v>1</v>
      </c>
      <c r="L51">
        <v>0.25</v>
      </c>
      <c r="M51" t="s">
        <v>1742</v>
      </c>
      <c r="N51">
        <v>1</v>
      </c>
      <c r="O51" t="str">
        <f>IF(J51="","",VLOOKUP(J51,道具表!B:C,2,FALSE))</f>
        <v>ソールメダル(10)</v>
      </c>
      <c r="P51">
        <f t="shared" si="35"/>
        <v>1</v>
      </c>
      <c r="Q51">
        <f t="shared" si="36"/>
        <v>0.25</v>
      </c>
      <c r="R51" t="str">
        <f>IF(M51="","",VLOOKUP(M51,道具表!B:C,2,FALSE))</f>
        <v>銅鉱</v>
      </c>
      <c r="S51">
        <f t="shared" si="37"/>
        <v>1</v>
      </c>
    </row>
    <row r="52" spans="9:19">
      <c r="I52" s="68" t="s">
        <v>1279</v>
      </c>
      <c r="J52" t="s">
        <v>1502</v>
      </c>
      <c r="K52">
        <v>1</v>
      </c>
      <c r="L52">
        <v>0.5</v>
      </c>
      <c r="M52" t="s">
        <v>1737</v>
      </c>
      <c r="N52">
        <v>1</v>
      </c>
      <c r="O52" t="str">
        <f>IF(J52="","",VLOOKUP(J52,道具表!B:C,2,FALSE))</f>
        <v>ソールメダル(10)</v>
      </c>
      <c r="P52">
        <f t="shared" si="35"/>
        <v>1</v>
      </c>
      <c r="Q52">
        <f t="shared" si="36"/>
        <v>0.5</v>
      </c>
      <c r="R52" t="str">
        <f>IF(M52="","",VLOOKUP(M52,道具表!B:C,2,FALSE))</f>
        <v>石塊</v>
      </c>
      <c r="S52">
        <f t="shared" si="37"/>
        <v>1</v>
      </c>
    </row>
    <row r="53" spans="9:19">
      <c r="I53" t="s">
        <v>1278</v>
      </c>
      <c r="J53" t="s">
        <v>1278</v>
      </c>
      <c r="K53" t="s">
        <v>1278</v>
      </c>
      <c r="L53">
        <v>0.1</v>
      </c>
      <c r="M53" t="s">
        <v>1738</v>
      </c>
      <c r="N53">
        <v>1</v>
      </c>
      <c r="O53" t="str">
        <f>IF(J53="","",VLOOKUP(J53,道具表!B:C,2,FALSE))</f>
        <v/>
      </c>
      <c r="P53" t="str">
        <f t="shared" si="35"/>
        <v/>
      </c>
      <c r="Q53">
        <f t="shared" si="36"/>
        <v>0.1</v>
      </c>
      <c r="R53" t="str">
        <f>IF(M53="","",VLOOKUP(M53,道具表!B:C,2,FALSE))</f>
        <v>気品ある花束</v>
      </c>
      <c r="S53">
        <f t="shared" si="37"/>
        <v>1</v>
      </c>
    </row>
    <row r="54" spans="9:19">
      <c r="I54" s="68" t="s">
        <v>1280</v>
      </c>
      <c r="J54" t="s">
        <v>1502</v>
      </c>
      <c r="K54">
        <v>1</v>
      </c>
      <c r="L54">
        <v>1</v>
      </c>
      <c r="M54" t="s">
        <v>1504</v>
      </c>
      <c r="N54">
        <v>1</v>
      </c>
      <c r="O54" t="str">
        <f>IF(J54="","",VLOOKUP(J54,道具表!B:C,2,FALSE))</f>
        <v>ソールメダル(10)</v>
      </c>
      <c r="P54">
        <f t="shared" si="35"/>
        <v>1</v>
      </c>
      <c r="Q54">
        <f t="shared" si="36"/>
        <v>1</v>
      </c>
      <c r="R54" t="str">
        <f>IF(M54="","",VLOOKUP(M54,道具表!B:C,2,FALSE))</f>
        <v>宿命の果実</v>
      </c>
      <c r="S54">
        <f t="shared" si="37"/>
        <v>1</v>
      </c>
    </row>
    <row r="55" spans="9:19">
      <c r="I55" s="68" t="s">
        <v>1281</v>
      </c>
      <c r="J55" t="s">
        <v>1502</v>
      </c>
      <c r="K55">
        <v>1</v>
      </c>
      <c r="L55">
        <v>1</v>
      </c>
      <c r="M55" t="s">
        <v>1504</v>
      </c>
      <c r="N55">
        <v>1</v>
      </c>
      <c r="O55" t="str">
        <f>IF(J55="","",VLOOKUP(J55,道具表!B:C,2,FALSE))</f>
        <v>ソールメダル(10)</v>
      </c>
      <c r="P55">
        <f t="shared" si="35"/>
        <v>1</v>
      </c>
      <c r="Q55">
        <f t="shared" si="36"/>
        <v>1</v>
      </c>
      <c r="R55" t="str">
        <f>IF(M55="","",VLOOKUP(M55,道具表!B:C,2,FALSE))</f>
        <v>宿命の果実</v>
      </c>
      <c r="S55">
        <f t="shared" si="37"/>
        <v>1</v>
      </c>
    </row>
    <row r="56" spans="9:19">
      <c r="I56" s="68" t="s">
        <v>1282</v>
      </c>
      <c r="J56" t="s">
        <v>1502</v>
      </c>
      <c r="K56">
        <v>1</v>
      </c>
      <c r="L56">
        <v>0.5</v>
      </c>
      <c r="M56" t="s">
        <v>1737</v>
      </c>
      <c r="N56">
        <v>1</v>
      </c>
      <c r="O56" t="str">
        <f>IF(J56="","",VLOOKUP(J56,道具表!B:C,2,FALSE))</f>
        <v>ソールメダル(10)</v>
      </c>
      <c r="P56">
        <f t="shared" si="35"/>
        <v>1</v>
      </c>
      <c r="Q56">
        <f t="shared" si="36"/>
        <v>0.5</v>
      </c>
      <c r="R56" t="str">
        <f>IF(M56="","",VLOOKUP(M56,道具表!B:C,2,FALSE))</f>
        <v>石塊</v>
      </c>
      <c r="S56">
        <f t="shared" si="37"/>
        <v>1</v>
      </c>
    </row>
    <row r="57" spans="9:19">
      <c r="J57" t="s">
        <v>1278</v>
      </c>
      <c r="K57" t="s">
        <v>1278</v>
      </c>
      <c r="L57">
        <v>0.1</v>
      </c>
      <c r="M57" t="s">
        <v>1739</v>
      </c>
      <c r="N57">
        <v>1</v>
      </c>
      <c r="O57" t="str">
        <f>IF(J57="","",VLOOKUP(J57,道具表!B:C,2,FALSE))</f>
        <v/>
      </c>
      <c r="P57" t="str">
        <f t="shared" si="35"/>
        <v/>
      </c>
      <c r="Q57">
        <f t="shared" si="36"/>
        <v>0.1</v>
      </c>
      <c r="R57" t="str">
        <f>IF(M57="","",VLOOKUP(M57,道具表!B:C,2,FALSE))</f>
        <v>82年物の蜂蜜酒</v>
      </c>
      <c r="S57">
        <f t="shared" si="37"/>
        <v>1</v>
      </c>
    </row>
    <row r="58" spans="9:19">
      <c r="I58" s="68" t="s">
        <v>1283</v>
      </c>
      <c r="J58" t="s">
        <v>1502</v>
      </c>
      <c r="K58">
        <v>1</v>
      </c>
      <c r="L58">
        <v>0.25</v>
      </c>
      <c r="M58" t="s">
        <v>1742</v>
      </c>
      <c r="N58">
        <v>1</v>
      </c>
      <c r="O58" t="str">
        <f>IF(J58="","",VLOOKUP(J58,道具表!B:C,2,FALSE))</f>
        <v>ソールメダル(10)</v>
      </c>
      <c r="P58">
        <f t="shared" si="35"/>
        <v>1</v>
      </c>
      <c r="Q58">
        <f t="shared" si="36"/>
        <v>0.25</v>
      </c>
      <c r="R58" t="str">
        <f>IF(M58="","",VLOOKUP(M58,道具表!B:C,2,FALSE))</f>
        <v>銅鉱</v>
      </c>
      <c r="S58">
        <f t="shared" si="37"/>
        <v>1</v>
      </c>
    </row>
    <row r="59" spans="9:19">
      <c r="I59" s="68" t="s">
        <v>1284</v>
      </c>
      <c r="J59" t="s">
        <v>1502</v>
      </c>
      <c r="K59">
        <v>1</v>
      </c>
      <c r="L59">
        <v>1</v>
      </c>
      <c r="M59" t="s">
        <v>1504</v>
      </c>
      <c r="N59">
        <v>1</v>
      </c>
      <c r="O59" t="str">
        <f>IF(J59="","",VLOOKUP(J59,道具表!B:C,2,FALSE))</f>
        <v>ソールメダル(10)</v>
      </c>
      <c r="P59">
        <f t="shared" si="35"/>
        <v>1</v>
      </c>
      <c r="Q59">
        <f t="shared" si="36"/>
        <v>1</v>
      </c>
      <c r="R59" t="str">
        <f>IF(M59="","",VLOOKUP(M59,道具表!B:C,2,FALSE))</f>
        <v>宿命の果実</v>
      </c>
      <c r="S59">
        <f t="shared" si="37"/>
        <v>1</v>
      </c>
    </row>
    <row r="60" spans="9:19">
      <c r="I60" s="68" t="s">
        <v>1285</v>
      </c>
      <c r="J60" t="s">
        <v>1506</v>
      </c>
      <c r="K60">
        <v>1</v>
      </c>
      <c r="L60">
        <v>1</v>
      </c>
      <c r="M60" t="s">
        <v>1504</v>
      </c>
      <c r="N60">
        <v>1</v>
      </c>
      <c r="O60" t="str">
        <f>IF(J60="","",VLOOKUP(J60,道具表!B:C,2,FALSE))</f>
        <v>ソール召喚チケット</v>
      </c>
      <c r="P60">
        <f t="shared" si="35"/>
        <v>1</v>
      </c>
      <c r="Q60">
        <f t="shared" si="36"/>
        <v>1</v>
      </c>
      <c r="R60" t="str">
        <f>IF(M60="","",VLOOKUP(M60,道具表!B:C,2,FALSE))</f>
        <v>宿命の果実</v>
      </c>
      <c r="S60">
        <f t="shared" si="37"/>
        <v>1</v>
      </c>
    </row>
    <row r="61" spans="9:19">
      <c r="I61" s="69" t="s">
        <v>1286</v>
      </c>
      <c r="O61" t="str">
        <f>IF(J61="","",VLOOKUP(J61,道具表!B:C,2,FALSE))</f>
        <v/>
      </c>
      <c r="P61" t="str">
        <f t="shared" si="35"/>
        <v/>
      </c>
      <c r="Q61" t="str">
        <f t="shared" si="36"/>
        <v/>
      </c>
      <c r="R61" t="str">
        <f>IF(M61="","",VLOOKUP(M61,道具表!B:C,2,FALSE))</f>
        <v/>
      </c>
      <c r="S61" t="str">
        <f t="shared" si="37"/>
        <v/>
      </c>
    </row>
    <row r="62" spans="9:19">
      <c r="I62" s="68" t="s">
        <v>1287</v>
      </c>
      <c r="J62" t="s">
        <v>1502</v>
      </c>
      <c r="K62">
        <v>1</v>
      </c>
      <c r="L62">
        <v>0.5</v>
      </c>
      <c r="M62" t="s">
        <v>1737</v>
      </c>
      <c r="N62">
        <v>1</v>
      </c>
      <c r="O62" t="str">
        <f>IF(J62="","",VLOOKUP(J62,道具表!B:C,2,FALSE))</f>
        <v>ソールメダル(10)</v>
      </c>
      <c r="P62">
        <f t="shared" si="35"/>
        <v>1</v>
      </c>
      <c r="Q62">
        <f t="shared" si="36"/>
        <v>0.5</v>
      </c>
      <c r="R62" t="str">
        <f>IF(M62="","",VLOOKUP(M62,道具表!B:C,2,FALSE))</f>
        <v>石塊</v>
      </c>
      <c r="S62">
        <f t="shared" si="37"/>
        <v>1</v>
      </c>
    </row>
    <row r="63" spans="9:19">
      <c r="J63" t="s">
        <v>1278</v>
      </c>
      <c r="K63" t="s">
        <v>1278</v>
      </c>
      <c r="L63">
        <v>0.1</v>
      </c>
      <c r="M63" t="s">
        <v>1738</v>
      </c>
      <c r="N63">
        <v>1</v>
      </c>
      <c r="O63" t="str">
        <f>IF(J63="","",VLOOKUP(J63,道具表!B:C,2,FALSE))</f>
        <v/>
      </c>
      <c r="P63" t="str">
        <f t="shared" si="35"/>
        <v/>
      </c>
      <c r="Q63">
        <f t="shared" si="36"/>
        <v>0.1</v>
      </c>
      <c r="R63" t="str">
        <f>IF(M63="","",VLOOKUP(M63,道具表!B:C,2,FALSE))</f>
        <v>気品ある花束</v>
      </c>
      <c r="S63">
        <f t="shared" si="37"/>
        <v>1</v>
      </c>
    </row>
    <row r="64" spans="9:19">
      <c r="I64" s="68" t="s">
        <v>1288</v>
      </c>
      <c r="J64" t="s">
        <v>1502</v>
      </c>
      <c r="K64">
        <v>1</v>
      </c>
      <c r="L64">
        <v>0.5</v>
      </c>
      <c r="M64" t="s">
        <v>1737</v>
      </c>
      <c r="N64">
        <v>1</v>
      </c>
      <c r="O64" t="str">
        <f>IF(J64="","",VLOOKUP(J64,道具表!B:C,2,FALSE))</f>
        <v>ソールメダル(10)</v>
      </c>
      <c r="P64">
        <f t="shared" si="35"/>
        <v>1</v>
      </c>
      <c r="Q64">
        <f t="shared" si="36"/>
        <v>0.5</v>
      </c>
      <c r="R64" t="str">
        <f>IF(M64="","",VLOOKUP(M64,道具表!B:C,2,FALSE))</f>
        <v>石塊</v>
      </c>
      <c r="S64">
        <f t="shared" si="37"/>
        <v>1</v>
      </c>
    </row>
    <row r="65" spans="9:19">
      <c r="J65" t="s">
        <v>1278</v>
      </c>
      <c r="K65" t="s">
        <v>1278</v>
      </c>
      <c r="L65">
        <v>0.1</v>
      </c>
      <c r="M65" t="s">
        <v>1738</v>
      </c>
      <c r="N65">
        <v>1</v>
      </c>
      <c r="O65" t="str">
        <f>IF(J65="","",VLOOKUP(J65,道具表!B:C,2,FALSE))</f>
        <v/>
      </c>
      <c r="P65" t="str">
        <f t="shared" si="35"/>
        <v/>
      </c>
      <c r="Q65">
        <f t="shared" si="36"/>
        <v>0.1</v>
      </c>
      <c r="R65" t="str">
        <f>IF(M65="","",VLOOKUP(M65,道具表!B:C,2,FALSE))</f>
        <v>気品ある花束</v>
      </c>
      <c r="S65">
        <f t="shared" si="37"/>
        <v>1</v>
      </c>
    </row>
    <row r="66" spans="9:19">
      <c r="I66" s="68" t="s">
        <v>1289</v>
      </c>
      <c r="J66" t="s">
        <v>1502</v>
      </c>
      <c r="K66">
        <v>1</v>
      </c>
      <c r="L66">
        <v>0.5</v>
      </c>
      <c r="M66" t="s">
        <v>1737</v>
      </c>
      <c r="N66">
        <v>1</v>
      </c>
      <c r="O66" t="str">
        <f>IF(J66="","",VLOOKUP(J66,道具表!B:C,2,FALSE))</f>
        <v>ソールメダル(10)</v>
      </c>
      <c r="P66">
        <f t="shared" si="35"/>
        <v>1</v>
      </c>
      <c r="Q66">
        <f t="shared" si="36"/>
        <v>0.5</v>
      </c>
      <c r="R66" t="str">
        <f>IF(M66="","",VLOOKUP(M66,道具表!B:C,2,FALSE))</f>
        <v>石塊</v>
      </c>
      <c r="S66">
        <f t="shared" si="37"/>
        <v>1</v>
      </c>
    </row>
    <row r="67" spans="9:19">
      <c r="J67" t="s">
        <v>1278</v>
      </c>
      <c r="K67" t="s">
        <v>1278</v>
      </c>
      <c r="L67">
        <v>0.1</v>
      </c>
      <c r="M67" t="s">
        <v>1505</v>
      </c>
      <c r="N67">
        <v>1</v>
      </c>
      <c r="O67" t="str">
        <f>IF(J67="","",VLOOKUP(J67,道具表!B:C,2,FALSE))</f>
        <v/>
      </c>
      <c r="P67" t="str">
        <f t="shared" si="35"/>
        <v/>
      </c>
      <c r="Q67">
        <f t="shared" si="36"/>
        <v>0.1</v>
      </c>
      <c r="R67" t="str">
        <f>IF(M67="","",VLOOKUP(M67,道具表!B:C,2,FALSE))</f>
        <v>82年物の蜂蜜酒</v>
      </c>
      <c r="S67">
        <f t="shared" si="37"/>
        <v>1</v>
      </c>
    </row>
    <row r="68" spans="9:19">
      <c r="I68" s="68" t="s">
        <v>1290</v>
      </c>
      <c r="J68" t="s">
        <v>1502</v>
      </c>
      <c r="K68">
        <v>1</v>
      </c>
      <c r="L68">
        <v>0.5</v>
      </c>
      <c r="M68" t="s">
        <v>1737</v>
      </c>
      <c r="N68">
        <v>1</v>
      </c>
      <c r="O68" t="str">
        <f>IF(J68="","",VLOOKUP(J68,道具表!B:C,2,FALSE))</f>
        <v>ソールメダル(10)</v>
      </c>
      <c r="P68">
        <f t="shared" si="35"/>
        <v>1</v>
      </c>
      <c r="Q68">
        <f t="shared" si="36"/>
        <v>0.5</v>
      </c>
      <c r="R68" t="str">
        <f>IF(M68="","",VLOOKUP(M68,道具表!B:C,2,FALSE))</f>
        <v>石塊</v>
      </c>
      <c r="S68">
        <f t="shared" si="37"/>
        <v>1</v>
      </c>
    </row>
    <row r="69" spans="9:19">
      <c r="J69" t="s">
        <v>1278</v>
      </c>
      <c r="K69" t="s">
        <v>1278</v>
      </c>
      <c r="L69">
        <v>0.1</v>
      </c>
      <c r="M69" t="s">
        <v>1505</v>
      </c>
      <c r="N69">
        <v>1</v>
      </c>
      <c r="O69" t="str">
        <f>IF(J69="","",VLOOKUP(J69,道具表!B:C,2,FALSE))</f>
        <v/>
      </c>
      <c r="P69" t="str">
        <f t="shared" si="35"/>
        <v/>
      </c>
      <c r="Q69">
        <f t="shared" si="36"/>
        <v>0.1</v>
      </c>
      <c r="R69" t="str">
        <f>IF(M69="","",VLOOKUP(M69,道具表!B:C,2,FALSE))</f>
        <v>82年物の蜂蜜酒</v>
      </c>
      <c r="S69">
        <f t="shared" si="37"/>
        <v>1</v>
      </c>
    </row>
    <row r="70" spans="9:19">
      <c r="I70" s="68" t="s">
        <v>1291</v>
      </c>
      <c r="J70" t="s">
        <v>1502</v>
      </c>
      <c r="K70">
        <v>1</v>
      </c>
      <c r="L70">
        <v>0.2</v>
      </c>
      <c r="M70" t="s">
        <v>1507</v>
      </c>
      <c r="N70">
        <v>1</v>
      </c>
      <c r="O70" t="str">
        <f>IF(J70="","",VLOOKUP(J70,道具表!B:C,2,FALSE))</f>
        <v>ソールメダル(10)</v>
      </c>
      <c r="P70">
        <f t="shared" si="35"/>
        <v>1</v>
      </c>
      <c r="Q70">
        <f t="shared" si="36"/>
        <v>0.2</v>
      </c>
      <c r="R70" t="str">
        <f>IF(M70="","",VLOOKUP(M70,道具表!B:C,2,FALSE))</f>
        <v>牝牛の角</v>
      </c>
      <c r="S70">
        <f t="shared" si="37"/>
        <v>1</v>
      </c>
    </row>
    <row r="71" spans="9:19">
      <c r="I71" s="68" t="s">
        <v>1292</v>
      </c>
      <c r="J71" t="s">
        <v>1502</v>
      </c>
      <c r="K71">
        <v>1</v>
      </c>
      <c r="L71">
        <v>0.25</v>
      </c>
      <c r="M71" t="s">
        <v>1742</v>
      </c>
      <c r="N71">
        <v>1</v>
      </c>
      <c r="O71" t="str">
        <f>IF(J71="","",VLOOKUP(J71,道具表!B:C,2,FALSE))</f>
        <v>ソールメダル(10)</v>
      </c>
      <c r="P71">
        <f t="shared" si="35"/>
        <v>1</v>
      </c>
      <c r="Q71">
        <f t="shared" si="36"/>
        <v>0.25</v>
      </c>
      <c r="R71" t="str">
        <f>IF(M71="","",VLOOKUP(M71,道具表!B:C,2,FALSE))</f>
        <v>銅鉱</v>
      </c>
      <c r="S71">
        <f t="shared" si="37"/>
        <v>1</v>
      </c>
    </row>
    <row r="72" spans="9:19">
      <c r="I72" s="68" t="s">
        <v>1293</v>
      </c>
      <c r="J72" t="s">
        <v>1502</v>
      </c>
      <c r="K72">
        <v>1</v>
      </c>
      <c r="L72">
        <v>0.2</v>
      </c>
      <c r="M72" t="s">
        <v>1508</v>
      </c>
      <c r="N72">
        <v>1</v>
      </c>
      <c r="O72" t="str">
        <f>IF(J72="","",VLOOKUP(J72,道具表!B:C,2,FALSE))</f>
        <v>ソールメダル(10)</v>
      </c>
      <c r="P72">
        <f t="shared" si="35"/>
        <v>1</v>
      </c>
      <c r="Q72">
        <f t="shared" si="36"/>
        <v>0.2</v>
      </c>
      <c r="R72" t="str">
        <f>IF(M72="","",VLOOKUP(M72,道具表!B:C,2,FALSE))</f>
        <v>キメラのたてがみ</v>
      </c>
      <c r="S72">
        <f t="shared" si="37"/>
        <v>1</v>
      </c>
    </row>
    <row r="73" spans="9:19">
      <c r="O73" t="str">
        <f>IF(J73="","",VLOOKUP(J73,道具表!B:C,2,FALSE))</f>
        <v/>
      </c>
      <c r="P73" t="str">
        <f t="shared" si="35"/>
        <v/>
      </c>
      <c r="Q73" t="str">
        <f t="shared" si="36"/>
        <v/>
      </c>
      <c r="R73" t="str">
        <f>IF(M73="","",VLOOKUP(M73,道具表!B:C,2,FALSE))</f>
        <v/>
      </c>
      <c r="S73" t="str">
        <f t="shared" si="37"/>
        <v/>
      </c>
    </row>
    <row r="74" spans="9:19">
      <c r="I74" s="68" t="s">
        <v>1294</v>
      </c>
      <c r="J74" t="s">
        <v>1502</v>
      </c>
      <c r="K74">
        <v>1</v>
      </c>
      <c r="L74">
        <v>0.5</v>
      </c>
      <c r="M74" t="s">
        <v>1737</v>
      </c>
      <c r="N74">
        <v>1</v>
      </c>
      <c r="O74" t="str">
        <f>IF(J74="","",VLOOKUP(J74,道具表!B:C,2,FALSE))</f>
        <v>ソールメダル(10)</v>
      </c>
      <c r="P74">
        <f t="shared" si="35"/>
        <v>1</v>
      </c>
      <c r="Q74">
        <f t="shared" si="36"/>
        <v>0.5</v>
      </c>
      <c r="R74" t="str">
        <f>IF(M74="","",VLOOKUP(M74,道具表!B:C,2,FALSE))</f>
        <v>石塊</v>
      </c>
      <c r="S74">
        <f t="shared" si="37"/>
        <v>1</v>
      </c>
    </row>
    <row r="75" spans="9:19">
      <c r="J75" t="s">
        <v>1278</v>
      </c>
      <c r="K75" t="s">
        <v>1278</v>
      </c>
      <c r="L75">
        <v>0.1</v>
      </c>
      <c r="M75" t="s">
        <v>1738</v>
      </c>
      <c r="N75">
        <v>1</v>
      </c>
      <c r="O75" t="str">
        <f>IF(J75="","",VLOOKUP(J75,道具表!B:C,2,FALSE))</f>
        <v/>
      </c>
      <c r="P75" t="str">
        <f t="shared" si="35"/>
        <v/>
      </c>
      <c r="Q75">
        <f t="shared" si="36"/>
        <v>0.1</v>
      </c>
      <c r="R75" t="str">
        <f>IF(M75="","",VLOOKUP(M75,道具表!B:C,2,FALSE))</f>
        <v>気品ある花束</v>
      </c>
      <c r="S75">
        <f t="shared" si="37"/>
        <v>1</v>
      </c>
    </row>
    <row r="76" spans="9:19">
      <c r="I76" s="68" t="s">
        <v>1295</v>
      </c>
      <c r="J76" t="s">
        <v>1502</v>
      </c>
      <c r="K76">
        <v>1</v>
      </c>
      <c r="L76">
        <v>0.5</v>
      </c>
      <c r="M76" t="s">
        <v>1737</v>
      </c>
      <c r="N76">
        <v>1</v>
      </c>
      <c r="O76" t="str">
        <f>IF(J76="","",VLOOKUP(J76,道具表!B:C,2,FALSE))</f>
        <v>ソールメダル(10)</v>
      </c>
      <c r="P76">
        <f t="shared" si="35"/>
        <v>1</v>
      </c>
      <c r="Q76">
        <f t="shared" si="36"/>
        <v>0.5</v>
      </c>
      <c r="R76" t="str">
        <f>IF(M76="","",VLOOKUP(M76,道具表!B:C,2,FALSE))</f>
        <v>石塊</v>
      </c>
      <c r="S76">
        <f t="shared" si="37"/>
        <v>1</v>
      </c>
    </row>
    <row r="77" spans="9:19">
      <c r="J77" t="s">
        <v>1278</v>
      </c>
      <c r="K77" t="s">
        <v>1278</v>
      </c>
      <c r="L77">
        <v>0.1</v>
      </c>
      <c r="M77" t="s">
        <v>1738</v>
      </c>
      <c r="N77">
        <v>1</v>
      </c>
      <c r="O77" t="str">
        <f>IF(J77="","",VLOOKUP(J77,道具表!B:C,2,FALSE))</f>
        <v/>
      </c>
      <c r="P77" t="str">
        <f t="shared" si="35"/>
        <v/>
      </c>
      <c r="Q77">
        <f t="shared" si="36"/>
        <v>0.1</v>
      </c>
      <c r="R77" t="str">
        <f>IF(M77="","",VLOOKUP(M77,道具表!B:C,2,FALSE))</f>
        <v>気品ある花束</v>
      </c>
      <c r="S77">
        <f t="shared" si="37"/>
        <v>1</v>
      </c>
    </row>
    <row r="78" spans="9:19">
      <c r="I78" s="68" t="s">
        <v>1296</v>
      </c>
      <c r="J78" t="s">
        <v>1502</v>
      </c>
      <c r="K78">
        <v>1</v>
      </c>
      <c r="L78">
        <v>0.5</v>
      </c>
      <c r="M78" t="s">
        <v>1737</v>
      </c>
      <c r="N78">
        <v>1</v>
      </c>
      <c r="O78" t="str">
        <f>IF(J78="","",VLOOKUP(J78,道具表!B:C,2,FALSE))</f>
        <v>ソールメダル(10)</v>
      </c>
      <c r="P78">
        <f t="shared" si="35"/>
        <v>1</v>
      </c>
      <c r="Q78">
        <f t="shared" si="36"/>
        <v>0.5</v>
      </c>
      <c r="R78" t="str">
        <f>IF(M78="","",VLOOKUP(M78,道具表!B:C,2,FALSE))</f>
        <v>石塊</v>
      </c>
      <c r="S78">
        <f t="shared" si="37"/>
        <v>1</v>
      </c>
    </row>
    <row r="79" spans="9:19">
      <c r="J79" t="s">
        <v>1278</v>
      </c>
      <c r="K79" t="s">
        <v>1278</v>
      </c>
      <c r="L79">
        <v>0.1</v>
      </c>
      <c r="M79" t="s">
        <v>1505</v>
      </c>
      <c r="N79">
        <v>1</v>
      </c>
      <c r="O79" t="str">
        <f>IF(J79="","",VLOOKUP(J79,道具表!B:C,2,FALSE))</f>
        <v/>
      </c>
      <c r="P79" t="str">
        <f t="shared" si="35"/>
        <v/>
      </c>
      <c r="Q79">
        <f t="shared" si="36"/>
        <v>0.1</v>
      </c>
      <c r="R79" t="str">
        <f>IF(M79="","",VLOOKUP(M79,道具表!B:C,2,FALSE))</f>
        <v>82年物の蜂蜜酒</v>
      </c>
      <c r="S79">
        <f t="shared" si="37"/>
        <v>1</v>
      </c>
    </row>
    <row r="80" spans="9:19">
      <c r="I80" s="68" t="s">
        <v>1297</v>
      </c>
      <c r="J80" t="s">
        <v>1502</v>
      </c>
      <c r="K80">
        <v>1</v>
      </c>
      <c r="L80">
        <v>0.5</v>
      </c>
      <c r="M80" t="s">
        <v>1737</v>
      </c>
      <c r="N80">
        <v>1</v>
      </c>
      <c r="O80" t="str">
        <f>IF(J80="","",VLOOKUP(J80,道具表!B:C,2,FALSE))</f>
        <v>ソールメダル(10)</v>
      </c>
      <c r="P80">
        <f t="shared" si="35"/>
        <v>1</v>
      </c>
      <c r="Q80">
        <f t="shared" si="36"/>
        <v>0.5</v>
      </c>
      <c r="R80" t="str">
        <f>IF(M80="","",VLOOKUP(M80,道具表!B:C,2,FALSE))</f>
        <v>石塊</v>
      </c>
      <c r="S80">
        <f t="shared" si="37"/>
        <v>1</v>
      </c>
    </row>
    <row r="81" spans="9:19">
      <c r="J81" t="s">
        <v>1278</v>
      </c>
      <c r="K81" t="s">
        <v>1278</v>
      </c>
      <c r="L81">
        <v>0.1</v>
      </c>
      <c r="M81" t="s">
        <v>1505</v>
      </c>
      <c r="N81">
        <v>1</v>
      </c>
      <c r="O81" t="str">
        <f>IF(J81="","",VLOOKUP(J81,道具表!B:C,2,FALSE))</f>
        <v/>
      </c>
      <c r="P81" t="str">
        <f t="shared" si="35"/>
        <v/>
      </c>
      <c r="Q81">
        <f t="shared" si="36"/>
        <v>0.1</v>
      </c>
      <c r="R81" t="str">
        <f>IF(M81="","",VLOOKUP(M81,道具表!B:C,2,FALSE))</f>
        <v>82年物の蜂蜜酒</v>
      </c>
      <c r="S81">
        <f t="shared" si="37"/>
        <v>1</v>
      </c>
    </row>
    <row r="82" spans="9:19">
      <c r="I82" s="68" t="s">
        <v>1298</v>
      </c>
      <c r="J82" t="s">
        <v>1502</v>
      </c>
      <c r="K82">
        <v>1</v>
      </c>
      <c r="L82">
        <v>0.2</v>
      </c>
      <c r="M82" t="s">
        <v>1509</v>
      </c>
      <c r="N82">
        <v>1</v>
      </c>
      <c r="O82" t="str">
        <f>IF(J82="","",VLOOKUP(J82,道具表!B:C,2,FALSE))</f>
        <v>ソールメダル(10)</v>
      </c>
      <c r="P82">
        <f t="shared" si="35"/>
        <v>1</v>
      </c>
      <c r="Q82">
        <f t="shared" si="36"/>
        <v>0.2</v>
      </c>
      <c r="R82" t="str">
        <f>IF(M82="","",VLOOKUP(M82,道具表!B:C,2,FALSE))</f>
        <v>ささやきの砂塵</v>
      </c>
      <c r="S82">
        <f t="shared" si="37"/>
        <v>1</v>
      </c>
    </row>
    <row r="83" spans="9:19">
      <c r="I83" s="68" t="s">
        <v>1299</v>
      </c>
      <c r="J83" t="s">
        <v>1502</v>
      </c>
      <c r="K83">
        <v>1</v>
      </c>
      <c r="L83">
        <v>0.25</v>
      </c>
      <c r="M83" t="s">
        <v>1742</v>
      </c>
      <c r="N83">
        <v>1</v>
      </c>
      <c r="O83" t="str">
        <f>IF(J83="","",VLOOKUP(J83,道具表!B:C,2,FALSE))</f>
        <v>ソールメダル(10)</v>
      </c>
      <c r="P83">
        <f t="shared" si="35"/>
        <v>1</v>
      </c>
      <c r="Q83">
        <f t="shared" si="36"/>
        <v>0.25</v>
      </c>
      <c r="R83" t="str">
        <f>IF(M83="","",VLOOKUP(M83,道具表!B:C,2,FALSE))</f>
        <v>銅鉱</v>
      </c>
      <c r="S83">
        <f t="shared" si="37"/>
        <v>1</v>
      </c>
    </row>
    <row r="84" spans="9:19">
      <c r="I84" s="68" t="s">
        <v>1300</v>
      </c>
      <c r="J84" t="s">
        <v>1733</v>
      </c>
      <c r="K84">
        <v>3</v>
      </c>
      <c r="L84">
        <v>0.2</v>
      </c>
      <c r="M84" t="s">
        <v>1734</v>
      </c>
      <c r="N84">
        <v>1</v>
      </c>
      <c r="O84" t="str">
        <f>IF(J84="","",VLOOKUP(J84,道具表!B:C,2,FALSE))</f>
        <v>レイモンド的交涉權(SR)</v>
      </c>
      <c r="P84">
        <f t="shared" si="35"/>
        <v>3</v>
      </c>
      <c r="Q84">
        <f t="shared" si="36"/>
        <v>0.2</v>
      </c>
      <c r="R84" t="str">
        <f>IF(M84="","",VLOOKUP(M84,道具表!B:C,2,FALSE))</f>
        <v>知恵の結晶片</v>
      </c>
      <c r="S84">
        <f t="shared" si="37"/>
        <v>1</v>
      </c>
    </row>
    <row r="85" spans="9:19">
      <c r="O85" t="str">
        <f>IF(J85="","",VLOOKUP(J85,道具表!B:C,2,FALSE))</f>
        <v/>
      </c>
      <c r="P85" t="str">
        <f t="shared" si="35"/>
        <v/>
      </c>
      <c r="Q85" t="str">
        <f t="shared" si="36"/>
        <v/>
      </c>
      <c r="R85" t="str">
        <f>IF(M85="","",VLOOKUP(M85,道具表!B:C,2,FALSE))</f>
        <v/>
      </c>
      <c r="S85" t="str">
        <f t="shared" si="37"/>
        <v/>
      </c>
    </row>
    <row r="86" spans="9:19">
      <c r="I86" s="68" t="s">
        <v>1301</v>
      </c>
      <c r="J86" t="s">
        <v>1736</v>
      </c>
      <c r="K86">
        <v>1</v>
      </c>
      <c r="L86">
        <v>0.5</v>
      </c>
      <c r="M86" t="s">
        <v>1737</v>
      </c>
      <c r="N86">
        <v>1</v>
      </c>
      <c r="O86" t="str">
        <f>IF(J86="","",VLOOKUP(J86,道具表!B:C,2,FALSE))</f>
        <v>ソールメダル(5)</v>
      </c>
      <c r="P86">
        <f t="shared" si="35"/>
        <v>1</v>
      </c>
      <c r="Q86">
        <f t="shared" si="36"/>
        <v>0.5</v>
      </c>
      <c r="R86" t="str">
        <f>IF(M86="","",VLOOKUP(M86,道具表!B:C,2,FALSE))</f>
        <v>石塊</v>
      </c>
      <c r="S86">
        <f t="shared" si="37"/>
        <v>1</v>
      </c>
    </row>
    <row r="87" spans="9:19">
      <c r="J87" t="s">
        <v>1278</v>
      </c>
      <c r="K87" t="s">
        <v>1278</v>
      </c>
      <c r="L87">
        <v>0.1</v>
      </c>
      <c r="M87" t="s">
        <v>1740</v>
      </c>
      <c r="N87">
        <v>1</v>
      </c>
      <c r="O87" t="str">
        <f>IF(J87="","",VLOOKUP(J87,道具表!B:C,2,FALSE))</f>
        <v/>
      </c>
      <c r="P87" t="str">
        <f t="shared" si="35"/>
        <v/>
      </c>
      <c r="Q87">
        <f t="shared" si="36"/>
        <v>0.1</v>
      </c>
      <c r="R87" t="str">
        <f>IF(M87="","",VLOOKUP(M87,道具表!B:C,2,FALSE))</f>
        <v>気品ある花束</v>
      </c>
      <c r="S87">
        <f t="shared" si="37"/>
        <v>1</v>
      </c>
    </row>
    <row r="88" spans="9:19">
      <c r="I88" s="68" t="s">
        <v>1302</v>
      </c>
      <c r="J88" t="s">
        <v>1736</v>
      </c>
      <c r="K88">
        <v>1</v>
      </c>
      <c r="L88">
        <v>0.5</v>
      </c>
      <c r="M88" t="s">
        <v>1737</v>
      </c>
      <c r="N88">
        <v>1</v>
      </c>
      <c r="O88" t="str">
        <f>IF(J88="","",VLOOKUP(J88,道具表!B:C,2,FALSE))</f>
        <v>ソールメダル(5)</v>
      </c>
      <c r="P88">
        <f t="shared" si="35"/>
        <v>1</v>
      </c>
      <c r="Q88">
        <f t="shared" si="36"/>
        <v>0.5</v>
      </c>
      <c r="R88" t="str">
        <f>IF(M88="","",VLOOKUP(M88,道具表!B:C,2,FALSE))</f>
        <v>石塊</v>
      </c>
      <c r="S88">
        <f t="shared" si="37"/>
        <v>1</v>
      </c>
    </row>
    <row r="89" spans="9:19">
      <c r="J89" t="s">
        <v>1278</v>
      </c>
      <c r="K89" t="s">
        <v>1278</v>
      </c>
      <c r="L89">
        <v>0.1</v>
      </c>
      <c r="M89" t="s">
        <v>1738</v>
      </c>
      <c r="N89">
        <v>1</v>
      </c>
      <c r="O89" t="str">
        <f>IF(J89="","",VLOOKUP(J89,道具表!B:C,2,FALSE))</f>
        <v/>
      </c>
      <c r="P89" t="str">
        <f t="shared" si="35"/>
        <v/>
      </c>
      <c r="Q89">
        <f t="shared" si="36"/>
        <v>0.1</v>
      </c>
      <c r="R89" t="str">
        <f>IF(M89="","",VLOOKUP(M89,道具表!B:C,2,FALSE))</f>
        <v>気品ある花束</v>
      </c>
      <c r="S89">
        <f t="shared" si="37"/>
        <v>1</v>
      </c>
    </row>
    <row r="90" spans="9:19">
      <c r="I90" s="68" t="s">
        <v>1303</v>
      </c>
      <c r="J90" t="s">
        <v>1736</v>
      </c>
      <c r="K90">
        <v>1</v>
      </c>
      <c r="L90">
        <v>0.5</v>
      </c>
      <c r="M90" t="s">
        <v>1737</v>
      </c>
      <c r="N90">
        <v>1</v>
      </c>
      <c r="O90" t="str">
        <f>IF(J90="","",VLOOKUP(J90,道具表!B:C,2,FALSE))</f>
        <v>ソールメダル(5)</v>
      </c>
      <c r="P90">
        <f t="shared" si="35"/>
        <v>1</v>
      </c>
      <c r="Q90">
        <f t="shared" si="36"/>
        <v>0.5</v>
      </c>
      <c r="R90" t="str">
        <f>IF(M90="","",VLOOKUP(M90,道具表!B:C,2,FALSE))</f>
        <v>石塊</v>
      </c>
      <c r="S90">
        <f t="shared" si="37"/>
        <v>1</v>
      </c>
    </row>
    <row r="91" spans="9:19">
      <c r="J91" t="s">
        <v>1278</v>
      </c>
      <c r="K91" t="s">
        <v>1278</v>
      </c>
      <c r="L91">
        <v>0.1</v>
      </c>
      <c r="M91" t="s">
        <v>1505</v>
      </c>
      <c r="N91">
        <v>1</v>
      </c>
      <c r="O91" t="str">
        <f>IF(J91="","",VLOOKUP(J91,道具表!B:C,2,FALSE))</f>
        <v/>
      </c>
      <c r="P91" t="str">
        <f t="shared" si="35"/>
        <v/>
      </c>
      <c r="Q91">
        <f t="shared" si="36"/>
        <v>0.1</v>
      </c>
      <c r="R91" t="str">
        <f>IF(M91="","",VLOOKUP(M91,道具表!B:C,2,FALSE))</f>
        <v>82年物の蜂蜜酒</v>
      </c>
      <c r="S91">
        <f t="shared" si="37"/>
        <v>1</v>
      </c>
    </row>
    <row r="92" spans="9:19">
      <c r="I92" s="68" t="s">
        <v>1304</v>
      </c>
      <c r="J92" t="s">
        <v>1736</v>
      </c>
      <c r="K92">
        <v>1</v>
      </c>
      <c r="L92">
        <v>0.5</v>
      </c>
      <c r="M92" t="s">
        <v>1737</v>
      </c>
      <c r="N92">
        <v>1</v>
      </c>
      <c r="O92" t="str">
        <f>IF(J92="","",VLOOKUP(J92,道具表!B:C,2,FALSE))</f>
        <v>ソールメダル(5)</v>
      </c>
      <c r="P92">
        <f t="shared" si="35"/>
        <v>1</v>
      </c>
      <c r="Q92">
        <f t="shared" si="36"/>
        <v>0.5</v>
      </c>
      <c r="R92" t="str">
        <f>IF(M92="","",VLOOKUP(M92,道具表!B:C,2,FALSE))</f>
        <v>石塊</v>
      </c>
      <c r="S92">
        <f t="shared" si="37"/>
        <v>1</v>
      </c>
    </row>
    <row r="93" spans="9:19">
      <c r="J93" t="s">
        <v>1278</v>
      </c>
      <c r="K93" t="s">
        <v>1278</v>
      </c>
      <c r="L93">
        <v>0.1</v>
      </c>
      <c r="M93" t="s">
        <v>1505</v>
      </c>
      <c r="N93">
        <v>1</v>
      </c>
      <c r="O93" t="str">
        <f>IF(J93="","",VLOOKUP(J93,道具表!B:C,2,FALSE))</f>
        <v/>
      </c>
      <c r="P93" t="str">
        <f t="shared" si="35"/>
        <v/>
      </c>
      <c r="Q93">
        <f t="shared" si="36"/>
        <v>0.1</v>
      </c>
      <c r="R93" t="str">
        <f>IF(M93="","",VLOOKUP(M93,道具表!B:C,2,FALSE))</f>
        <v>82年物の蜂蜜酒</v>
      </c>
      <c r="S93">
        <f t="shared" si="37"/>
        <v>1</v>
      </c>
    </row>
    <row r="94" spans="9:19">
      <c r="I94" s="68" t="s">
        <v>1305</v>
      </c>
      <c r="J94" t="s">
        <v>1736</v>
      </c>
      <c r="K94">
        <v>1</v>
      </c>
      <c r="L94">
        <v>0.2</v>
      </c>
      <c r="M94" t="s">
        <v>1741</v>
      </c>
      <c r="N94">
        <v>1</v>
      </c>
      <c r="O94" t="str">
        <f>IF(J94="","",VLOOKUP(J94,道具表!B:C,2,FALSE))</f>
        <v>ソールメダル(5)</v>
      </c>
      <c r="P94">
        <f t="shared" si="35"/>
        <v>1</v>
      </c>
      <c r="Q94">
        <f t="shared" si="36"/>
        <v>0.2</v>
      </c>
      <c r="R94" t="str">
        <f>IF(M94="","",VLOOKUP(M94,道具表!B:C,2,FALSE))</f>
        <v>ハーピーの羽</v>
      </c>
      <c r="S94">
        <f t="shared" si="37"/>
        <v>1</v>
      </c>
    </row>
    <row r="95" spans="9:19">
      <c r="I95" s="68" t="s">
        <v>1306</v>
      </c>
      <c r="J95" t="s">
        <v>1736</v>
      </c>
      <c r="K95">
        <v>1</v>
      </c>
      <c r="L95">
        <v>0.25</v>
      </c>
      <c r="M95" t="s">
        <v>1742</v>
      </c>
      <c r="N95">
        <v>1</v>
      </c>
      <c r="O95" t="str">
        <f>IF(J95="","",VLOOKUP(J95,道具表!B:C,2,FALSE))</f>
        <v>ソールメダル(5)</v>
      </c>
      <c r="P95">
        <f t="shared" si="35"/>
        <v>1</v>
      </c>
      <c r="Q95">
        <f t="shared" si="36"/>
        <v>0.25</v>
      </c>
      <c r="R95" t="str">
        <f>IF(M95="","",VLOOKUP(M95,道具表!B:C,2,FALSE))</f>
        <v>銅鉱</v>
      </c>
      <c r="S95">
        <f t="shared" si="37"/>
        <v>1</v>
      </c>
    </row>
    <row r="96" spans="9:19">
      <c r="I96" s="68" t="s">
        <v>1307</v>
      </c>
      <c r="J96" t="s">
        <v>1743</v>
      </c>
      <c r="K96">
        <v>3</v>
      </c>
      <c r="L96">
        <v>0.2</v>
      </c>
      <c r="M96" t="s">
        <v>1741</v>
      </c>
      <c r="N96">
        <v>1</v>
      </c>
      <c r="O96" t="str">
        <f>IF(J96="","",VLOOKUP(J96,道具表!B:C,2,FALSE))</f>
        <v>ディック的交涉權(SR)</v>
      </c>
      <c r="P96">
        <f t="shared" si="35"/>
        <v>3</v>
      </c>
      <c r="Q96">
        <f t="shared" si="36"/>
        <v>0.2</v>
      </c>
      <c r="R96" t="str">
        <f>IF(M96="","",VLOOKUP(M96,道具表!B:C,2,FALSE))</f>
        <v>ハーピーの羽</v>
      </c>
      <c r="S96">
        <f t="shared" si="37"/>
        <v>1</v>
      </c>
    </row>
    <row r="97" spans="9:19">
      <c r="O97" t="str">
        <f>IF(J97="","",VLOOKUP(J97,道具表!B:C,2,FALSE))</f>
        <v/>
      </c>
      <c r="P97" t="str">
        <f t="shared" si="35"/>
        <v/>
      </c>
      <c r="Q97" t="str">
        <f t="shared" si="36"/>
        <v/>
      </c>
      <c r="R97" t="str">
        <f>IF(M97="","",VLOOKUP(M97,道具表!B:C,2,FALSE))</f>
        <v/>
      </c>
      <c r="S97" t="str">
        <f t="shared" si="37"/>
        <v/>
      </c>
    </row>
    <row r="98" spans="9:19">
      <c r="I98" s="68" t="s">
        <v>1308</v>
      </c>
      <c r="J98" t="s">
        <v>1736</v>
      </c>
      <c r="K98">
        <v>1</v>
      </c>
      <c r="L98">
        <v>0.5</v>
      </c>
      <c r="M98" t="s">
        <v>1737</v>
      </c>
      <c r="N98">
        <v>1</v>
      </c>
      <c r="O98" t="str">
        <f>IF(J98="","",VLOOKUP(J98,道具表!B:C,2,FALSE))</f>
        <v>ソールメダル(5)</v>
      </c>
      <c r="P98">
        <f t="shared" si="35"/>
        <v>1</v>
      </c>
      <c r="Q98">
        <f t="shared" si="36"/>
        <v>0.5</v>
      </c>
      <c r="R98" t="str">
        <f>IF(M98="","",VLOOKUP(M98,道具表!B:C,2,FALSE))</f>
        <v>石塊</v>
      </c>
      <c r="S98">
        <f t="shared" si="37"/>
        <v>1</v>
      </c>
    </row>
    <row r="99" spans="9:19">
      <c r="J99" t="s">
        <v>1278</v>
      </c>
      <c r="K99" t="s">
        <v>1278</v>
      </c>
      <c r="L99">
        <v>0.1</v>
      </c>
      <c r="M99" t="s">
        <v>1738</v>
      </c>
      <c r="N99">
        <v>1</v>
      </c>
      <c r="O99" t="str">
        <f>IF(J99="","",VLOOKUP(J99,道具表!B:C,2,FALSE))</f>
        <v/>
      </c>
      <c r="P99" t="str">
        <f t="shared" si="35"/>
        <v/>
      </c>
      <c r="Q99">
        <f t="shared" si="36"/>
        <v>0.1</v>
      </c>
      <c r="R99" t="str">
        <f>IF(M99="","",VLOOKUP(M99,道具表!B:C,2,FALSE))</f>
        <v>気品ある花束</v>
      </c>
      <c r="S99">
        <f t="shared" si="37"/>
        <v>1</v>
      </c>
    </row>
    <row r="100" spans="9:19">
      <c r="I100" s="68" t="s">
        <v>1309</v>
      </c>
      <c r="J100" t="s">
        <v>1736</v>
      </c>
      <c r="K100">
        <v>1</v>
      </c>
      <c r="L100">
        <v>0.5</v>
      </c>
      <c r="M100" t="s">
        <v>1737</v>
      </c>
      <c r="N100">
        <v>1</v>
      </c>
      <c r="O100" t="str">
        <f>IF(J100="","",VLOOKUP(J100,道具表!B:C,2,FALSE))</f>
        <v>ソールメダル(5)</v>
      </c>
      <c r="P100">
        <f t="shared" si="35"/>
        <v>1</v>
      </c>
      <c r="Q100">
        <f t="shared" si="36"/>
        <v>0.5</v>
      </c>
      <c r="R100" t="str">
        <f>IF(M100="","",VLOOKUP(M100,道具表!B:C,2,FALSE))</f>
        <v>石塊</v>
      </c>
      <c r="S100">
        <f t="shared" si="37"/>
        <v>1</v>
      </c>
    </row>
    <row r="101" spans="9:19">
      <c r="J101" t="s">
        <v>1278</v>
      </c>
      <c r="K101" t="s">
        <v>1278</v>
      </c>
      <c r="L101">
        <v>0.1</v>
      </c>
      <c r="M101" t="s">
        <v>1738</v>
      </c>
      <c r="N101">
        <v>1</v>
      </c>
      <c r="O101" t="str">
        <f>IF(J101="","",VLOOKUP(J101,道具表!B:C,2,FALSE))</f>
        <v/>
      </c>
      <c r="P101" t="str">
        <f t="shared" si="35"/>
        <v/>
      </c>
      <c r="Q101">
        <f t="shared" si="36"/>
        <v>0.1</v>
      </c>
      <c r="R101" t="str">
        <f>IF(M101="","",VLOOKUP(M101,道具表!B:C,2,FALSE))</f>
        <v>気品ある花束</v>
      </c>
      <c r="S101">
        <f t="shared" si="37"/>
        <v>1</v>
      </c>
    </row>
    <row r="102" spans="9:19">
      <c r="I102" s="68" t="s">
        <v>1310</v>
      </c>
      <c r="J102" t="s">
        <v>1736</v>
      </c>
      <c r="K102">
        <v>1</v>
      </c>
      <c r="L102">
        <v>0.5</v>
      </c>
      <c r="M102" t="s">
        <v>1737</v>
      </c>
      <c r="N102">
        <v>1</v>
      </c>
      <c r="O102" t="str">
        <f>IF(J102="","",VLOOKUP(J102,道具表!B:C,2,FALSE))</f>
        <v>ソールメダル(5)</v>
      </c>
      <c r="P102">
        <f t="shared" si="35"/>
        <v>1</v>
      </c>
      <c r="Q102">
        <f t="shared" si="36"/>
        <v>0.5</v>
      </c>
      <c r="R102" t="str">
        <f>IF(M102="","",VLOOKUP(M102,道具表!B:C,2,FALSE))</f>
        <v>石塊</v>
      </c>
      <c r="S102">
        <f t="shared" si="37"/>
        <v>1</v>
      </c>
    </row>
    <row r="103" spans="9:19">
      <c r="J103" t="s">
        <v>1278</v>
      </c>
      <c r="K103" t="s">
        <v>1278</v>
      </c>
      <c r="L103">
        <v>0.1</v>
      </c>
      <c r="M103" t="s">
        <v>1505</v>
      </c>
      <c r="N103">
        <v>1</v>
      </c>
      <c r="O103" t="str">
        <f>IF(J103="","",VLOOKUP(J103,道具表!B:C,2,FALSE))</f>
        <v/>
      </c>
      <c r="P103" t="str">
        <f t="shared" ref="P103:P166" si="38">IF(K103="","",K103)</f>
        <v/>
      </c>
      <c r="Q103">
        <f t="shared" ref="Q103:Q166" si="39">IF(L103="","",L103)</f>
        <v>0.1</v>
      </c>
      <c r="R103" t="str">
        <f>IF(M103="","",VLOOKUP(M103,道具表!B:C,2,FALSE))</f>
        <v>82年物の蜂蜜酒</v>
      </c>
      <c r="S103">
        <f t="shared" ref="S103:S166" si="40">IF(N103="","",N103)</f>
        <v>1</v>
      </c>
    </row>
    <row r="104" spans="9:19">
      <c r="I104" s="68" t="s">
        <v>1311</v>
      </c>
      <c r="J104" t="s">
        <v>1736</v>
      </c>
      <c r="K104">
        <v>1</v>
      </c>
      <c r="L104">
        <v>0.5</v>
      </c>
      <c r="M104" t="s">
        <v>1737</v>
      </c>
      <c r="N104">
        <v>1</v>
      </c>
      <c r="O104" t="str">
        <f>IF(J104="","",VLOOKUP(J104,道具表!B:C,2,FALSE))</f>
        <v>ソールメダル(5)</v>
      </c>
      <c r="P104">
        <f t="shared" si="38"/>
        <v>1</v>
      </c>
      <c r="Q104">
        <f t="shared" si="39"/>
        <v>0.5</v>
      </c>
      <c r="R104" t="str">
        <f>IF(M104="","",VLOOKUP(M104,道具表!B:C,2,FALSE))</f>
        <v>石塊</v>
      </c>
      <c r="S104">
        <f t="shared" si="40"/>
        <v>1</v>
      </c>
    </row>
    <row r="105" spans="9:19">
      <c r="J105" t="s">
        <v>1278</v>
      </c>
      <c r="K105" t="s">
        <v>1278</v>
      </c>
      <c r="L105">
        <v>0.1</v>
      </c>
      <c r="M105" t="s">
        <v>1505</v>
      </c>
      <c r="N105">
        <v>1</v>
      </c>
      <c r="O105" t="str">
        <f>IF(J105="","",VLOOKUP(J105,道具表!B:C,2,FALSE))</f>
        <v/>
      </c>
      <c r="P105" t="str">
        <f t="shared" si="38"/>
        <v/>
      </c>
      <c r="Q105">
        <f t="shared" si="39"/>
        <v>0.1</v>
      </c>
      <c r="R105" t="str">
        <f>IF(M105="","",VLOOKUP(M105,道具表!B:C,2,FALSE))</f>
        <v>82年物の蜂蜜酒</v>
      </c>
      <c r="S105">
        <f t="shared" si="40"/>
        <v>1</v>
      </c>
    </row>
    <row r="106" spans="9:19">
      <c r="I106" s="68" t="s">
        <v>1312</v>
      </c>
      <c r="J106" t="s">
        <v>1736</v>
      </c>
      <c r="K106">
        <v>1</v>
      </c>
      <c r="L106">
        <v>0.2</v>
      </c>
      <c r="M106" t="s">
        <v>2262</v>
      </c>
      <c r="N106">
        <v>1</v>
      </c>
      <c r="O106" t="str">
        <f>IF(J106="","",VLOOKUP(J106,道具表!B:C,2,FALSE))</f>
        <v>ソールメダル(5)</v>
      </c>
      <c r="P106">
        <f t="shared" si="38"/>
        <v>1</v>
      </c>
      <c r="Q106">
        <f t="shared" si="39"/>
        <v>0.2</v>
      </c>
      <c r="R106" t="str">
        <f>IF(M106="","",VLOOKUP(M106,道具表!B:C,2,FALSE))</f>
        <v>巨犬の牙</v>
      </c>
      <c r="S106">
        <f t="shared" si="40"/>
        <v>1</v>
      </c>
    </row>
    <row r="107" spans="9:19">
      <c r="I107" s="68" t="s">
        <v>1313</v>
      </c>
      <c r="J107" t="s">
        <v>1736</v>
      </c>
      <c r="K107">
        <v>1</v>
      </c>
      <c r="L107">
        <v>0.25</v>
      </c>
      <c r="M107" t="s">
        <v>1742</v>
      </c>
      <c r="N107">
        <v>1</v>
      </c>
      <c r="O107" t="str">
        <f>IF(J107="","",VLOOKUP(J107,道具表!B:C,2,FALSE))</f>
        <v>ソールメダル(5)</v>
      </c>
      <c r="P107">
        <f t="shared" si="38"/>
        <v>1</v>
      </c>
      <c r="Q107">
        <f t="shared" si="39"/>
        <v>0.25</v>
      </c>
      <c r="R107" t="str">
        <f>IF(M107="","",VLOOKUP(M107,道具表!B:C,2,FALSE))</f>
        <v>銅鉱</v>
      </c>
      <c r="S107">
        <f t="shared" si="40"/>
        <v>1</v>
      </c>
    </row>
    <row r="108" spans="9:19">
      <c r="I108" s="68" t="s">
        <v>1314</v>
      </c>
      <c r="J108" t="s">
        <v>2263</v>
      </c>
      <c r="K108">
        <v>3</v>
      </c>
      <c r="L108">
        <v>0.2</v>
      </c>
      <c r="M108" t="s">
        <v>2264</v>
      </c>
      <c r="N108">
        <v>1</v>
      </c>
      <c r="O108" t="str">
        <f>IF(J108="","",VLOOKUP(J108,道具表!B:C,2,FALSE))</f>
        <v>シュー的交涉權(SR)</v>
      </c>
      <c r="P108">
        <f t="shared" si="38"/>
        <v>3</v>
      </c>
      <c r="Q108">
        <f t="shared" si="39"/>
        <v>0.2</v>
      </c>
      <c r="R108" t="str">
        <f>IF(M108="","",VLOOKUP(M108,道具表!B:C,2,FALSE))</f>
        <v>災厄イノシシの牙</v>
      </c>
      <c r="S108">
        <f t="shared" si="40"/>
        <v>1</v>
      </c>
    </row>
    <row r="109" spans="9:19">
      <c r="O109" t="str">
        <f>IF(J109="","",VLOOKUP(J109,道具表!B:C,2,FALSE))</f>
        <v/>
      </c>
      <c r="P109" t="str">
        <f t="shared" si="38"/>
        <v/>
      </c>
      <c r="Q109" t="str">
        <f t="shared" si="39"/>
        <v/>
      </c>
      <c r="R109" t="str">
        <f>IF(M109="","",VLOOKUP(M109,道具表!B:C,2,FALSE))</f>
        <v/>
      </c>
      <c r="S109" t="str">
        <f t="shared" si="40"/>
        <v/>
      </c>
    </row>
    <row r="110" spans="9:19">
      <c r="I110" s="68" t="s">
        <v>1315</v>
      </c>
      <c r="J110" t="s">
        <v>1736</v>
      </c>
      <c r="K110">
        <v>1</v>
      </c>
      <c r="L110">
        <v>0.5</v>
      </c>
      <c r="M110" t="s">
        <v>1737</v>
      </c>
      <c r="N110">
        <v>1</v>
      </c>
      <c r="O110" t="str">
        <f>IF(J110="","",VLOOKUP(J110,道具表!B:C,2,FALSE))</f>
        <v>ソールメダル(5)</v>
      </c>
      <c r="P110">
        <f t="shared" si="38"/>
        <v>1</v>
      </c>
      <c r="Q110">
        <f t="shared" si="39"/>
        <v>0.5</v>
      </c>
      <c r="R110" t="str">
        <f>IF(M110="","",VLOOKUP(M110,道具表!B:C,2,FALSE))</f>
        <v>石塊</v>
      </c>
      <c r="S110">
        <f t="shared" si="40"/>
        <v>1</v>
      </c>
    </row>
    <row r="111" spans="9:19">
      <c r="J111" t="s">
        <v>1278</v>
      </c>
      <c r="K111" t="s">
        <v>1278</v>
      </c>
      <c r="L111">
        <v>0.1</v>
      </c>
      <c r="M111" t="s">
        <v>1738</v>
      </c>
      <c r="N111">
        <v>1</v>
      </c>
      <c r="O111" t="str">
        <f>IF(J111="","",VLOOKUP(J111,道具表!B:C,2,FALSE))</f>
        <v/>
      </c>
      <c r="P111" t="str">
        <f t="shared" si="38"/>
        <v/>
      </c>
      <c r="Q111">
        <f t="shared" si="39"/>
        <v>0.1</v>
      </c>
      <c r="R111" t="str">
        <f>IF(M111="","",VLOOKUP(M111,道具表!B:C,2,FALSE))</f>
        <v>気品ある花束</v>
      </c>
      <c r="S111">
        <f t="shared" si="40"/>
        <v>1</v>
      </c>
    </row>
    <row r="112" spans="9:19">
      <c r="I112" s="68" t="s">
        <v>1316</v>
      </c>
      <c r="J112" t="s">
        <v>1736</v>
      </c>
      <c r="K112">
        <v>1</v>
      </c>
      <c r="L112">
        <v>0.5</v>
      </c>
      <c r="M112" t="s">
        <v>1737</v>
      </c>
      <c r="N112">
        <v>1</v>
      </c>
      <c r="O112" t="str">
        <f>IF(J112="","",VLOOKUP(J112,道具表!B:C,2,FALSE))</f>
        <v>ソールメダル(5)</v>
      </c>
      <c r="P112">
        <f t="shared" si="38"/>
        <v>1</v>
      </c>
      <c r="Q112">
        <f t="shared" si="39"/>
        <v>0.5</v>
      </c>
      <c r="R112" t="str">
        <f>IF(M112="","",VLOOKUP(M112,道具表!B:C,2,FALSE))</f>
        <v>石塊</v>
      </c>
      <c r="S112">
        <f t="shared" si="40"/>
        <v>1</v>
      </c>
    </row>
    <row r="113" spans="9:19">
      <c r="J113" t="s">
        <v>1278</v>
      </c>
      <c r="K113" t="s">
        <v>1278</v>
      </c>
      <c r="L113">
        <v>0.1</v>
      </c>
      <c r="M113" t="s">
        <v>1738</v>
      </c>
      <c r="N113">
        <v>1</v>
      </c>
      <c r="O113" t="str">
        <f>IF(J113="","",VLOOKUP(J113,道具表!B:C,2,FALSE))</f>
        <v/>
      </c>
      <c r="P113" t="str">
        <f t="shared" si="38"/>
        <v/>
      </c>
      <c r="Q113">
        <f t="shared" si="39"/>
        <v>0.1</v>
      </c>
      <c r="R113" t="str">
        <f>IF(M113="","",VLOOKUP(M113,道具表!B:C,2,FALSE))</f>
        <v>気品ある花束</v>
      </c>
      <c r="S113">
        <f t="shared" si="40"/>
        <v>1</v>
      </c>
    </row>
    <row r="114" spans="9:19">
      <c r="I114" s="68" t="s">
        <v>1317</v>
      </c>
      <c r="J114" t="s">
        <v>1736</v>
      </c>
      <c r="K114">
        <v>1</v>
      </c>
      <c r="L114">
        <v>0.5</v>
      </c>
      <c r="M114" t="s">
        <v>1737</v>
      </c>
      <c r="N114">
        <v>1</v>
      </c>
      <c r="O114" t="str">
        <f>IF(J114="","",VLOOKUP(J114,道具表!B:C,2,FALSE))</f>
        <v>ソールメダル(5)</v>
      </c>
      <c r="P114">
        <f t="shared" si="38"/>
        <v>1</v>
      </c>
      <c r="Q114">
        <f t="shared" si="39"/>
        <v>0.5</v>
      </c>
      <c r="R114" t="str">
        <f>IF(M114="","",VLOOKUP(M114,道具表!B:C,2,FALSE))</f>
        <v>石塊</v>
      </c>
      <c r="S114">
        <f t="shared" si="40"/>
        <v>1</v>
      </c>
    </row>
    <row r="115" spans="9:19">
      <c r="J115" t="s">
        <v>1278</v>
      </c>
      <c r="K115" t="s">
        <v>1278</v>
      </c>
      <c r="L115">
        <v>0.1</v>
      </c>
      <c r="M115" t="s">
        <v>1505</v>
      </c>
      <c r="N115">
        <v>1</v>
      </c>
      <c r="O115" t="str">
        <f>IF(J115="","",VLOOKUP(J115,道具表!B:C,2,FALSE))</f>
        <v/>
      </c>
      <c r="P115" t="str">
        <f t="shared" si="38"/>
        <v/>
      </c>
      <c r="Q115">
        <f t="shared" si="39"/>
        <v>0.1</v>
      </c>
      <c r="R115" t="str">
        <f>IF(M115="","",VLOOKUP(M115,道具表!B:C,2,FALSE))</f>
        <v>82年物の蜂蜜酒</v>
      </c>
      <c r="S115">
        <f t="shared" si="40"/>
        <v>1</v>
      </c>
    </row>
    <row r="116" spans="9:19">
      <c r="I116" s="68" t="s">
        <v>1318</v>
      </c>
      <c r="J116" t="s">
        <v>1736</v>
      </c>
      <c r="K116">
        <v>1</v>
      </c>
      <c r="L116">
        <v>0.5</v>
      </c>
      <c r="M116" t="s">
        <v>1737</v>
      </c>
      <c r="N116">
        <v>1</v>
      </c>
      <c r="O116" t="str">
        <f>IF(J116="","",VLOOKUP(J116,道具表!B:C,2,FALSE))</f>
        <v>ソールメダル(5)</v>
      </c>
      <c r="P116">
        <f t="shared" si="38"/>
        <v>1</v>
      </c>
      <c r="Q116">
        <f t="shared" si="39"/>
        <v>0.5</v>
      </c>
      <c r="R116" t="str">
        <f>IF(M116="","",VLOOKUP(M116,道具表!B:C,2,FALSE))</f>
        <v>石塊</v>
      </c>
      <c r="S116">
        <f t="shared" si="40"/>
        <v>1</v>
      </c>
    </row>
    <row r="117" spans="9:19">
      <c r="J117" t="s">
        <v>1278</v>
      </c>
      <c r="K117" t="s">
        <v>1278</v>
      </c>
      <c r="L117">
        <v>0.1</v>
      </c>
      <c r="M117" t="s">
        <v>1505</v>
      </c>
      <c r="N117">
        <v>1</v>
      </c>
      <c r="O117" t="str">
        <f>IF(J117="","",VLOOKUP(J117,道具表!B:C,2,FALSE))</f>
        <v/>
      </c>
      <c r="P117" t="str">
        <f t="shared" si="38"/>
        <v/>
      </c>
      <c r="Q117">
        <f t="shared" si="39"/>
        <v>0.1</v>
      </c>
      <c r="R117" t="str">
        <f>IF(M117="","",VLOOKUP(M117,道具表!B:C,2,FALSE))</f>
        <v>82年物の蜂蜜酒</v>
      </c>
      <c r="S117">
        <f t="shared" si="40"/>
        <v>1</v>
      </c>
    </row>
    <row r="118" spans="9:19">
      <c r="I118" s="68" t="s">
        <v>1319</v>
      </c>
      <c r="J118" t="s">
        <v>1736</v>
      </c>
      <c r="K118">
        <v>1</v>
      </c>
      <c r="L118">
        <v>0.2</v>
      </c>
      <c r="M118" t="s">
        <v>2265</v>
      </c>
      <c r="N118">
        <v>1</v>
      </c>
      <c r="O118" t="str">
        <f>IF(J118="","",VLOOKUP(J118,道具表!B:C,2,FALSE))</f>
        <v>ソールメダル(5)</v>
      </c>
      <c r="P118">
        <f t="shared" si="38"/>
        <v>1</v>
      </c>
      <c r="Q118">
        <f t="shared" si="39"/>
        <v>0.2</v>
      </c>
      <c r="R118" t="str">
        <f>IF(M118="","",VLOOKUP(M118,道具表!B:C,2,FALSE))</f>
        <v>精巧な指輪の設計図</v>
      </c>
      <c r="S118">
        <f t="shared" si="40"/>
        <v>1</v>
      </c>
    </row>
    <row r="119" spans="9:19">
      <c r="I119" s="68" t="s">
        <v>1320</v>
      </c>
      <c r="J119" t="s">
        <v>1736</v>
      </c>
      <c r="K119">
        <v>1</v>
      </c>
      <c r="L119">
        <v>0.25</v>
      </c>
      <c r="M119" t="s">
        <v>1742</v>
      </c>
      <c r="N119">
        <v>1</v>
      </c>
      <c r="O119" t="str">
        <f>IF(J119="","",VLOOKUP(J119,道具表!B:C,2,FALSE))</f>
        <v>ソールメダル(5)</v>
      </c>
      <c r="P119">
        <f t="shared" si="38"/>
        <v>1</v>
      </c>
      <c r="Q119">
        <f t="shared" si="39"/>
        <v>0.25</v>
      </c>
      <c r="R119" t="str">
        <f>IF(M119="","",VLOOKUP(M119,道具表!B:C,2,FALSE))</f>
        <v>銅鉱</v>
      </c>
      <c r="S119">
        <f t="shared" si="40"/>
        <v>1</v>
      </c>
    </row>
    <row r="120" spans="9:19">
      <c r="I120" s="68" t="s">
        <v>1321</v>
      </c>
      <c r="J120" t="s">
        <v>1736</v>
      </c>
      <c r="K120">
        <v>1</v>
      </c>
      <c r="L120">
        <v>0.2</v>
      </c>
      <c r="M120" t="s">
        <v>2266</v>
      </c>
      <c r="N120">
        <v>1</v>
      </c>
      <c r="O120" t="str">
        <f>IF(J120="","",VLOOKUP(J120,道具表!B:C,2,FALSE))</f>
        <v>ソールメダル(5)</v>
      </c>
      <c r="P120">
        <f t="shared" si="38"/>
        <v>1</v>
      </c>
      <c r="Q120">
        <f t="shared" si="39"/>
        <v>0.2</v>
      </c>
      <c r="R120" t="str">
        <f>IF(M120="","",VLOOKUP(M120,道具表!B:C,2,FALSE))</f>
        <v>精巧なウィッグの設計図</v>
      </c>
      <c r="S120">
        <f t="shared" si="40"/>
        <v>1</v>
      </c>
    </row>
    <row r="121" spans="9:19">
      <c r="J121" t="s">
        <v>1278</v>
      </c>
      <c r="K121" t="s">
        <v>1278</v>
      </c>
      <c r="L121" t="s">
        <v>1278</v>
      </c>
      <c r="M121" t="s">
        <v>1278</v>
      </c>
      <c r="N121" t="s">
        <v>1278</v>
      </c>
      <c r="O121" t="str">
        <f>IF(J121="","",VLOOKUP(J121,道具表!B:C,2,FALSE))</f>
        <v/>
      </c>
      <c r="P121" t="str">
        <f t="shared" si="38"/>
        <v/>
      </c>
      <c r="Q121" t="str">
        <f t="shared" si="39"/>
        <v/>
      </c>
      <c r="R121" t="str">
        <f>IF(M121="","",VLOOKUP(M121,道具表!B:C,2,FALSE))</f>
        <v/>
      </c>
      <c r="S121" t="str">
        <f t="shared" si="40"/>
        <v/>
      </c>
    </row>
    <row r="122" spans="9:19">
      <c r="I122" s="68" t="s">
        <v>1322</v>
      </c>
      <c r="J122" t="s">
        <v>1736</v>
      </c>
      <c r="K122">
        <v>1</v>
      </c>
      <c r="L122">
        <v>0.5</v>
      </c>
      <c r="M122" t="s">
        <v>1737</v>
      </c>
      <c r="N122">
        <v>1</v>
      </c>
      <c r="O122" t="str">
        <f>IF(J122="","",VLOOKUP(J122,道具表!B:C,2,FALSE))</f>
        <v>ソールメダル(5)</v>
      </c>
      <c r="P122">
        <f t="shared" si="38"/>
        <v>1</v>
      </c>
      <c r="Q122">
        <f t="shared" si="39"/>
        <v>0.5</v>
      </c>
      <c r="R122" t="str">
        <f>IF(M122="","",VLOOKUP(M122,道具表!B:C,2,FALSE))</f>
        <v>石塊</v>
      </c>
      <c r="S122">
        <f t="shared" si="40"/>
        <v>1</v>
      </c>
    </row>
    <row r="123" spans="9:19">
      <c r="J123" t="s">
        <v>1278</v>
      </c>
      <c r="K123" t="s">
        <v>1278</v>
      </c>
      <c r="L123">
        <v>0.1</v>
      </c>
      <c r="M123" t="s">
        <v>1738</v>
      </c>
      <c r="N123">
        <v>1</v>
      </c>
      <c r="O123" t="str">
        <f>IF(J123="","",VLOOKUP(J123,道具表!B:C,2,FALSE))</f>
        <v/>
      </c>
      <c r="P123" t="str">
        <f t="shared" si="38"/>
        <v/>
      </c>
      <c r="Q123">
        <f t="shared" si="39"/>
        <v>0.1</v>
      </c>
      <c r="R123" t="str">
        <f>IF(M123="","",VLOOKUP(M123,道具表!B:C,2,FALSE))</f>
        <v>気品ある花束</v>
      </c>
      <c r="S123">
        <f t="shared" si="40"/>
        <v>1</v>
      </c>
    </row>
    <row r="124" spans="9:19">
      <c r="I124" s="68" t="s">
        <v>1323</v>
      </c>
      <c r="J124" t="s">
        <v>1736</v>
      </c>
      <c r="K124">
        <v>1</v>
      </c>
      <c r="L124">
        <v>0.5</v>
      </c>
      <c r="M124" t="s">
        <v>1737</v>
      </c>
      <c r="N124">
        <v>1</v>
      </c>
      <c r="O124" t="str">
        <f>IF(J124="","",VLOOKUP(J124,道具表!B:C,2,FALSE))</f>
        <v>ソールメダル(5)</v>
      </c>
      <c r="P124">
        <f t="shared" si="38"/>
        <v>1</v>
      </c>
      <c r="Q124">
        <f t="shared" si="39"/>
        <v>0.5</v>
      </c>
      <c r="R124" t="str">
        <f>IF(M124="","",VLOOKUP(M124,道具表!B:C,2,FALSE))</f>
        <v>石塊</v>
      </c>
      <c r="S124">
        <f t="shared" si="40"/>
        <v>1</v>
      </c>
    </row>
    <row r="125" spans="9:19">
      <c r="J125" t="s">
        <v>1278</v>
      </c>
      <c r="K125" t="s">
        <v>1278</v>
      </c>
      <c r="L125">
        <v>0.1</v>
      </c>
      <c r="M125" t="s">
        <v>1738</v>
      </c>
      <c r="N125">
        <v>1</v>
      </c>
      <c r="O125" t="str">
        <f>IF(J125="","",VLOOKUP(J125,道具表!B:C,2,FALSE))</f>
        <v/>
      </c>
      <c r="P125" t="str">
        <f t="shared" si="38"/>
        <v/>
      </c>
      <c r="Q125">
        <f t="shared" si="39"/>
        <v>0.1</v>
      </c>
      <c r="R125" t="str">
        <f>IF(M125="","",VLOOKUP(M125,道具表!B:C,2,FALSE))</f>
        <v>気品ある花束</v>
      </c>
      <c r="S125">
        <f t="shared" si="40"/>
        <v>1</v>
      </c>
    </row>
    <row r="126" spans="9:19">
      <c r="I126" s="68" t="s">
        <v>1324</v>
      </c>
      <c r="J126" t="s">
        <v>1736</v>
      </c>
      <c r="K126">
        <v>1</v>
      </c>
      <c r="L126">
        <v>0.5</v>
      </c>
      <c r="M126" t="s">
        <v>1737</v>
      </c>
      <c r="N126">
        <v>1</v>
      </c>
      <c r="O126" t="str">
        <f>IF(J126="","",VLOOKUP(J126,道具表!B:C,2,FALSE))</f>
        <v>ソールメダル(5)</v>
      </c>
      <c r="P126">
        <f t="shared" si="38"/>
        <v>1</v>
      </c>
      <c r="Q126">
        <f t="shared" si="39"/>
        <v>0.5</v>
      </c>
      <c r="R126" t="str">
        <f>IF(M126="","",VLOOKUP(M126,道具表!B:C,2,FALSE))</f>
        <v>石塊</v>
      </c>
      <c r="S126">
        <f t="shared" si="40"/>
        <v>1</v>
      </c>
    </row>
    <row r="127" spans="9:19">
      <c r="J127" t="s">
        <v>1278</v>
      </c>
      <c r="K127" t="s">
        <v>1278</v>
      </c>
      <c r="L127">
        <v>0.1</v>
      </c>
      <c r="M127" t="s">
        <v>1505</v>
      </c>
      <c r="N127">
        <v>1</v>
      </c>
      <c r="O127" t="str">
        <f>IF(J127="","",VLOOKUP(J127,道具表!B:C,2,FALSE))</f>
        <v/>
      </c>
      <c r="P127" t="str">
        <f t="shared" si="38"/>
        <v/>
      </c>
      <c r="Q127">
        <f t="shared" si="39"/>
        <v>0.1</v>
      </c>
      <c r="R127" t="str">
        <f>IF(M127="","",VLOOKUP(M127,道具表!B:C,2,FALSE))</f>
        <v>82年物の蜂蜜酒</v>
      </c>
      <c r="S127">
        <f t="shared" si="40"/>
        <v>1</v>
      </c>
    </row>
    <row r="128" spans="9:19">
      <c r="I128" s="68" t="s">
        <v>1325</v>
      </c>
      <c r="J128" t="s">
        <v>1736</v>
      </c>
      <c r="K128">
        <v>1</v>
      </c>
      <c r="L128">
        <v>0.5</v>
      </c>
      <c r="M128" t="s">
        <v>1737</v>
      </c>
      <c r="N128">
        <v>1</v>
      </c>
      <c r="O128" t="str">
        <f>IF(J128="","",VLOOKUP(J128,道具表!B:C,2,FALSE))</f>
        <v>ソールメダル(5)</v>
      </c>
      <c r="P128">
        <f t="shared" si="38"/>
        <v>1</v>
      </c>
      <c r="Q128">
        <f t="shared" si="39"/>
        <v>0.5</v>
      </c>
      <c r="R128" t="str">
        <f>IF(M128="","",VLOOKUP(M128,道具表!B:C,2,FALSE))</f>
        <v>石塊</v>
      </c>
      <c r="S128">
        <f t="shared" si="40"/>
        <v>1</v>
      </c>
    </row>
    <row r="129" spans="9:19">
      <c r="J129" t="s">
        <v>1278</v>
      </c>
      <c r="K129" t="s">
        <v>1278</v>
      </c>
      <c r="L129">
        <v>0.1</v>
      </c>
      <c r="M129" t="s">
        <v>1505</v>
      </c>
      <c r="N129">
        <v>1</v>
      </c>
      <c r="O129" t="str">
        <f>IF(J129="","",VLOOKUP(J129,道具表!B:C,2,FALSE))</f>
        <v/>
      </c>
      <c r="P129" t="str">
        <f t="shared" si="38"/>
        <v/>
      </c>
      <c r="Q129">
        <f t="shared" si="39"/>
        <v>0.1</v>
      </c>
      <c r="R129" t="str">
        <f>IF(M129="","",VLOOKUP(M129,道具表!B:C,2,FALSE))</f>
        <v>82年物の蜂蜜酒</v>
      </c>
      <c r="S129">
        <f t="shared" si="40"/>
        <v>1</v>
      </c>
    </row>
    <row r="130" spans="9:19">
      <c r="I130" s="68" t="s">
        <v>1326</v>
      </c>
      <c r="J130" t="s">
        <v>1736</v>
      </c>
      <c r="K130">
        <v>1</v>
      </c>
      <c r="L130">
        <v>0.2</v>
      </c>
      <c r="M130" t="s">
        <v>2267</v>
      </c>
      <c r="N130">
        <v>1</v>
      </c>
      <c r="O130" t="str">
        <f>IF(J130="","",VLOOKUP(J130,道具表!B:C,2,FALSE))</f>
        <v>ソールメダル(5)</v>
      </c>
      <c r="P130">
        <f t="shared" si="38"/>
        <v>1</v>
      </c>
      <c r="Q130">
        <f t="shared" si="39"/>
        <v>0.2</v>
      </c>
      <c r="R130" t="str">
        <f>IF(M130="","",VLOOKUP(M130,道具表!B:C,2,FALSE))</f>
        <v>スコールの牙</v>
      </c>
      <c r="S130">
        <f t="shared" si="40"/>
        <v>1</v>
      </c>
    </row>
    <row r="131" spans="9:19">
      <c r="I131" s="68" t="s">
        <v>1327</v>
      </c>
      <c r="J131" t="s">
        <v>1736</v>
      </c>
      <c r="K131">
        <v>1</v>
      </c>
      <c r="L131">
        <v>0.25</v>
      </c>
      <c r="M131" t="s">
        <v>1742</v>
      </c>
      <c r="N131">
        <v>1</v>
      </c>
      <c r="O131" t="str">
        <f>IF(J131="","",VLOOKUP(J131,道具表!B:C,2,FALSE))</f>
        <v>ソールメダル(5)</v>
      </c>
      <c r="P131">
        <f t="shared" si="38"/>
        <v>1</v>
      </c>
      <c r="Q131">
        <f t="shared" si="39"/>
        <v>0.25</v>
      </c>
      <c r="R131" t="str">
        <f>IF(M131="","",VLOOKUP(M131,道具表!B:C,2,FALSE))</f>
        <v>銅鉱</v>
      </c>
      <c r="S131">
        <f t="shared" si="40"/>
        <v>1</v>
      </c>
    </row>
    <row r="132" spans="9:19">
      <c r="I132" s="68" t="s">
        <v>1328</v>
      </c>
      <c r="J132" t="s">
        <v>2269</v>
      </c>
      <c r="K132" t="s">
        <v>2268</v>
      </c>
      <c r="L132">
        <v>0.2</v>
      </c>
      <c r="M132" t="s">
        <v>2270</v>
      </c>
      <c r="N132">
        <v>1</v>
      </c>
      <c r="O132" t="str">
        <f>IF(J132="","",VLOOKUP(J132,道具表!B:C,2,FALSE))</f>
        <v>アニータ的交涉權(SR)</v>
      </c>
      <c r="P132" t="str">
        <f t="shared" si="38"/>
        <v>1/1001</v>
      </c>
      <c r="Q132">
        <f t="shared" si="39"/>
        <v>0.2</v>
      </c>
      <c r="R132" t="str">
        <f>IF(M132="","",VLOOKUP(M132,道具表!B:C,2,FALSE))</f>
        <v>巨人の骨</v>
      </c>
      <c r="S132">
        <f t="shared" si="40"/>
        <v>1</v>
      </c>
    </row>
    <row r="133" spans="9:19">
      <c r="I133" s="69" t="s">
        <v>1329</v>
      </c>
      <c r="J133" t="s">
        <v>1278</v>
      </c>
      <c r="K133" t="s">
        <v>1278</v>
      </c>
      <c r="L133" t="s">
        <v>1278</v>
      </c>
      <c r="M133" t="s">
        <v>1278</v>
      </c>
      <c r="N133" t="s">
        <v>1278</v>
      </c>
      <c r="O133" t="str">
        <f>IF(J133="","",VLOOKUP(J133,道具表!B:C,2,FALSE))</f>
        <v/>
      </c>
      <c r="P133" t="str">
        <f t="shared" si="38"/>
        <v/>
      </c>
      <c r="Q133" t="str">
        <f t="shared" si="39"/>
        <v/>
      </c>
      <c r="R133" t="str">
        <f>IF(M133="","",VLOOKUP(M133,道具表!B:C,2,FALSE))</f>
        <v/>
      </c>
      <c r="S133" t="str">
        <f t="shared" si="40"/>
        <v/>
      </c>
    </row>
    <row r="134" spans="9:19">
      <c r="I134" s="68" t="s">
        <v>1330</v>
      </c>
      <c r="J134" t="s">
        <v>1736</v>
      </c>
      <c r="K134">
        <v>1</v>
      </c>
      <c r="L134">
        <v>1</v>
      </c>
      <c r="M134" t="s">
        <v>1737</v>
      </c>
      <c r="N134">
        <v>1</v>
      </c>
      <c r="O134" t="str">
        <f>IF(J134="","",VLOOKUP(J134,道具表!B:C,2,FALSE))</f>
        <v>ソールメダル(5)</v>
      </c>
      <c r="P134">
        <f t="shared" si="38"/>
        <v>1</v>
      </c>
      <c r="Q134">
        <f t="shared" si="39"/>
        <v>1</v>
      </c>
      <c r="R134" t="str">
        <f>IF(M134="","",VLOOKUP(M134,道具表!B:C,2,FALSE))</f>
        <v>石塊</v>
      </c>
      <c r="S134">
        <f t="shared" si="40"/>
        <v>1</v>
      </c>
    </row>
    <row r="135" spans="9:19">
      <c r="J135" t="s">
        <v>1278</v>
      </c>
      <c r="K135" t="s">
        <v>1278</v>
      </c>
      <c r="L135">
        <v>0.2</v>
      </c>
      <c r="M135" t="s">
        <v>1738</v>
      </c>
      <c r="N135">
        <v>1</v>
      </c>
      <c r="O135" t="str">
        <f>IF(J135="","",VLOOKUP(J135,道具表!B:C,2,FALSE))</f>
        <v/>
      </c>
      <c r="P135" t="str">
        <f t="shared" si="38"/>
        <v/>
      </c>
      <c r="Q135">
        <f t="shared" si="39"/>
        <v>0.2</v>
      </c>
      <c r="R135" t="str">
        <f>IF(M135="","",VLOOKUP(M135,道具表!B:C,2,FALSE))</f>
        <v>気品ある花束</v>
      </c>
      <c r="S135">
        <f t="shared" si="40"/>
        <v>1</v>
      </c>
    </row>
    <row r="136" spans="9:19">
      <c r="I136" s="68" t="s">
        <v>1331</v>
      </c>
      <c r="J136" t="s">
        <v>1736</v>
      </c>
      <c r="K136">
        <v>1</v>
      </c>
      <c r="L136">
        <v>1</v>
      </c>
      <c r="M136" t="s">
        <v>1737</v>
      </c>
      <c r="N136">
        <v>1</v>
      </c>
      <c r="O136" t="str">
        <f>IF(J136="","",VLOOKUP(J136,道具表!B:C,2,FALSE))</f>
        <v>ソールメダル(5)</v>
      </c>
      <c r="P136">
        <f t="shared" si="38"/>
        <v>1</v>
      </c>
      <c r="Q136">
        <f t="shared" si="39"/>
        <v>1</v>
      </c>
      <c r="R136" t="str">
        <f>IF(M136="","",VLOOKUP(M136,道具表!B:C,2,FALSE))</f>
        <v>石塊</v>
      </c>
      <c r="S136">
        <f t="shared" si="40"/>
        <v>1</v>
      </c>
    </row>
    <row r="137" spans="9:19">
      <c r="J137" t="s">
        <v>1278</v>
      </c>
      <c r="K137" t="s">
        <v>1278</v>
      </c>
      <c r="L137">
        <v>0.2</v>
      </c>
      <c r="M137" t="s">
        <v>1738</v>
      </c>
      <c r="N137">
        <v>1</v>
      </c>
      <c r="O137" t="str">
        <f>IF(J137="","",VLOOKUP(J137,道具表!B:C,2,FALSE))</f>
        <v/>
      </c>
      <c r="P137" t="str">
        <f t="shared" si="38"/>
        <v/>
      </c>
      <c r="Q137">
        <f t="shared" si="39"/>
        <v>0.2</v>
      </c>
      <c r="R137" t="str">
        <f>IF(M137="","",VLOOKUP(M137,道具表!B:C,2,FALSE))</f>
        <v>気品ある花束</v>
      </c>
      <c r="S137">
        <f t="shared" si="40"/>
        <v>1</v>
      </c>
    </row>
    <row r="138" spans="9:19">
      <c r="I138" s="68" t="s">
        <v>1332</v>
      </c>
      <c r="J138" t="s">
        <v>1736</v>
      </c>
      <c r="K138">
        <v>1</v>
      </c>
      <c r="L138">
        <v>1</v>
      </c>
      <c r="M138" t="s">
        <v>1737</v>
      </c>
      <c r="N138">
        <v>1</v>
      </c>
      <c r="O138" t="str">
        <f>IF(J138="","",VLOOKUP(J138,道具表!B:C,2,FALSE))</f>
        <v>ソールメダル(5)</v>
      </c>
      <c r="P138">
        <f t="shared" si="38"/>
        <v>1</v>
      </c>
      <c r="Q138">
        <f t="shared" si="39"/>
        <v>1</v>
      </c>
      <c r="R138" t="str">
        <f>IF(M138="","",VLOOKUP(M138,道具表!B:C,2,FALSE))</f>
        <v>石塊</v>
      </c>
      <c r="S138">
        <f t="shared" si="40"/>
        <v>1</v>
      </c>
    </row>
    <row r="139" spans="9:19">
      <c r="J139" t="s">
        <v>1278</v>
      </c>
      <c r="K139" t="s">
        <v>1278</v>
      </c>
      <c r="L139">
        <v>0.2</v>
      </c>
      <c r="M139" t="s">
        <v>1505</v>
      </c>
      <c r="N139">
        <v>1</v>
      </c>
      <c r="O139" t="str">
        <f>IF(J139="","",VLOOKUP(J139,道具表!B:C,2,FALSE))</f>
        <v/>
      </c>
      <c r="P139" t="str">
        <f t="shared" si="38"/>
        <v/>
      </c>
      <c r="Q139">
        <f t="shared" si="39"/>
        <v>0.2</v>
      </c>
      <c r="R139" t="str">
        <f>IF(M139="","",VLOOKUP(M139,道具表!B:C,2,FALSE))</f>
        <v>82年物の蜂蜜酒</v>
      </c>
      <c r="S139">
        <f t="shared" si="40"/>
        <v>1</v>
      </c>
    </row>
    <row r="140" spans="9:19">
      <c r="I140" s="68" t="s">
        <v>1333</v>
      </c>
      <c r="J140" t="s">
        <v>1736</v>
      </c>
      <c r="K140">
        <v>1</v>
      </c>
      <c r="L140">
        <v>1</v>
      </c>
      <c r="M140" t="s">
        <v>1737</v>
      </c>
      <c r="N140">
        <v>1</v>
      </c>
      <c r="O140" t="str">
        <f>IF(J140="","",VLOOKUP(J140,道具表!B:C,2,FALSE))</f>
        <v>ソールメダル(5)</v>
      </c>
      <c r="P140">
        <f t="shared" si="38"/>
        <v>1</v>
      </c>
      <c r="Q140">
        <f t="shared" si="39"/>
        <v>1</v>
      </c>
      <c r="R140" t="str">
        <f>IF(M140="","",VLOOKUP(M140,道具表!B:C,2,FALSE))</f>
        <v>石塊</v>
      </c>
      <c r="S140">
        <f t="shared" si="40"/>
        <v>1</v>
      </c>
    </row>
    <row r="141" spans="9:19">
      <c r="J141" t="s">
        <v>1278</v>
      </c>
      <c r="K141" t="s">
        <v>1278</v>
      </c>
      <c r="L141">
        <v>0.2</v>
      </c>
      <c r="M141" t="s">
        <v>1505</v>
      </c>
      <c r="N141">
        <v>1</v>
      </c>
      <c r="O141" t="str">
        <f>IF(J141="","",VLOOKUP(J141,道具表!B:C,2,FALSE))</f>
        <v/>
      </c>
      <c r="P141" t="str">
        <f t="shared" si="38"/>
        <v/>
      </c>
      <c r="Q141">
        <f t="shared" si="39"/>
        <v>0.2</v>
      </c>
      <c r="R141" t="str">
        <f>IF(M141="","",VLOOKUP(M141,道具表!B:C,2,FALSE))</f>
        <v>82年物の蜂蜜酒</v>
      </c>
      <c r="S141">
        <f t="shared" si="40"/>
        <v>1</v>
      </c>
    </row>
    <row r="142" spans="9:19">
      <c r="I142" s="68" t="s">
        <v>1334</v>
      </c>
      <c r="J142" t="s">
        <v>1736</v>
      </c>
      <c r="K142">
        <v>1</v>
      </c>
      <c r="L142">
        <v>1</v>
      </c>
      <c r="M142" t="s">
        <v>1504</v>
      </c>
      <c r="N142">
        <v>4</v>
      </c>
      <c r="O142" t="str">
        <f>IF(J142="","",VLOOKUP(J142,道具表!B:C,2,FALSE))</f>
        <v>ソールメダル(5)</v>
      </c>
      <c r="P142">
        <f t="shared" si="38"/>
        <v>1</v>
      </c>
      <c r="Q142">
        <f t="shared" si="39"/>
        <v>1</v>
      </c>
      <c r="R142" t="str">
        <f>IF(M142="","",VLOOKUP(M142,道具表!B:C,2,FALSE))</f>
        <v>宿命の果実</v>
      </c>
      <c r="S142">
        <f t="shared" si="40"/>
        <v>4</v>
      </c>
    </row>
    <row r="143" spans="9:19">
      <c r="I143" s="68" t="s">
        <v>1335</v>
      </c>
      <c r="J143" t="s">
        <v>1736</v>
      </c>
      <c r="K143">
        <v>1</v>
      </c>
      <c r="L143">
        <v>0.5</v>
      </c>
      <c r="M143" t="s">
        <v>1742</v>
      </c>
      <c r="N143">
        <v>1</v>
      </c>
      <c r="O143" t="str">
        <f>IF(J143="","",VLOOKUP(J143,道具表!B:C,2,FALSE))</f>
        <v>ソールメダル(5)</v>
      </c>
      <c r="P143">
        <f t="shared" si="38"/>
        <v>1</v>
      </c>
      <c r="Q143">
        <f t="shared" si="39"/>
        <v>0.5</v>
      </c>
      <c r="R143" t="str">
        <f>IF(M143="","",VLOOKUP(M143,道具表!B:C,2,FALSE))</f>
        <v>銅鉱</v>
      </c>
      <c r="S143">
        <f t="shared" si="40"/>
        <v>1</v>
      </c>
    </row>
    <row r="144" spans="9:19">
      <c r="I144" s="68" t="s">
        <v>1336</v>
      </c>
      <c r="J144" t="s">
        <v>1736</v>
      </c>
      <c r="K144">
        <v>1</v>
      </c>
      <c r="L144">
        <v>0.2</v>
      </c>
      <c r="M144" t="s">
        <v>2271</v>
      </c>
      <c r="N144">
        <v>1</v>
      </c>
      <c r="O144" t="str">
        <f>IF(J144="","",VLOOKUP(J144,道具表!B:C,2,FALSE))</f>
        <v>ソールメダル(5)</v>
      </c>
      <c r="P144">
        <f t="shared" si="38"/>
        <v>1</v>
      </c>
      <c r="Q144">
        <f t="shared" si="39"/>
        <v>0.2</v>
      </c>
      <c r="R144" t="str">
        <f>IF(M144="","",VLOOKUP(M144,道具表!B:C,2,FALSE))</f>
        <v>マーメイドの涙粒</v>
      </c>
      <c r="S144">
        <f t="shared" si="40"/>
        <v>1</v>
      </c>
    </row>
    <row r="145" spans="9:19">
      <c r="O145" t="str">
        <f>IF(J145="","",VLOOKUP(J145,道具表!B:C,2,FALSE))</f>
        <v/>
      </c>
      <c r="P145" t="str">
        <f t="shared" si="38"/>
        <v/>
      </c>
      <c r="Q145" t="str">
        <f t="shared" si="39"/>
        <v/>
      </c>
      <c r="R145" t="str">
        <f>IF(M145="","",VLOOKUP(M145,道具表!B:C,2,FALSE))</f>
        <v/>
      </c>
      <c r="S145" t="str">
        <f t="shared" si="40"/>
        <v/>
      </c>
    </row>
    <row r="146" spans="9:19">
      <c r="I146" s="68" t="s">
        <v>1337</v>
      </c>
      <c r="J146" t="s">
        <v>1736</v>
      </c>
      <c r="K146">
        <v>1</v>
      </c>
      <c r="L146">
        <v>1</v>
      </c>
      <c r="M146" t="s">
        <v>1737</v>
      </c>
      <c r="N146">
        <v>1</v>
      </c>
      <c r="O146" t="str">
        <f>IF(J146="","",VLOOKUP(J146,道具表!B:C,2,FALSE))</f>
        <v>ソールメダル(5)</v>
      </c>
      <c r="P146">
        <f t="shared" si="38"/>
        <v>1</v>
      </c>
      <c r="Q146">
        <f t="shared" si="39"/>
        <v>1</v>
      </c>
      <c r="R146" t="str">
        <f>IF(M146="","",VLOOKUP(M146,道具表!B:C,2,FALSE))</f>
        <v>石塊</v>
      </c>
      <c r="S146">
        <f t="shared" si="40"/>
        <v>1</v>
      </c>
    </row>
    <row r="147" spans="9:19">
      <c r="J147" t="s">
        <v>1278</v>
      </c>
      <c r="K147" t="s">
        <v>1278</v>
      </c>
      <c r="L147">
        <v>0.2</v>
      </c>
      <c r="M147" t="s">
        <v>1738</v>
      </c>
      <c r="N147">
        <v>1</v>
      </c>
      <c r="O147" t="str">
        <f>IF(J147="","",VLOOKUP(J147,道具表!B:C,2,FALSE))</f>
        <v/>
      </c>
      <c r="P147" t="str">
        <f t="shared" si="38"/>
        <v/>
      </c>
      <c r="Q147">
        <f t="shared" si="39"/>
        <v>0.2</v>
      </c>
      <c r="R147" t="str">
        <f>IF(M147="","",VLOOKUP(M147,道具表!B:C,2,FALSE))</f>
        <v>気品ある花束</v>
      </c>
      <c r="S147">
        <f t="shared" si="40"/>
        <v>1</v>
      </c>
    </row>
    <row r="148" spans="9:19">
      <c r="I148" s="68" t="s">
        <v>1338</v>
      </c>
      <c r="J148" t="s">
        <v>1736</v>
      </c>
      <c r="K148">
        <v>1</v>
      </c>
      <c r="L148">
        <v>1</v>
      </c>
      <c r="M148" t="s">
        <v>1737</v>
      </c>
      <c r="N148">
        <v>1</v>
      </c>
      <c r="O148" t="str">
        <f>IF(J148="","",VLOOKUP(J148,道具表!B:C,2,FALSE))</f>
        <v>ソールメダル(5)</v>
      </c>
      <c r="P148">
        <f t="shared" si="38"/>
        <v>1</v>
      </c>
      <c r="Q148">
        <f t="shared" si="39"/>
        <v>1</v>
      </c>
      <c r="R148" t="str">
        <f>IF(M148="","",VLOOKUP(M148,道具表!B:C,2,FALSE))</f>
        <v>石塊</v>
      </c>
      <c r="S148">
        <f t="shared" si="40"/>
        <v>1</v>
      </c>
    </row>
    <row r="149" spans="9:19">
      <c r="J149" t="s">
        <v>1278</v>
      </c>
      <c r="K149" t="s">
        <v>1278</v>
      </c>
      <c r="L149">
        <v>0.2</v>
      </c>
      <c r="M149" t="s">
        <v>1738</v>
      </c>
      <c r="N149">
        <v>1</v>
      </c>
      <c r="O149" t="str">
        <f>IF(J149="","",VLOOKUP(J149,道具表!B:C,2,FALSE))</f>
        <v/>
      </c>
      <c r="P149" t="str">
        <f t="shared" si="38"/>
        <v/>
      </c>
      <c r="Q149">
        <f t="shared" si="39"/>
        <v>0.2</v>
      </c>
      <c r="R149" t="str">
        <f>IF(M149="","",VLOOKUP(M149,道具表!B:C,2,FALSE))</f>
        <v>気品ある花束</v>
      </c>
      <c r="S149">
        <f t="shared" si="40"/>
        <v>1</v>
      </c>
    </row>
    <row r="150" spans="9:19">
      <c r="I150" s="68" t="s">
        <v>1339</v>
      </c>
      <c r="J150" t="s">
        <v>1736</v>
      </c>
      <c r="K150">
        <v>1</v>
      </c>
      <c r="L150">
        <v>1</v>
      </c>
      <c r="M150" t="s">
        <v>1737</v>
      </c>
      <c r="N150">
        <v>1</v>
      </c>
      <c r="O150" t="str">
        <f>IF(J150="","",VLOOKUP(J150,道具表!B:C,2,FALSE))</f>
        <v>ソールメダル(5)</v>
      </c>
      <c r="P150">
        <f t="shared" si="38"/>
        <v>1</v>
      </c>
      <c r="Q150">
        <f t="shared" si="39"/>
        <v>1</v>
      </c>
      <c r="R150" t="str">
        <f>IF(M150="","",VLOOKUP(M150,道具表!B:C,2,FALSE))</f>
        <v>石塊</v>
      </c>
      <c r="S150">
        <f t="shared" si="40"/>
        <v>1</v>
      </c>
    </row>
    <row r="151" spans="9:19">
      <c r="J151" t="s">
        <v>1278</v>
      </c>
      <c r="K151" t="s">
        <v>1278</v>
      </c>
      <c r="L151">
        <v>0.2</v>
      </c>
      <c r="M151" t="s">
        <v>1505</v>
      </c>
      <c r="N151">
        <v>1</v>
      </c>
      <c r="O151" t="str">
        <f>IF(J151="","",VLOOKUP(J151,道具表!B:C,2,FALSE))</f>
        <v/>
      </c>
      <c r="P151" t="str">
        <f t="shared" si="38"/>
        <v/>
      </c>
      <c r="Q151">
        <f t="shared" si="39"/>
        <v>0.2</v>
      </c>
      <c r="R151" t="str">
        <f>IF(M151="","",VLOOKUP(M151,道具表!B:C,2,FALSE))</f>
        <v>82年物の蜂蜜酒</v>
      </c>
      <c r="S151">
        <f t="shared" si="40"/>
        <v>1</v>
      </c>
    </row>
    <row r="152" spans="9:19">
      <c r="I152" s="68" t="s">
        <v>1340</v>
      </c>
      <c r="J152" t="s">
        <v>1736</v>
      </c>
      <c r="K152">
        <v>1</v>
      </c>
      <c r="L152">
        <v>1</v>
      </c>
      <c r="M152" t="s">
        <v>1737</v>
      </c>
      <c r="N152">
        <v>1</v>
      </c>
      <c r="O152" t="str">
        <f>IF(J152="","",VLOOKUP(J152,道具表!B:C,2,FALSE))</f>
        <v>ソールメダル(5)</v>
      </c>
      <c r="P152">
        <f t="shared" si="38"/>
        <v>1</v>
      </c>
      <c r="Q152">
        <f t="shared" si="39"/>
        <v>1</v>
      </c>
      <c r="R152" t="str">
        <f>IF(M152="","",VLOOKUP(M152,道具表!B:C,2,FALSE))</f>
        <v>石塊</v>
      </c>
      <c r="S152">
        <f t="shared" si="40"/>
        <v>1</v>
      </c>
    </row>
    <row r="153" spans="9:19">
      <c r="J153" t="s">
        <v>1278</v>
      </c>
      <c r="K153" t="s">
        <v>1278</v>
      </c>
      <c r="L153">
        <v>0.2</v>
      </c>
      <c r="M153" t="s">
        <v>1505</v>
      </c>
      <c r="N153">
        <v>1</v>
      </c>
      <c r="O153" t="str">
        <f>IF(J153="","",VLOOKUP(J153,道具表!B:C,2,FALSE))</f>
        <v/>
      </c>
      <c r="P153" t="str">
        <f t="shared" si="38"/>
        <v/>
      </c>
      <c r="Q153">
        <f t="shared" si="39"/>
        <v>0.2</v>
      </c>
      <c r="R153" t="str">
        <f>IF(M153="","",VLOOKUP(M153,道具表!B:C,2,FALSE))</f>
        <v>82年物の蜂蜜酒</v>
      </c>
      <c r="S153">
        <f t="shared" si="40"/>
        <v>1</v>
      </c>
    </row>
    <row r="154" spans="9:19">
      <c r="I154" s="68" t="s">
        <v>1341</v>
      </c>
      <c r="J154" t="s">
        <v>1736</v>
      </c>
      <c r="K154">
        <v>1</v>
      </c>
      <c r="L154">
        <v>1</v>
      </c>
      <c r="M154" t="s">
        <v>1504</v>
      </c>
      <c r="N154">
        <v>4</v>
      </c>
      <c r="O154" t="str">
        <f>IF(J154="","",VLOOKUP(J154,道具表!B:C,2,FALSE))</f>
        <v>ソールメダル(5)</v>
      </c>
      <c r="P154">
        <f t="shared" si="38"/>
        <v>1</v>
      </c>
      <c r="Q154">
        <f t="shared" si="39"/>
        <v>1</v>
      </c>
      <c r="R154" t="str">
        <f>IF(M154="","",VLOOKUP(M154,道具表!B:C,2,FALSE))</f>
        <v>宿命の果実</v>
      </c>
      <c r="S154">
        <f t="shared" si="40"/>
        <v>4</v>
      </c>
    </row>
    <row r="155" spans="9:19">
      <c r="I155" s="68" t="s">
        <v>1342</v>
      </c>
      <c r="J155" t="s">
        <v>1736</v>
      </c>
      <c r="K155">
        <v>1</v>
      </c>
      <c r="L155">
        <v>0.5</v>
      </c>
      <c r="M155" t="s">
        <v>1742</v>
      </c>
      <c r="N155">
        <v>1</v>
      </c>
      <c r="O155" t="str">
        <f>IF(J155="","",VLOOKUP(J155,道具表!B:C,2,FALSE))</f>
        <v>ソールメダル(5)</v>
      </c>
      <c r="P155">
        <f t="shared" si="38"/>
        <v>1</v>
      </c>
      <c r="Q155">
        <f t="shared" si="39"/>
        <v>0.5</v>
      </c>
      <c r="R155" t="str">
        <f>IF(M155="","",VLOOKUP(M155,道具表!B:C,2,FALSE))</f>
        <v>銅鉱</v>
      </c>
      <c r="S155">
        <f t="shared" si="40"/>
        <v>1</v>
      </c>
    </row>
    <row r="156" spans="9:19">
      <c r="I156" s="68" t="s">
        <v>1343</v>
      </c>
      <c r="J156" t="s">
        <v>1736</v>
      </c>
      <c r="K156">
        <v>1</v>
      </c>
      <c r="L156">
        <v>0.2</v>
      </c>
      <c r="M156" t="s">
        <v>2272</v>
      </c>
      <c r="N156">
        <v>1</v>
      </c>
      <c r="O156" t="str">
        <f>IF(J156="","",VLOOKUP(J156,道具表!B:C,2,FALSE))</f>
        <v>ソールメダル(5)</v>
      </c>
      <c r="P156">
        <f t="shared" si="38"/>
        <v>1</v>
      </c>
      <c r="Q156">
        <f t="shared" si="39"/>
        <v>0.2</v>
      </c>
      <c r="R156" t="str">
        <f>IF(M156="","",VLOOKUP(M156,道具表!B:C,2,FALSE))</f>
        <v>セイレーンの鱗粉</v>
      </c>
      <c r="S156">
        <f t="shared" si="40"/>
        <v>1</v>
      </c>
    </row>
    <row r="157" spans="9:19">
      <c r="J157" t="s">
        <v>1278</v>
      </c>
      <c r="K157" t="s">
        <v>1278</v>
      </c>
      <c r="L157" t="s">
        <v>1278</v>
      </c>
      <c r="M157" t="s">
        <v>1278</v>
      </c>
      <c r="N157" t="s">
        <v>1278</v>
      </c>
      <c r="O157" t="str">
        <f>IF(J157="","",VLOOKUP(J157,道具表!B:C,2,FALSE))</f>
        <v/>
      </c>
      <c r="P157" t="str">
        <f t="shared" si="38"/>
        <v/>
      </c>
      <c r="Q157" t="str">
        <f t="shared" si="39"/>
        <v/>
      </c>
      <c r="R157" t="str">
        <f>IF(M157="","",VLOOKUP(M157,道具表!B:C,2,FALSE))</f>
        <v/>
      </c>
      <c r="S157" t="str">
        <f t="shared" si="40"/>
        <v/>
      </c>
    </row>
    <row r="158" spans="9:19">
      <c r="I158" s="68" t="s">
        <v>1344</v>
      </c>
      <c r="J158" t="s">
        <v>1736</v>
      </c>
      <c r="K158">
        <v>1</v>
      </c>
      <c r="L158">
        <v>1</v>
      </c>
      <c r="M158" t="s">
        <v>1737</v>
      </c>
      <c r="N158">
        <v>1</v>
      </c>
      <c r="O158" t="str">
        <f>IF(J158="","",VLOOKUP(J158,道具表!B:C,2,FALSE))</f>
        <v>ソールメダル(5)</v>
      </c>
      <c r="P158">
        <f t="shared" si="38"/>
        <v>1</v>
      </c>
      <c r="Q158">
        <f t="shared" si="39"/>
        <v>1</v>
      </c>
      <c r="R158" t="str">
        <f>IF(M158="","",VLOOKUP(M158,道具表!B:C,2,FALSE))</f>
        <v>石塊</v>
      </c>
      <c r="S158">
        <f t="shared" si="40"/>
        <v>1</v>
      </c>
    </row>
    <row r="159" spans="9:19">
      <c r="J159" t="s">
        <v>1278</v>
      </c>
      <c r="K159" t="s">
        <v>1278</v>
      </c>
      <c r="L159">
        <v>0.2</v>
      </c>
      <c r="M159" t="s">
        <v>1738</v>
      </c>
      <c r="N159">
        <v>1</v>
      </c>
      <c r="O159" t="str">
        <f>IF(J159="","",VLOOKUP(J159,道具表!B:C,2,FALSE))</f>
        <v/>
      </c>
      <c r="P159" t="str">
        <f t="shared" si="38"/>
        <v/>
      </c>
      <c r="Q159">
        <f t="shared" si="39"/>
        <v>0.2</v>
      </c>
      <c r="R159" t="str">
        <f>IF(M159="","",VLOOKUP(M159,道具表!B:C,2,FALSE))</f>
        <v>気品ある花束</v>
      </c>
      <c r="S159">
        <f t="shared" si="40"/>
        <v>1</v>
      </c>
    </row>
    <row r="160" spans="9:19">
      <c r="I160" s="68" t="s">
        <v>1345</v>
      </c>
      <c r="J160" t="s">
        <v>1736</v>
      </c>
      <c r="K160">
        <v>1</v>
      </c>
      <c r="L160">
        <v>1</v>
      </c>
      <c r="M160" t="s">
        <v>1737</v>
      </c>
      <c r="N160">
        <v>1</v>
      </c>
      <c r="O160" t="str">
        <f>IF(J160="","",VLOOKUP(J160,道具表!B:C,2,FALSE))</f>
        <v>ソールメダル(5)</v>
      </c>
      <c r="P160">
        <f t="shared" si="38"/>
        <v>1</v>
      </c>
      <c r="Q160">
        <f t="shared" si="39"/>
        <v>1</v>
      </c>
      <c r="R160" t="str">
        <f>IF(M160="","",VLOOKUP(M160,道具表!B:C,2,FALSE))</f>
        <v>石塊</v>
      </c>
      <c r="S160">
        <f t="shared" si="40"/>
        <v>1</v>
      </c>
    </row>
    <row r="161" spans="9:19">
      <c r="J161" t="s">
        <v>1278</v>
      </c>
      <c r="K161" t="s">
        <v>1278</v>
      </c>
      <c r="L161">
        <v>0.2</v>
      </c>
      <c r="M161" t="s">
        <v>1738</v>
      </c>
      <c r="N161">
        <v>1</v>
      </c>
      <c r="O161" t="str">
        <f>IF(J161="","",VLOOKUP(J161,道具表!B:C,2,FALSE))</f>
        <v/>
      </c>
      <c r="P161" t="str">
        <f t="shared" si="38"/>
        <v/>
      </c>
      <c r="Q161">
        <f t="shared" si="39"/>
        <v>0.2</v>
      </c>
      <c r="R161" t="str">
        <f>IF(M161="","",VLOOKUP(M161,道具表!B:C,2,FALSE))</f>
        <v>気品ある花束</v>
      </c>
      <c r="S161">
        <f t="shared" si="40"/>
        <v>1</v>
      </c>
    </row>
    <row r="162" spans="9:19">
      <c r="I162" s="68" t="s">
        <v>1346</v>
      </c>
      <c r="J162" t="s">
        <v>1736</v>
      </c>
      <c r="K162">
        <v>1</v>
      </c>
      <c r="L162">
        <v>1</v>
      </c>
      <c r="M162" t="s">
        <v>1737</v>
      </c>
      <c r="N162">
        <v>1</v>
      </c>
      <c r="O162" t="str">
        <f>IF(J162="","",VLOOKUP(J162,道具表!B:C,2,FALSE))</f>
        <v>ソールメダル(5)</v>
      </c>
      <c r="P162">
        <f t="shared" si="38"/>
        <v>1</v>
      </c>
      <c r="Q162">
        <f t="shared" si="39"/>
        <v>1</v>
      </c>
      <c r="R162" t="str">
        <f>IF(M162="","",VLOOKUP(M162,道具表!B:C,2,FALSE))</f>
        <v>石塊</v>
      </c>
      <c r="S162">
        <f t="shared" si="40"/>
        <v>1</v>
      </c>
    </row>
    <row r="163" spans="9:19">
      <c r="J163" t="s">
        <v>1278</v>
      </c>
      <c r="K163" t="s">
        <v>1278</v>
      </c>
      <c r="L163">
        <v>0.2</v>
      </c>
      <c r="M163" t="s">
        <v>1505</v>
      </c>
      <c r="N163">
        <v>1</v>
      </c>
      <c r="O163" t="str">
        <f>IF(J163="","",VLOOKUP(J163,道具表!B:C,2,FALSE))</f>
        <v/>
      </c>
      <c r="P163" t="str">
        <f t="shared" si="38"/>
        <v/>
      </c>
      <c r="Q163">
        <f t="shared" si="39"/>
        <v>0.2</v>
      </c>
      <c r="R163" t="str">
        <f>IF(M163="","",VLOOKUP(M163,道具表!B:C,2,FALSE))</f>
        <v>82年物の蜂蜜酒</v>
      </c>
      <c r="S163">
        <f t="shared" si="40"/>
        <v>1</v>
      </c>
    </row>
    <row r="164" spans="9:19">
      <c r="I164" s="68" t="s">
        <v>1347</v>
      </c>
      <c r="J164" t="s">
        <v>1736</v>
      </c>
      <c r="K164">
        <v>1</v>
      </c>
      <c r="L164">
        <v>1</v>
      </c>
      <c r="M164" t="s">
        <v>1737</v>
      </c>
      <c r="N164">
        <v>1</v>
      </c>
      <c r="O164" t="str">
        <f>IF(J164="","",VLOOKUP(J164,道具表!B:C,2,FALSE))</f>
        <v>ソールメダル(5)</v>
      </c>
      <c r="P164">
        <f t="shared" si="38"/>
        <v>1</v>
      </c>
      <c r="Q164">
        <f t="shared" si="39"/>
        <v>1</v>
      </c>
      <c r="R164" t="str">
        <f>IF(M164="","",VLOOKUP(M164,道具表!B:C,2,FALSE))</f>
        <v>石塊</v>
      </c>
      <c r="S164">
        <f t="shared" si="40"/>
        <v>1</v>
      </c>
    </row>
    <row r="165" spans="9:19">
      <c r="J165" t="s">
        <v>1278</v>
      </c>
      <c r="K165" t="s">
        <v>1278</v>
      </c>
      <c r="L165">
        <v>0.2</v>
      </c>
      <c r="M165" t="s">
        <v>1505</v>
      </c>
      <c r="N165">
        <v>1</v>
      </c>
      <c r="O165" t="str">
        <f>IF(J165="","",VLOOKUP(J165,道具表!B:C,2,FALSE))</f>
        <v/>
      </c>
      <c r="P165" t="str">
        <f t="shared" si="38"/>
        <v/>
      </c>
      <c r="Q165">
        <f t="shared" si="39"/>
        <v>0.2</v>
      </c>
      <c r="R165" t="str">
        <f>IF(M165="","",VLOOKUP(M165,道具表!B:C,2,FALSE))</f>
        <v>82年物の蜂蜜酒</v>
      </c>
      <c r="S165">
        <f t="shared" si="40"/>
        <v>1</v>
      </c>
    </row>
    <row r="166" spans="9:19">
      <c r="I166" s="68" t="s">
        <v>1348</v>
      </c>
      <c r="J166" t="s">
        <v>1736</v>
      </c>
      <c r="K166">
        <v>1</v>
      </c>
      <c r="L166">
        <v>1</v>
      </c>
      <c r="M166" t="s">
        <v>1504</v>
      </c>
      <c r="N166">
        <v>4</v>
      </c>
      <c r="O166" t="str">
        <f>IF(J166="","",VLOOKUP(J166,道具表!B:C,2,FALSE))</f>
        <v>ソールメダル(5)</v>
      </c>
      <c r="P166">
        <f t="shared" si="38"/>
        <v>1</v>
      </c>
      <c r="Q166">
        <f t="shared" si="39"/>
        <v>1</v>
      </c>
      <c r="R166" t="str">
        <f>IF(M166="","",VLOOKUP(M166,道具表!B:C,2,FALSE))</f>
        <v>宿命の果実</v>
      </c>
      <c r="S166">
        <f t="shared" si="40"/>
        <v>4</v>
      </c>
    </row>
    <row r="167" spans="9:19">
      <c r="I167" s="68" t="s">
        <v>1349</v>
      </c>
      <c r="J167" t="s">
        <v>1736</v>
      </c>
      <c r="K167">
        <v>1</v>
      </c>
      <c r="L167">
        <v>0.5</v>
      </c>
      <c r="M167" t="s">
        <v>1742</v>
      </c>
      <c r="N167">
        <v>1</v>
      </c>
      <c r="O167" t="str">
        <f>IF(J167="","",VLOOKUP(J167,道具表!B:C,2,FALSE))</f>
        <v>ソールメダル(5)</v>
      </c>
      <c r="P167">
        <f t="shared" ref="P167:P230" si="41">IF(K167="","",K167)</f>
        <v>1</v>
      </c>
      <c r="Q167">
        <f t="shared" ref="Q167:Q230" si="42">IF(L167="","",L167)</f>
        <v>0.5</v>
      </c>
      <c r="R167" t="str">
        <f>IF(M167="","",VLOOKUP(M167,道具表!B:C,2,FALSE))</f>
        <v>銅鉱</v>
      </c>
      <c r="S167">
        <f t="shared" ref="S167:S230" si="43">IF(N167="","",N167)</f>
        <v>1</v>
      </c>
    </row>
    <row r="168" spans="9:19">
      <c r="I168" s="68" t="s">
        <v>1350</v>
      </c>
      <c r="J168" t="s">
        <v>1736</v>
      </c>
      <c r="K168">
        <v>1</v>
      </c>
      <c r="L168">
        <v>0.2</v>
      </c>
      <c r="M168" t="s">
        <v>2273</v>
      </c>
      <c r="N168">
        <v>1</v>
      </c>
      <c r="O168" t="str">
        <f>IF(J168="","",VLOOKUP(J168,道具表!B:C,2,FALSE))</f>
        <v>ソールメダル(5)</v>
      </c>
      <c r="P168">
        <f t="shared" si="41"/>
        <v>1</v>
      </c>
      <c r="Q168">
        <f t="shared" si="42"/>
        <v>0.2</v>
      </c>
      <c r="R168" t="str">
        <f>IF(M168="","",VLOOKUP(M168,道具表!B:C,2,FALSE))</f>
        <v>劇毒液</v>
      </c>
      <c r="S168">
        <f t="shared" si="43"/>
        <v>1</v>
      </c>
    </row>
    <row r="169" spans="9:19">
      <c r="J169" t="s">
        <v>1278</v>
      </c>
      <c r="K169" t="s">
        <v>1278</v>
      </c>
      <c r="L169">
        <v>0.1</v>
      </c>
      <c r="M169" t="s">
        <v>294</v>
      </c>
      <c r="N169">
        <v>1</v>
      </c>
      <c r="O169" t="str">
        <f>IF(J169="","",VLOOKUP(J169,道具表!B:C,2,FALSE))</f>
        <v/>
      </c>
      <c r="P169" t="str">
        <f t="shared" si="41"/>
        <v/>
      </c>
      <c r="Q169">
        <f t="shared" si="42"/>
        <v>0.1</v>
      </c>
      <c r="R169" t="str">
        <f>IF(M169="","",VLOOKUP(M169,道具表!B:C,2,FALSE))</f>
        <v>ルーナ(500)</v>
      </c>
      <c r="S169">
        <f t="shared" si="43"/>
        <v>1</v>
      </c>
    </row>
    <row r="170" spans="9:19">
      <c r="I170" s="68" t="s">
        <v>1351</v>
      </c>
      <c r="J170" t="s">
        <v>1736</v>
      </c>
      <c r="K170">
        <v>1</v>
      </c>
      <c r="L170">
        <v>1</v>
      </c>
      <c r="M170" t="s">
        <v>1737</v>
      </c>
      <c r="N170">
        <v>1</v>
      </c>
      <c r="O170" t="str">
        <f>IF(J170="","",VLOOKUP(J170,道具表!B:C,2,FALSE))</f>
        <v>ソールメダル(5)</v>
      </c>
      <c r="P170">
        <f t="shared" si="41"/>
        <v>1</v>
      </c>
      <c r="Q170">
        <f t="shared" si="42"/>
        <v>1</v>
      </c>
      <c r="R170" t="str">
        <f>IF(M170="","",VLOOKUP(M170,道具表!B:C,2,FALSE))</f>
        <v>石塊</v>
      </c>
      <c r="S170">
        <f t="shared" si="43"/>
        <v>1</v>
      </c>
    </row>
    <row r="171" spans="9:19">
      <c r="J171" t="s">
        <v>1278</v>
      </c>
      <c r="K171" t="s">
        <v>1278</v>
      </c>
      <c r="L171">
        <v>0.2</v>
      </c>
      <c r="M171" t="s">
        <v>1738</v>
      </c>
      <c r="N171">
        <v>1</v>
      </c>
      <c r="O171" t="str">
        <f>IF(J171="","",VLOOKUP(J171,道具表!B:C,2,FALSE))</f>
        <v/>
      </c>
      <c r="P171" t="str">
        <f t="shared" si="41"/>
        <v/>
      </c>
      <c r="Q171">
        <f t="shared" si="42"/>
        <v>0.2</v>
      </c>
      <c r="R171" t="str">
        <f>IF(M171="","",VLOOKUP(M171,道具表!B:C,2,FALSE))</f>
        <v>気品ある花束</v>
      </c>
      <c r="S171">
        <f t="shared" si="43"/>
        <v>1</v>
      </c>
    </row>
    <row r="172" spans="9:19">
      <c r="I172" s="68" t="s">
        <v>1352</v>
      </c>
      <c r="J172" t="s">
        <v>1736</v>
      </c>
      <c r="K172">
        <v>1</v>
      </c>
      <c r="L172">
        <v>1</v>
      </c>
      <c r="M172" t="s">
        <v>1737</v>
      </c>
      <c r="N172">
        <v>1</v>
      </c>
      <c r="O172" t="str">
        <f>IF(J172="","",VLOOKUP(J172,道具表!B:C,2,FALSE))</f>
        <v>ソールメダル(5)</v>
      </c>
      <c r="P172">
        <f t="shared" si="41"/>
        <v>1</v>
      </c>
      <c r="Q172">
        <f t="shared" si="42"/>
        <v>1</v>
      </c>
      <c r="R172" t="str">
        <f>IF(M172="","",VLOOKUP(M172,道具表!B:C,2,FALSE))</f>
        <v>石塊</v>
      </c>
      <c r="S172">
        <f t="shared" si="43"/>
        <v>1</v>
      </c>
    </row>
    <row r="173" spans="9:19">
      <c r="J173" t="s">
        <v>1278</v>
      </c>
      <c r="K173" t="s">
        <v>1278</v>
      </c>
      <c r="L173">
        <v>0.2</v>
      </c>
      <c r="M173" t="s">
        <v>1738</v>
      </c>
      <c r="N173">
        <v>1</v>
      </c>
      <c r="O173" t="str">
        <f>IF(J173="","",VLOOKUP(J173,道具表!B:C,2,FALSE))</f>
        <v/>
      </c>
      <c r="P173" t="str">
        <f t="shared" si="41"/>
        <v/>
      </c>
      <c r="Q173">
        <f t="shared" si="42"/>
        <v>0.2</v>
      </c>
      <c r="R173" t="str">
        <f>IF(M173="","",VLOOKUP(M173,道具表!B:C,2,FALSE))</f>
        <v>気品ある花束</v>
      </c>
      <c r="S173">
        <f t="shared" si="43"/>
        <v>1</v>
      </c>
    </row>
    <row r="174" spans="9:19">
      <c r="I174" s="68" t="s">
        <v>1353</v>
      </c>
      <c r="J174" t="s">
        <v>1736</v>
      </c>
      <c r="K174">
        <v>1</v>
      </c>
      <c r="L174">
        <v>1</v>
      </c>
      <c r="M174" t="s">
        <v>1737</v>
      </c>
      <c r="N174">
        <v>1</v>
      </c>
      <c r="O174" t="str">
        <f>IF(J174="","",VLOOKUP(J174,道具表!B:C,2,FALSE))</f>
        <v>ソールメダル(5)</v>
      </c>
      <c r="P174">
        <f t="shared" si="41"/>
        <v>1</v>
      </c>
      <c r="Q174">
        <f t="shared" si="42"/>
        <v>1</v>
      </c>
      <c r="R174" t="str">
        <f>IF(M174="","",VLOOKUP(M174,道具表!B:C,2,FALSE))</f>
        <v>石塊</v>
      </c>
      <c r="S174">
        <f t="shared" si="43"/>
        <v>1</v>
      </c>
    </row>
    <row r="175" spans="9:19">
      <c r="J175" t="s">
        <v>1278</v>
      </c>
      <c r="K175" t="s">
        <v>1278</v>
      </c>
      <c r="L175">
        <v>0.2</v>
      </c>
      <c r="M175" t="s">
        <v>1505</v>
      </c>
      <c r="N175">
        <v>1</v>
      </c>
      <c r="O175" t="str">
        <f>IF(J175="","",VLOOKUP(J175,道具表!B:C,2,FALSE))</f>
        <v/>
      </c>
      <c r="P175" t="str">
        <f t="shared" si="41"/>
        <v/>
      </c>
      <c r="Q175">
        <f t="shared" si="42"/>
        <v>0.2</v>
      </c>
      <c r="R175" t="str">
        <f>IF(M175="","",VLOOKUP(M175,道具表!B:C,2,FALSE))</f>
        <v>82年物の蜂蜜酒</v>
      </c>
      <c r="S175">
        <f t="shared" si="43"/>
        <v>1</v>
      </c>
    </row>
    <row r="176" spans="9:19">
      <c r="I176" s="68" t="s">
        <v>1354</v>
      </c>
      <c r="J176" t="s">
        <v>1736</v>
      </c>
      <c r="K176">
        <v>1</v>
      </c>
      <c r="L176">
        <v>1</v>
      </c>
      <c r="M176" t="s">
        <v>1737</v>
      </c>
      <c r="N176">
        <v>1</v>
      </c>
      <c r="O176" t="str">
        <f>IF(J176="","",VLOOKUP(J176,道具表!B:C,2,FALSE))</f>
        <v>ソールメダル(5)</v>
      </c>
      <c r="P176">
        <f t="shared" si="41"/>
        <v>1</v>
      </c>
      <c r="Q176">
        <f t="shared" si="42"/>
        <v>1</v>
      </c>
      <c r="R176" t="str">
        <f>IF(M176="","",VLOOKUP(M176,道具表!B:C,2,FALSE))</f>
        <v>石塊</v>
      </c>
      <c r="S176">
        <f t="shared" si="43"/>
        <v>1</v>
      </c>
    </row>
    <row r="177" spans="9:19">
      <c r="J177" t="s">
        <v>1278</v>
      </c>
      <c r="K177" t="s">
        <v>1278</v>
      </c>
      <c r="L177">
        <v>0.2</v>
      </c>
      <c r="M177" t="s">
        <v>1505</v>
      </c>
      <c r="N177">
        <v>1</v>
      </c>
      <c r="O177" t="str">
        <f>IF(J177="","",VLOOKUP(J177,道具表!B:C,2,FALSE))</f>
        <v/>
      </c>
      <c r="P177" t="str">
        <f t="shared" si="41"/>
        <v/>
      </c>
      <c r="Q177">
        <f t="shared" si="42"/>
        <v>0.2</v>
      </c>
      <c r="R177" t="str">
        <f>IF(M177="","",VLOOKUP(M177,道具表!B:C,2,FALSE))</f>
        <v>82年物の蜂蜜酒</v>
      </c>
      <c r="S177">
        <f t="shared" si="43"/>
        <v>1</v>
      </c>
    </row>
    <row r="178" spans="9:19">
      <c r="I178" s="68" t="s">
        <v>1355</v>
      </c>
      <c r="J178" t="s">
        <v>1736</v>
      </c>
      <c r="K178">
        <v>1</v>
      </c>
      <c r="L178">
        <v>1</v>
      </c>
      <c r="M178" t="s">
        <v>1504</v>
      </c>
      <c r="N178">
        <v>4</v>
      </c>
      <c r="O178" t="str">
        <f>IF(J178="","",VLOOKUP(J178,道具表!B:C,2,FALSE))</f>
        <v>ソールメダル(5)</v>
      </c>
      <c r="P178">
        <f t="shared" si="41"/>
        <v>1</v>
      </c>
      <c r="Q178">
        <f t="shared" si="42"/>
        <v>1</v>
      </c>
      <c r="R178" t="str">
        <f>IF(M178="","",VLOOKUP(M178,道具表!B:C,2,FALSE))</f>
        <v>宿命の果実</v>
      </c>
      <c r="S178">
        <f t="shared" si="43"/>
        <v>4</v>
      </c>
    </row>
    <row r="179" spans="9:19">
      <c r="I179" s="68" t="s">
        <v>1356</v>
      </c>
      <c r="J179" t="s">
        <v>1736</v>
      </c>
      <c r="K179">
        <v>1</v>
      </c>
      <c r="L179">
        <v>0.5</v>
      </c>
      <c r="M179" t="s">
        <v>1742</v>
      </c>
      <c r="N179">
        <v>1</v>
      </c>
      <c r="O179" t="str">
        <f>IF(J179="","",VLOOKUP(J179,道具表!B:C,2,FALSE))</f>
        <v>ソールメダル(5)</v>
      </c>
      <c r="P179">
        <f t="shared" si="41"/>
        <v>1</v>
      </c>
      <c r="Q179">
        <f t="shared" si="42"/>
        <v>0.5</v>
      </c>
      <c r="R179" t="str">
        <f>IF(M179="","",VLOOKUP(M179,道具表!B:C,2,FALSE))</f>
        <v>銅鉱</v>
      </c>
      <c r="S179">
        <f t="shared" si="43"/>
        <v>1</v>
      </c>
    </row>
    <row r="180" spans="9:19">
      <c r="I180" s="68" t="s">
        <v>1357</v>
      </c>
      <c r="J180" t="s">
        <v>1736</v>
      </c>
      <c r="K180">
        <v>1</v>
      </c>
      <c r="L180">
        <v>0.2</v>
      </c>
      <c r="M180" t="s">
        <v>2274</v>
      </c>
      <c r="N180">
        <v>1</v>
      </c>
      <c r="O180" t="str">
        <f>IF(J180="","",VLOOKUP(J180,道具表!B:C,2,FALSE))</f>
        <v>ソールメダル(5)</v>
      </c>
      <c r="P180">
        <f t="shared" si="41"/>
        <v>1</v>
      </c>
      <c r="Q180">
        <f t="shared" si="42"/>
        <v>0.2</v>
      </c>
      <c r="R180" t="str">
        <f>IF(M180="","",VLOOKUP(M180,道具表!B:C,2,FALSE))</f>
        <v>クリスタルパウダー</v>
      </c>
      <c r="S180">
        <f t="shared" si="43"/>
        <v>1</v>
      </c>
    </row>
    <row r="181" spans="9:19">
      <c r="J181" t="s">
        <v>1278</v>
      </c>
      <c r="K181" t="s">
        <v>1278</v>
      </c>
      <c r="L181" t="s">
        <v>1278</v>
      </c>
      <c r="M181" t="s">
        <v>1278</v>
      </c>
      <c r="N181" t="s">
        <v>1278</v>
      </c>
      <c r="O181" t="str">
        <f>IF(J181="","",VLOOKUP(J181,道具表!B:C,2,FALSE))</f>
        <v/>
      </c>
      <c r="P181" t="str">
        <f t="shared" si="41"/>
        <v/>
      </c>
      <c r="Q181" t="str">
        <f t="shared" si="42"/>
        <v/>
      </c>
      <c r="R181" t="str">
        <f>IF(M181="","",VLOOKUP(M181,道具表!B:C,2,FALSE))</f>
        <v/>
      </c>
      <c r="S181" t="str">
        <f t="shared" si="43"/>
        <v/>
      </c>
    </row>
    <row r="182" spans="9:19">
      <c r="I182" s="68" t="s">
        <v>1358</v>
      </c>
      <c r="J182" t="s">
        <v>1736</v>
      </c>
      <c r="K182">
        <v>1</v>
      </c>
      <c r="L182">
        <v>1</v>
      </c>
      <c r="M182" t="s">
        <v>1737</v>
      </c>
      <c r="N182">
        <v>1</v>
      </c>
      <c r="O182" t="str">
        <f>IF(J182="","",VLOOKUP(J182,道具表!B:C,2,FALSE))</f>
        <v>ソールメダル(5)</v>
      </c>
      <c r="P182">
        <f t="shared" si="41"/>
        <v>1</v>
      </c>
      <c r="Q182">
        <f t="shared" si="42"/>
        <v>1</v>
      </c>
      <c r="R182" t="str">
        <f>IF(M182="","",VLOOKUP(M182,道具表!B:C,2,FALSE))</f>
        <v>石塊</v>
      </c>
      <c r="S182">
        <f t="shared" si="43"/>
        <v>1</v>
      </c>
    </row>
    <row r="183" spans="9:19">
      <c r="J183" t="s">
        <v>1278</v>
      </c>
      <c r="K183" t="s">
        <v>1278</v>
      </c>
      <c r="L183">
        <v>0.2</v>
      </c>
      <c r="M183" t="s">
        <v>1738</v>
      </c>
      <c r="N183">
        <v>1</v>
      </c>
      <c r="O183" t="str">
        <f>IF(J183="","",VLOOKUP(J183,道具表!B:C,2,FALSE))</f>
        <v/>
      </c>
      <c r="P183" t="str">
        <f t="shared" si="41"/>
        <v/>
      </c>
      <c r="Q183">
        <f t="shared" si="42"/>
        <v>0.2</v>
      </c>
      <c r="R183" t="str">
        <f>IF(M183="","",VLOOKUP(M183,道具表!B:C,2,FALSE))</f>
        <v>気品ある花束</v>
      </c>
      <c r="S183">
        <f t="shared" si="43"/>
        <v>1</v>
      </c>
    </row>
    <row r="184" spans="9:19">
      <c r="I184" s="68" t="s">
        <v>1359</v>
      </c>
      <c r="J184" t="s">
        <v>1736</v>
      </c>
      <c r="K184">
        <v>1</v>
      </c>
      <c r="L184">
        <v>1</v>
      </c>
      <c r="M184" t="s">
        <v>1737</v>
      </c>
      <c r="N184">
        <v>1</v>
      </c>
      <c r="O184" t="str">
        <f>IF(J184="","",VLOOKUP(J184,道具表!B:C,2,FALSE))</f>
        <v>ソールメダル(5)</v>
      </c>
      <c r="P184">
        <f t="shared" si="41"/>
        <v>1</v>
      </c>
      <c r="Q184">
        <f t="shared" si="42"/>
        <v>1</v>
      </c>
      <c r="R184" t="str">
        <f>IF(M184="","",VLOOKUP(M184,道具表!B:C,2,FALSE))</f>
        <v>石塊</v>
      </c>
      <c r="S184">
        <f t="shared" si="43"/>
        <v>1</v>
      </c>
    </row>
    <row r="185" spans="9:19">
      <c r="J185" t="s">
        <v>1278</v>
      </c>
      <c r="K185" t="s">
        <v>1278</v>
      </c>
      <c r="L185">
        <v>0.2</v>
      </c>
      <c r="M185" t="s">
        <v>1738</v>
      </c>
      <c r="N185">
        <v>1</v>
      </c>
      <c r="O185" t="str">
        <f>IF(J185="","",VLOOKUP(J185,道具表!B:C,2,FALSE))</f>
        <v/>
      </c>
      <c r="P185" t="str">
        <f t="shared" si="41"/>
        <v/>
      </c>
      <c r="Q185">
        <f t="shared" si="42"/>
        <v>0.2</v>
      </c>
      <c r="R185" t="str">
        <f>IF(M185="","",VLOOKUP(M185,道具表!B:C,2,FALSE))</f>
        <v>気品ある花束</v>
      </c>
      <c r="S185">
        <f t="shared" si="43"/>
        <v>1</v>
      </c>
    </row>
    <row r="186" spans="9:19">
      <c r="I186" s="68" t="s">
        <v>1360</v>
      </c>
      <c r="J186" t="s">
        <v>1736</v>
      </c>
      <c r="K186">
        <v>1</v>
      </c>
      <c r="L186">
        <v>1</v>
      </c>
      <c r="M186" t="s">
        <v>1737</v>
      </c>
      <c r="N186">
        <v>1</v>
      </c>
      <c r="O186" t="str">
        <f>IF(J186="","",VLOOKUP(J186,道具表!B:C,2,FALSE))</f>
        <v>ソールメダル(5)</v>
      </c>
      <c r="P186">
        <f t="shared" si="41"/>
        <v>1</v>
      </c>
      <c r="Q186">
        <f t="shared" si="42"/>
        <v>1</v>
      </c>
      <c r="R186" t="str">
        <f>IF(M186="","",VLOOKUP(M186,道具表!B:C,2,FALSE))</f>
        <v>石塊</v>
      </c>
      <c r="S186">
        <f t="shared" si="43"/>
        <v>1</v>
      </c>
    </row>
    <row r="187" spans="9:19">
      <c r="J187" t="s">
        <v>1278</v>
      </c>
      <c r="K187" t="s">
        <v>1278</v>
      </c>
      <c r="L187">
        <v>0.2</v>
      </c>
      <c r="M187" t="s">
        <v>1505</v>
      </c>
      <c r="N187">
        <v>1</v>
      </c>
      <c r="O187" t="str">
        <f>IF(J187="","",VLOOKUP(J187,道具表!B:C,2,FALSE))</f>
        <v/>
      </c>
      <c r="P187" t="str">
        <f t="shared" si="41"/>
        <v/>
      </c>
      <c r="Q187">
        <f t="shared" si="42"/>
        <v>0.2</v>
      </c>
      <c r="R187" t="str">
        <f>IF(M187="","",VLOOKUP(M187,道具表!B:C,2,FALSE))</f>
        <v>82年物の蜂蜜酒</v>
      </c>
      <c r="S187">
        <f t="shared" si="43"/>
        <v>1</v>
      </c>
    </row>
    <row r="188" spans="9:19">
      <c r="I188" s="68" t="s">
        <v>1361</v>
      </c>
      <c r="J188" t="s">
        <v>1736</v>
      </c>
      <c r="K188">
        <v>1</v>
      </c>
      <c r="L188">
        <v>1</v>
      </c>
      <c r="M188" t="s">
        <v>1737</v>
      </c>
      <c r="N188">
        <v>1</v>
      </c>
      <c r="O188" t="str">
        <f>IF(J188="","",VLOOKUP(J188,道具表!B:C,2,FALSE))</f>
        <v>ソールメダル(5)</v>
      </c>
      <c r="P188">
        <f t="shared" si="41"/>
        <v>1</v>
      </c>
      <c r="Q188">
        <f t="shared" si="42"/>
        <v>1</v>
      </c>
      <c r="R188" t="str">
        <f>IF(M188="","",VLOOKUP(M188,道具表!B:C,2,FALSE))</f>
        <v>石塊</v>
      </c>
      <c r="S188">
        <f t="shared" si="43"/>
        <v>1</v>
      </c>
    </row>
    <row r="189" spans="9:19">
      <c r="J189" t="s">
        <v>1278</v>
      </c>
      <c r="K189" t="s">
        <v>1278</v>
      </c>
      <c r="L189">
        <v>0.2</v>
      </c>
      <c r="M189" t="s">
        <v>1505</v>
      </c>
      <c r="N189">
        <v>1</v>
      </c>
      <c r="O189" t="str">
        <f>IF(J189="","",VLOOKUP(J189,道具表!B:C,2,FALSE))</f>
        <v/>
      </c>
      <c r="P189" t="str">
        <f t="shared" si="41"/>
        <v/>
      </c>
      <c r="Q189">
        <f t="shared" si="42"/>
        <v>0.2</v>
      </c>
      <c r="R189" t="str">
        <f>IF(M189="","",VLOOKUP(M189,道具表!B:C,2,FALSE))</f>
        <v>82年物の蜂蜜酒</v>
      </c>
      <c r="S189">
        <f t="shared" si="43"/>
        <v>1</v>
      </c>
    </row>
    <row r="190" spans="9:19">
      <c r="I190" s="68" t="s">
        <v>1362</v>
      </c>
      <c r="J190" t="s">
        <v>1736</v>
      </c>
      <c r="K190">
        <v>1</v>
      </c>
      <c r="L190">
        <v>1</v>
      </c>
      <c r="M190" t="s">
        <v>1504</v>
      </c>
      <c r="N190">
        <v>4</v>
      </c>
      <c r="O190" t="str">
        <f>IF(J190="","",VLOOKUP(J190,道具表!B:C,2,FALSE))</f>
        <v>ソールメダル(5)</v>
      </c>
      <c r="P190">
        <f t="shared" si="41"/>
        <v>1</v>
      </c>
      <c r="Q190">
        <f t="shared" si="42"/>
        <v>1</v>
      </c>
      <c r="R190" t="str">
        <f>IF(M190="","",VLOOKUP(M190,道具表!B:C,2,FALSE))</f>
        <v>宿命の果実</v>
      </c>
      <c r="S190">
        <f t="shared" si="43"/>
        <v>4</v>
      </c>
    </row>
    <row r="191" spans="9:19">
      <c r="I191" s="68" t="s">
        <v>1363</v>
      </c>
      <c r="J191" t="s">
        <v>1736</v>
      </c>
      <c r="K191">
        <v>1</v>
      </c>
      <c r="L191">
        <v>0.5</v>
      </c>
      <c r="M191" t="s">
        <v>1742</v>
      </c>
      <c r="N191">
        <v>1</v>
      </c>
      <c r="O191" t="str">
        <f>IF(J191="","",VLOOKUP(J191,道具表!B:C,2,FALSE))</f>
        <v>ソールメダル(5)</v>
      </c>
      <c r="P191">
        <f t="shared" si="41"/>
        <v>1</v>
      </c>
      <c r="Q191">
        <f t="shared" si="42"/>
        <v>0.5</v>
      </c>
      <c r="R191" t="str">
        <f>IF(M191="","",VLOOKUP(M191,道具表!B:C,2,FALSE))</f>
        <v>銅鉱</v>
      </c>
      <c r="S191">
        <f t="shared" si="43"/>
        <v>1</v>
      </c>
    </row>
    <row r="192" spans="9:19">
      <c r="I192" s="68" t="s">
        <v>1364</v>
      </c>
      <c r="J192" t="s">
        <v>1736</v>
      </c>
      <c r="K192">
        <v>1</v>
      </c>
      <c r="L192">
        <v>0.2</v>
      </c>
      <c r="M192" t="s">
        <v>2275</v>
      </c>
      <c r="N192">
        <v>1</v>
      </c>
      <c r="O192" t="str">
        <f>IF(J192="","",VLOOKUP(J192,道具表!B:C,2,FALSE))</f>
        <v>ソールメダル(5)</v>
      </c>
      <c r="P192">
        <f t="shared" si="41"/>
        <v>1</v>
      </c>
      <c r="Q192">
        <f t="shared" si="42"/>
        <v>0.2</v>
      </c>
      <c r="R192" t="str">
        <f>IF(M192="","",VLOOKUP(M192,道具表!B:C,2,FALSE))</f>
        <v>硬い蟹の甲羅</v>
      </c>
      <c r="S192">
        <f t="shared" si="43"/>
        <v>1</v>
      </c>
    </row>
    <row r="193" spans="9:19">
      <c r="J193" t="s">
        <v>1278</v>
      </c>
      <c r="K193" t="s">
        <v>1278</v>
      </c>
      <c r="L193" t="s">
        <v>1278</v>
      </c>
      <c r="M193" t="s">
        <v>1278</v>
      </c>
      <c r="N193" t="s">
        <v>1278</v>
      </c>
      <c r="O193" t="str">
        <f>IF(J193="","",VLOOKUP(J193,道具表!B:C,2,FALSE))</f>
        <v/>
      </c>
      <c r="P193" t="str">
        <f t="shared" si="41"/>
        <v/>
      </c>
      <c r="Q193" t="str">
        <f t="shared" si="42"/>
        <v/>
      </c>
      <c r="R193" t="str">
        <f>IF(M193="","",VLOOKUP(M193,道具表!B:C,2,FALSE))</f>
        <v/>
      </c>
      <c r="S193" t="str">
        <f t="shared" si="43"/>
        <v/>
      </c>
    </row>
    <row r="194" spans="9:19">
      <c r="I194" s="68" t="s">
        <v>1365</v>
      </c>
      <c r="J194" t="s">
        <v>1736</v>
      </c>
      <c r="K194">
        <v>1</v>
      </c>
      <c r="L194">
        <v>1</v>
      </c>
      <c r="M194" t="s">
        <v>1737</v>
      </c>
      <c r="N194">
        <v>1</v>
      </c>
      <c r="O194" t="str">
        <f>IF(J194="","",VLOOKUP(J194,道具表!B:C,2,FALSE))</f>
        <v>ソールメダル(5)</v>
      </c>
      <c r="P194">
        <f t="shared" si="41"/>
        <v>1</v>
      </c>
      <c r="Q194">
        <f t="shared" si="42"/>
        <v>1</v>
      </c>
      <c r="R194" t="str">
        <f>IF(M194="","",VLOOKUP(M194,道具表!B:C,2,FALSE))</f>
        <v>石塊</v>
      </c>
      <c r="S194">
        <f t="shared" si="43"/>
        <v>1</v>
      </c>
    </row>
    <row r="195" spans="9:19">
      <c r="J195" t="s">
        <v>1278</v>
      </c>
      <c r="K195" t="s">
        <v>1278</v>
      </c>
      <c r="L195">
        <v>0.2</v>
      </c>
      <c r="M195" t="s">
        <v>1738</v>
      </c>
      <c r="N195">
        <v>1</v>
      </c>
      <c r="O195" t="str">
        <f>IF(J195="","",VLOOKUP(J195,道具表!B:C,2,FALSE))</f>
        <v/>
      </c>
      <c r="P195" t="str">
        <f t="shared" si="41"/>
        <v/>
      </c>
      <c r="Q195">
        <f t="shared" si="42"/>
        <v>0.2</v>
      </c>
      <c r="R195" t="str">
        <f>IF(M195="","",VLOOKUP(M195,道具表!B:C,2,FALSE))</f>
        <v>気品ある花束</v>
      </c>
      <c r="S195">
        <f t="shared" si="43"/>
        <v>1</v>
      </c>
    </row>
    <row r="196" spans="9:19">
      <c r="I196" s="68" t="s">
        <v>1366</v>
      </c>
      <c r="J196" t="s">
        <v>1736</v>
      </c>
      <c r="K196">
        <v>1</v>
      </c>
      <c r="L196">
        <v>1</v>
      </c>
      <c r="M196" t="s">
        <v>1737</v>
      </c>
      <c r="N196">
        <v>1</v>
      </c>
      <c r="O196" t="str">
        <f>IF(J196="","",VLOOKUP(J196,道具表!B:C,2,FALSE))</f>
        <v>ソールメダル(5)</v>
      </c>
      <c r="P196">
        <f t="shared" si="41"/>
        <v>1</v>
      </c>
      <c r="Q196">
        <f t="shared" si="42"/>
        <v>1</v>
      </c>
      <c r="R196" t="str">
        <f>IF(M196="","",VLOOKUP(M196,道具表!B:C,2,FALSE))</f>
        <v>石塊</v>
      </c>
      <c r="S196">
        <f t="shared" si="43"/>
        <v>1</v>
      </c>
    </row>
    <row r="197" spans="9:19">
      <c r="J197" t="s">
        <v>1278</v>
      </c>
      <c r="K197" t="s">
        <v>1278</v>
      </c>
      <c r="L197">
        <v>0.2</v>
      </c>
      <c r="M197" t="s">
        <v>1738</v>
      </c>
      <c r="N197">
        <v>1</v>
      </c>
      <c r="O197" t="str">
        <f>IF(J197="","",VLOOKUP(J197,道具表!B:C,2,FALSE))</f>
        <v/>
      </c>
      <c r="P197" t="str">
        <f t="shared" si="41"/>
        <v/>
      </c>
      <c r="Q197">
        <f t="shared" si="42"/>
        <v>0.2</v>
      </c>
      <c r="R197" t="str">
        <f>IF(M197="","",VLOOKUP(M197,道具表!B:C,2,FALSE))</f>
        <v>気品ある花束</v>
      </c>
      <c r="S197">
        <f t="shared" si="43"/>
        <v>1</v>
      </c>
    </row>
    <row r="198" spans="9:19">
      <c r="I198" s="68" t="s">
        <v>1367</v>
      </c>
      <c r="J198" t="s">
        <v>1736</v>
      </c>
      <c r="K198">
        <v>1</v>
      </c>
      <c r="L198">
        <v>1</v>
      </c>
      <c r="M198" t="s">
        <v>1737</v>
      </c>
      <c r="N198">
        <v>1</v>
      </c>
      <c r="O198" t="str">
        <f>IF(J198="","",VLOOKUP(J198,道具表!B:C,2,FALSE))</f>
        <v>ソールメダル(5)</v>
      </c>
      <c r="P198">
        <f t="shared" si="41"/>
        <v>1</v>
      </c>
      <c r="Q198">
        <f t="shared" si="42"/>
        <v>1</v>
      </c>
      <c r="R198" t="str">
        <f>IF(M198="","",VLOOKUP(M198,道具表!B:C,2,FALSE))</f>
        <v>石塊</v>
      </c>
      <c r="S198">
        <f t="shared" si="43"/>
        <v>1</v>
      </c>
    </row>
    <row r="199" spans="9:19">
      <c r="J199" t="s">
        <v>1278</v>
      </c>
      <c r="K199" t="s">
        <v>1278</v>
      </c>
      <c r="L199">
        <v>0.2</v>
      </c>
      <c r="M199" t="s">
        <v>1505</v>
      </c>
      <c r="N199">
        <v>1</v>
      </c>
      <c r="O199" t="str">
        <f>IF(J199="","",VLOOKUP(J199,道具表!B:C,2,FALSE))</f>
        <v/>
      </c>
      <c r="P199" t="str">
        <f t="shared" si="41"/>
        <v/>
      </c>
      <c r="Q199">
        <f t="shared" si="42"/>
        <v>0.2</v>
      </c>
      <c r="R199" t="str">
        <f>IF(M199="","",VLOOKUP(M199,道具表!B:C,2,FALSE))</f>
        <v>82年物の蜂蜜酒</v>
      </c>
      <c r="S199">
        <f t="shared" si="43"/>
        <v>1</v>
      </c>
    </row>
    <row r="200" spans="9:19">
      <c r="I200" s="68" t="s">
        <v>1368</v>
      </c>
      <c r="J200" t="s">
        <v>1736</v>
      </c>
      <c r="K200">
        <v>1</v>
      </c>
      <c r="L200">
        <v>1</v>
      </c>
      <c r="M200" t="s">
        <v>1737</v>
      </c>
      <c r="N200">
        <v>1</v>
      </c>
      <c r="O200" t="str">
        <f>IF(J200="","",VLOOKUP(J200,道具表!B:C,2,FALSE))</f>
        <v>ソールメダル(5)</v>
      </c>
      <c r="P200">
        <f t="shared" si="41"/>
        <v>1</v>
      </c>
      <c r="Q200">
        <f t="shared" si="42"/>
        <v>1</v>
      </c>
      <c r="R200" t="str">
        <f>IF(M200="","",VLOOKUP(M200,道具表!B:C,2,FALSE))</f>
        <v>石塊</v>
      </c>
      <c r="S200">
        <f t="shared" si="43"/>
        <v>1</v>
      </c>
    </row>
    <row r="201" spans="9:19">
      <c r="J201" t="s">
        <v>1278</v>
      </c>
      <c r="K201" t="s">
        <v>1278</v>
      </c>
      <c r="L201">
        <v>0.2</v>
      </c>
      <c r="M201" t="s">
        <v>1505</v>
      </c>
      <c r="N201">
        <v>1</v>
      </c>
      <c r="O201" t="str">
        <f>IF(J201="","",VLOOKUP(J201,道具表!B:C,2,FALSE))</f>
        <v/>
      </c>
      <c r="P201" t="str">
        <f t="shared" si="41"/>
        <v/>
      </c>
      <c r="Q201">
        <f t="shared" si="42"/>
        <v>0.2</v>
      </c>
      <c r="R201" t="str">
        <f>IF(M201="","",VLOOKUP(M201,道具表!B:C,2,FALSE))</f>
        <v>82年物の蜂蜜酒</v>
      </c>
      <c r="S201">
        <f t="shared" si="43"/>
        <v>1</v>
      </c>
    </row>
    <row r="202" spans="9:19">
      <c r="I202" s="68" t="s">
        <v>1369</v>
      </c>
      <c r="J202" t="s">
        <v>1736</v>
      </c>
      <c r="K202">
        <v>1</v>
      </c>
      <c r="L202">
        <v>1</v>
      </c>
      <c r="M202" t="s">
        <v>1504</v>
      </c>
      <c r="N202">
        <v>4</v>
      </c>
      <c r="O202" t="str">
        <f>IF(J202="","",VLOOKUP(J202,道具表!B:C,2,FALSE))</f>
        <v>ソールメダル(5)</v>
      </c>
      <c r="P202">
        <f t="shared" si="41"/>
        <v>1</v>
      </c>
      <c r="Q202">
        <f t="shared" si="42"/>
        <v>1</v>
      </c>
      <c r="R202" t="str">
        <f>IF(M202="","",VLOOKUP(M202,道具表!B:C,2,FALSE))</f>
        <v>宿命の果実</v>
      </c>
      <c r="S202">
        <f t="shared" si="43"/>
        <v>4</v>
      </c>
    </row>
    <row r="203" spans="9:19">
      <c r="I203" s="68" t="s">
        <v>1370</v>
      </c>
      <c r="J203" t="s">
        <v>1736</v>
      </c>
      <c r="K203">
        <v>1</v>
      </c>
      <c r="L203">
        <v>0.5</v>
      </c>
      <c r="M203" t="s">
        <v>1742</v>
      </c>
      <c r="N203">
        <v>1</v>
      </c>
      <c r="O203" t="str">
        <f>IF(J203="","",VLOOKUP(J203,道具表!B:C,2,FALSE))</f>
        <v>ソールメダル(5)</v>
      </c>
      <c r="P203">
        <f t="shared" si="41"/>
        <v>1</v>
      </c>
      <c r="Q203">
        <f t="shared" si="42"/>
        <v>0.5</v>
      </c>
      <c r="R203" t="str">
        <f>IF(M203="","",VLOOKUP(M203,道具表!B:C,2,FALSE))</f>
        <v>銅鉱</v>
      </c>
      <c r="S203">
        <f t="shared" si="43"/>
        <v>1</v>
      </c>
    </row>
    <row r="204" spans="9:19">
      <c r="I204" s="68" t="s">
        <v>1371</v>
      </c>
      <c r="J204" t="s">
        <v>1506</v>
      </c>
      <c r="K204">
        <v>1</v>
      </c>
      <c r="L204">
        <v>0.2</v>
      </c>
      <c r="M204" t="s">
        <v>2276</v>
      </c>
      <c r="N204">
        <v>1</v>
      </c>
      <c r="O204" t="str">
        <f>IF(J204="","",VLOOKUP(J204,道具表!B:C,2,FALSE))</f>
        <v>ソール召喚チケット</v>
      </c>
      <c r="P204">
        <f t="shared" si="41"/>
        <v>1</v>
      </c>
      <c r="Q204">
        <f t="shared" si="42"/>
        <v>0.2</v>
      </c>
      <c r="R204" t="str">
        <f>IF(M204="","",VLOOKUP(M204,道具表!B:C,2,FALSE))</f>
        <v>海魔の触手</v>
      </c>
      <c r="S204">
        <f t="shared" si="43"/>
        <v>1</v>
      </c>
    </row>
    <row r="205" spans="9:19">
      <c r="I205" s="69" t="s">
        <v>1372</v>
      </c>
      <c r="O205" t="str">
        <f>IF(J205="","",VLOOKUP(J205,道具表!B:C,2,FALSE))</f>
        <v/>
      </c>
      <c r="P205" t="str">
        <f t="shared" si="41"/>
        <v/>
      </c>
      <c r="Q205" t="str">
        <f t="shared" si="42"/>
        <v/>
      </c>
      <c r="R205" t="str">
        <f>IF(M205="","",VLOOKUP(M205,道具表!B:C,2,FALSE))</f>
        <v/>
      </c>
      <c r="S205" t="str">
        <f t="shared" si="43"/>
        <v/>
      </c>
    </row>
    <row r="206" spans="9:19">
      <c r="I206" s="68" t="s">
        <v>1373</v>
      </c>
      <c r="J206" t="s">
        <v>1736</v>
      </c>
      <c r="K206">
        <v>1</v>
      </c>
      <c r="L206">
        <v>1</v>
      </c>
      <c r="M206" t="s">
        <v>1737</v>
      </c>
      <c r="N206">
        <v>1</v>
      </c>
      <c r="O206" t="str">
        <f>IF(J206="","",VLOOKUP(J206,道具表!B:C,2,FALSE))</f>
        <v>ソールメダル(5)</v>
      </c>
      <c r="P206">
        <f t="shared" si="41"/>
        <v>1</v>
      </c>
      <c r="Q206">
        <f t="shared" si="42"/>
        <v>1</v>
      </c>
      <c r="R206" t="str">
        <f>IF(M206="","",VLOOKUP(M206,道具表!B:C,2,FALSE))</f>
        <v>石塊</v>
      </c>
      <c r="S206">
        <f t="shared" si="43"/>
        <v>1</v>
      </c>
    </row>
    <row r="207" spans="9:19">
      <c r="J207" t="s">
        <v>1278</v>
      </c>
      <c r="K207" t="s">
        <v>1278</v>
      </c>
      <c r="L207">
        <v>0.3</v>
      </c>
      <c r="M207" t="s">
        <v>1738</v>
      </c>
      <c r="N207">
        <v>1</v>
      </c>
      <c r="O207" t="str">
        <f>IF(J207="","",VLOOKUP(J207,道具表!B:C,2,FALSE))</f>
        <v/>
      </c>
      <c r="P207" t="str">
        <f t="shared" si="41"/>
        <v/>
      </c>
      <c r="Q207">
        <f t="shared" si="42"/>
        <v>0.3</v>
      </c>
      <c r="R207" t="str">
        <f>IF(M207="","",VLOOKUP(M207,道具表!B:C,2,FALSE))</f>
        <v>気品ある花束</v>
      </c>
      <c r="S207">
        <f t="shared" si="43"/>
        <v>1</v>
      </c>
    </row>
    <row r="208" spans="9:19">
      <c r="J208" t="s">
        <v>1278</v>
      </c>
      <c r="K208" t="s">
        <v>1278</v>
      </c>
      <c r="L208">
        <v>0.5</v>
      </c>
      <c r="M208" t="s">
        <v>1737</v>
      </c>
      <c r="N208">
        <v>1</v>
      </c>
      <c r="O208" t="str">
        <f>IF(J208="","",VLOOKUP(J208,道具表!B:C,2,FALSE))</f>
        <v/>
      </c>
      <c r="P208" t="str">
        <f t="shared" si="41"/>
        <v/>
      </c>
      <c r="Q208">
        <f t="shared" si="42"/>
        <v>0.5</v>
      </c>
      <c r="R208" t="str">
        <f>IF(M208="","",VLOOKUP(M208,道具表!B:C,2,FALSE))</f>
        <v>石塊</v>
      </c>
      <c r="S208">
        <f t="shared" si="43"/>
        <v>1</v>
      </c>
    </row>
    <row r="209" spans="9:19">
      <c r="I209" s="68" t="s">
        <v>1374</v>
      </c>
      <c r="J209" t="s">
        <v>1736</v>
      </c>
      <c r="K209">
        <v>1</v>
      </c>
      <c r="L209">
        <v>1</v>
      </c>
      <c r="M209" t="s">
        <v>1737</v>
      </c>
      <c r="N209">
        <v>1</v>
      </c>
      <c r="O209" t="str">
        <f>IF(J209="","",VLOOKUP(J209,道具表!B:C,2,FALSE))</f>
        <v>ソールメダル(5)</v>
      </c>
      <c r="P209">
        <f t="shared" si="41"/>
        <v>1</v>
      </c>
      <c r="Q209">
        <f t="shared" si="42"/>
        <v>1</v>
      </c>
      <c r="R209" t="str">
        <f>IF(M209="","",VLOOKUP(M209,道具表!B:C,2,FALSE))</f>
        <v>石塊</v>
      </c>
      <c r="S209">
        <f t="shared" si="43"/>
        <v>1</v>
      </c>
    </row>
    <row r="210" spans="9:19">
      <c r="J210" t="s">
        <v>1278</v>
      </c>
      <c r="K210" t="s">
        <v>1278</v>
      </c>
      <c r="L210">
        <v>0.3</v>
      </c>
      <c r="M210" t="s">
        <v>1738</v>
      </c>
      <c r="N210">
        <v>1</v>
      </c>
      <c r="O210" t="str">
        <f>IF(J210="","",VLOOKUP(J210,道具表!B:C,2,FALSE))</f>
        <v/>
      </c>
      <c r="P210" t="str">
        <f t="shared" si="41"/>
        <v/>
      </c>
      <c r="Q210">
        <f t="shared" si="42"/>
        <v>0.3</v>
      </c>
      <c r="R210" t="str">
        <f>IF(M210="","",VLOOKUP(M210,道具表!B:C,2,FALSE))</f>
        <v>気品ある花束</v>
      </c>
      <c r="S210">
        <f t="shared" si="43"/>
        <v>1</v>
      </c>
    </row>
    <row r="211" spans="9:19">
      <c r="J211" t="s">
        <v>1278</v>
      </c>
      <c r="K211" t="s">
        <v>1278</v>
      </c>
      <c r="L211">
        <v>0.5</v>
      </c>
      <c r="M211" t="s">
        <v>1737</v>
      </c>
      <c r="N211">
        <v>1</v>
      </c>
      <c r="O211" t="str">
        <f>IF(J211="","",VLOOKUP(J211,道具表!B:C,2,FALSE))</f>
        <v/>
      </c>
      <c r="P211" t="str">
        <f t="shared" si="41"/>
        <v/>
      </c>
      <c r="Q211">
        <f t="shared" si="42"/>
        <v>0.5</v>
      </c>
      <c r="R211" t="str">
        <f>IF(M211="","",VLOOKUP(M211,道具表!B:C,2,FALSE))</f>
        <v>石塊</v>
      </c>
      <c r="S211">
        <f t="shared" si="43"/>
        <v>1</v>
      </c>
    </row>
    <row r="212" spans="9:19">
      <c r="I212" s="68" t="s">
        <v>1375</v>
      </c>
      <c r="J212" t="s">
        <v>1736</v>
      </c>
      <c r="K212">
        <v>1</v>
      </c>
      <c r="L212">
        <v>1</v>
      </c>
      <c r="M212" t="s">
        <v>1737</v>
      </c>
      <c r="N212">
        <v>1</v>
      </c>
      <c r="O212" t="str">
        <f>IF(J212="","",VLOOKUP(J212,道具表!B:C,2,FALSE))</f>
        <v>ソールメダル(5)</v>
      </c>
      <c r="P212">
        <f t="shared" si="41"/>
        <v>1</v>
      </c>
      <c r="Q212">
        <f t="shared" si="42"/>
        <v>1</v>
      </c>
      <c r="R212" t="str">
        <f>IF(M212="","",VLOOKUP(M212,道具表!B:C,2,FALSE))</f>
        <v>石塊</v>
      </c>
      <c r="S212">
        <f t="shared" si="43"/>
        <v>1</v>
      </c>
    </row>
    <row r="213" spans="9:19">
      <c r="J213" t="s">
        <v>1278</v>
      </c>
      <c r="K213" t="s">
        <v>1278</v>
      </c>
      <c r="L213">
        <v>0.3</v>
      </c>
      <c r="M213" t="s">
        <v>1505</v>
      </c>
      <c r="N213">
        <v>1</v>
      </c>
      <c r="O213" t="str">
        <f>IF(J213="","",VLOOKUP(J213,道具表!B:C,2,FALSE))</f>
        <v/>
      </c>
      <c r="P213" t="str">
        <f t="shared" si="41"/>
        <v/>
      </c>
      <c r="Q213">
        <f t="shared" si="42"/>
        <v>0.3</v>
      </c>
      <c r="R213" t="str">
        <f>IF(M213="","",VLOOKUP(M213,道具表!B:C,2,FALSE))</f>
        <v>82年物の蜂蜜酒</v>
      </c>
      <c r="S213">
        <f t="shared" si="43"/>
        <v>1</v>
      </c>
    </row>
    <row r="214" spans="9:19">
      <c r="J214" t="s">
        <v>1278</v>
      </c>
      <c r="K214" t="s">
        <v>1278</v>
      </c>
      <c r="L214">
        <v>0.5</v>
      </c>
      <c r="M214" t="s">
        <v>1737</v>
      </c>
      <c r="N214">
        <v>1</v>
      </c>
      <c r="O214" t="str">
        <f>IF(J214="","",VLOOKUP(J214,道具表!B:C,2,FALSE))</f>
        <v/>
      </c>
      <c r="P214" t="str">
        <f t="shared" si="41"/>
        <v/>
      </c>
      <c r="Q214">
        <f t="shared" si="42"/>
        <v>0.5</v>
      </c>
      <c r="R214" t="str">
        <f>IF(M214="","",VLOOKUP(M214,道具表!B:C,2,FALSE))</f>
        <v>石塊</v>
      </c>
      <c r="S214">
        <f t="shared" si="43"/>
        <v>1</v>
      </c>
    </row>
    <row r="215" spans="9:19">
      <c r="I215" s="68" t="s">
        <v>1376</v>
      </c>
      <c r="J215" t="s">
        <v>1736</v>
      </c>
      <c r="K215">
        <v>1</v>
      </c>
      <c r="L215">
        <v>1</v>
      </c>
      <c r="M215" t="s">
        <v>1737</v>
      </c>
      <c r="N215">
        <v>1</v>
      </c>
      <c r="O215" t="str">
        <f>IF(J215="","",VLOOKUP(J215,道具表!B:C,2,FALSE))</f>
        <v>ソールメダル(5)</v>
      </c>
      <c r="P215">
        <f t="shared" si="41"/>
        <v>1</v>
      </c>
      <c r="Q215">
        <f t="shared" si="42"/>
        <v>1</v>
      </c>
      <c r="R215" t="str">
        <f>IF(M215="","",VLOOKUP(M215,道具表!B:C,2,FALSE))</f>
        <v>石塊</v>
      </c>
      <c r="S215">
        <f t="shared" si="43"/>
        <v>1</v>
      </c>
    </row>
    <row r="216" spans="9:19">
      <c r="J216" t="s">
        <v>1278</v>
      </c>
      <c r="K216" t="s">
        <v>1278</v>
      </c>
      <c r="L216">
        <v>0.3</v>
      </c>
      <c r="M216" t="s">
        <v>1505</v>
      </c>
      <c r="N216">
        <v>1</v>
      </c>
      <c r="O216" t="str">
        <f>IF(J216="","",VLOOKUP(J216,道具表!B:C,2,FALSE))</f>
        <v/>
      </c>
      <c r="P216" t="str">
        <f t="shared" si="41"/>
        <v/>
      </c>
      <c r="Q216">
        <f t="shared" si="42"/>
        <v>0.3</v>
      </c>
      <c r="R216" t="str">
        <f>IF(M216="","",VLOOKUP(M216,道具表!B:C,2,FALSE))</f>
        <v>82年物の蜂蜜酒</v>
      </c>
      <c r="S216">
        <f t="shared" si="43"/>
        <v>1</v>
      </c>
    </row>
    <row r="217" spans="9:19">
      <c r="J217" t="s">
        <v>1278</v>
      </c>
      <c r="K217" t="s">
        <v>1278</v>
      </c>
      <c r="L217">
        <v>0.5</v>
      </c>
      <c r="M217" t="s">
        <v>1737</v>
      </c>
      <c r="N217">
        <v>1</v>
      </c>
      <c r="O217" t="str">
        <f>IF(J217="","",VLOOKUP(J217,道具表!B:C,2,FALSE))</f>
        <v/>
      </c>
      <c r="P217" t="str">
        <f t="shared" si="41"/>
        <v/>
      </c>
      <c r="Q217">
        <f t="shared" si="42"/>
        <v>0.5</v>
      </c>
      <c r="R217" t="str">
        <f>IF(M217="","",VLOOKUP(M217,道具表!B:C,2,FALSE))</f>
        <v>石塊</v>
      </c>
      <c r="S217">
        <f t="shared" si="43"/>
        <v>1</v>
      </c>
    </row>
    <row r="218" spans="9:19">
      <c r="I218" s="68" t="s">
        <v>1377</v>
      </c>
      <c r="J218" t="s">
        <v>1736</v>
      </c>
      <c r="K218">
        <v>1</v>
      </c>
      <c r="L218">
        <v>1</v>
      </c>
      <c r="M218" t="s">
        <v>1504</v>
      </c>
      <c r="N218">
        <v>5</v>
      </c>
      <c r="O218" t="str">
        <f>IF(J218="","",VLOOKUP(J218,道具表!B:C,2,FALSE))</f>
        <v>ソールメダル(5)</v>
      </c>
      <c r="P218">
        <f t="shared" si="41"/>
        <v>1</v>
      </c>
      <c r="Q218">
        <f t="shared" si="42"/>
        <v>1</v>
      </c>
      <c r="R218" t="str">
        <f>IF(M218="","",VLOOKUP(M218,道具表!B:C,2,FALSE))</f>
        <v>宿命の果実</v>
      </c>
      <c r="S218">
        <f t="shared" si="43"/>
        <v>5</v>
      </c>
    </row>
    <row r="219" spans="9:19">
      <c r="I219" s="68" t="s">
        <v>1378</v>
      </c>
      <c r="J219" t="s">
        <v>1736</v>
      </c>
      <c r="K219">
        <v>1</v>
      </c>
      <c r="L219">
        <v>0.75</v>
      </c>
      <c r="M219" t="s">
        <v>1742</v>
      </c>
      <c r="N219">
        <v>1</v>
      </c>
      <c r="O219" t="str">
        <f>IF(J219="","",VLOOKUP(J219,道具表!B:C,2,FALSE))</f>
        <v>ソールメダル(5)</v>
      </c>
      <c r="P219">
        <f t="shared" si="41"/>
        <v>1</v>
      </c>
      <c r="Q219">
        <f t="shared" si="42"/>
        <v>0.75</v>
      </c>
      <c r="R219" t="str">
        <f>IF(M219="","",VLOOKUP(M219,道具表!B:C,2,FALSE))</f>
        <v>銅鉱</v>
      </c>
      <c r="S219">
        <f t="shared" si="43"/>
        <v>1</v>
      </c>
    </row>
    <row r="220" spans="9:19">
      <c r="I220" s="68" t="s">
        <v>1379</v>
      </c>
      <c r="J220" t="s">
        <v>1736</v>
      </c>
      <c r="K220">
        <v>1</v>
      </c>
      <c r="L220">
        <v>0.2</v>
      </c>
      <c r="M220" t="s">
        <v>2277</v>
      </c>
      <c r="N220">
        <v>1</v>
      </c>
      <c r="O220" t="str">
        <f>IF(J220="","",VLOOKUP(J220,道具表!B:C,2,FALSE))</f>
        <v>ソールメダル(5)</v>
      </c>
      <c r="P220">
        <f t="shared" si="41"/>
        <v>1</v>
      </c>
      <c r="Q220">
        <f t="shared" si="42"/>
        <v>0.2</v>
      </c>
      <c r="R220" t="str">
        <f>IF(M220="","",VLOOKUP(M220,道具表!B:C,2,FALSE))</f>
        <v>精巧な槌の設計図</v>
      </c>
      <c r="S220">
        <f t="shared" si="43"/>
        <v>1</v>
      </c>
    </row>
    <row r="221" spans="9:19">
      <c r="O221" t="str">
        <f>IF(J221="","",VLOOKUP(J221,道具表!B:C,2,FALSE))</f>
        <v/>
      </c>
      <c r="P221" t="str">
        <f t="shared" si="41"/>
        <v/>
      </c>
      <c r="Q221" t="str">
        <f t="shared" si="42"/>
        <v/>
      </c>
      <c r="R221" t="str">
        <f>IF(M221="","",VLOOKUP(M221,道具表!B:C,2,FALSE))</f>
        <v/>
      </c>
      <c r="S221" t="str">
        <f t="shared" si="43"/>
        <v/>
      </c>
    </row>
    <row r="222" spans="9:19">
      <c r="I222" s="68" t="s">
        <v>1380</v>
      </c>
      <c r="J222" t="s">
        <v>1736</v>
      </c>
      <c r="K222">
        <v>1</v>
      </c>
      <c r="L222">
        <v>1</v>
      </c>
      <c r="M222" t="s">
        <v>1737</v>
      </c>
      <c r="N222">
        <v>1</v>
      </c>
      <c r="O222" t="str">
        <f>IF(J222="","",VLOOKUP(J222,道具表!B:C,2,FALSE))</f>
        <v>ソールメダル(5)</v>
      </c>
      <c r="P222">
        <f t="shared" si="41"/>
        <v>1</v>
      </c>
      <c r="Q222">
        <f t="shared" si="42"/>
        <v>1</v>
      </c>
      <c r="R222" t="str">
        <f>IF(M222="","",VLOOKUP(M222,道具表!B:C,2,FALSE))</f>
        <v>石塊</v>
      </c>
      <c r="S222">
        <f t="shared" si="43"/>
        <v>1</v>
      </c>
    </row>
    <row r="223" spans="9:19">
      <c r="J223" t="s">
        <v>1278</v>
      </c>
      <c r="K223" t="s">
        <v>1278</v>
      </c>
      <c r="L223">
        <v>0.3</v>
      </c>
      <c r="M223" t="s">
        <v>1738</v>
      </c>
      <c r="N223">
        <v>1</v>
      </c>
      <c r="O223" t="str">
        <f>IF(J223="","",VLOOKUP(J223,道具表!B:C,2,FALSE))</f>
        <v/>
      </c>
      <c r="P223" t="str">
        <f t="shared" si="41"/>
        <v/>
      </c>
      <c r="Q223">
        <f t="shared" si="42"/>
        <v>0.3</v>
      </c>
      <c r="R223" t="str">
        <f>IF(M223="","",VLOOKUP(M223,道具表!B:C,2,FALSE))</f>
        <v>気品ある花束</v>
      </c>
      <c r="S223">
        <f t="shared" si="43"/>
        <v>1</v>
      </c>
    </row>
    <row r="224" spans="9:19">
      <c r="J224" t="s">
        <v>1278</v>
      </c>
      <c r="K224" t="s">
        <v>1278</v>
      </c>
      <c r="L224">
        <v>0.5</v>
      </c>
      <c r="M224" t="s">
        <v>1737</v>
      </c>
      <c r="N224">
        <v>1</v>
      </c>
      <c r="O224" t="str">
        <f>IF(J224="","",VLOOKUP(J224,道具表!B:C,2,FALSE))</f>
        <v/>
      </c>
      <c r="P224" t="str">
        <f t="shared" si="41"/>
        <v/>
      </c>
      <c r="Q224">
        <f t="shared" si="42"/>
        <v>0.5</v>
      </c>
      <c r="R224" t="str">
        <f>IF(M224="","",VLOOKUP(M224,道具表!B:C,2,FALSE))</f>
        <v>石塊</v>
      </c>
      <c r="S224">
        <f t="shared" si="43"/>
        <v>1</v>
      </c>
    </row>
    <row r="225" spans="9:19">
      <c r="I225" s="68" t="s">
        <v>1381</v>
      </c>
      <c r="J225" t="s">
        <v>1736</v>
      </c>
      <c r="K225">
        <v>1</v>
      </c>
      <c r="L225">
        <v>1</v>
      </c>
      <c r="M225" t="s">
        <v>1737</v>
      </c>
      <c r="N225">
        <v>1</v>
      </c>
      <c r="O225" t="str">
        <f>IF(J225="","",VLOOKUP(J225,道具表!B:C,2,FALSE))</f>
        <v>ソールメダル(5)</v>
      </c>
      <c r="P225">
        <f t="shared" si="41"/>
        <v>1</v>
      </c>
      <c r="Q225">
        <f t="shared" si="42"/>
        <v>1</v>
      </c>
      <c r="R225" t="str">
        <f>IF(M225="","",VLOOKUP(M225,道具表!B:C,2,FALSE))</f>
        <v>石塊</v>
      </c>
      <c r="S225">
        <f t="shared" si="43"/>
        <v>1</v>
      </c>
    </row>
    <row r="226" spans="9:19">
      <c r="J226" t="s">
        <v>1278</v>
      </c>
      <c r="K226" t="s">
        <v>1278</v>
      </c>
      <c r="L226">
        <v>0.3</v>
      </c>
      <c r="M226" t="s">
        <v>1738</v>
      </c>
      <c r="N226">
        <v>1</v>
      </c>
      <c r="O226" t="str">
        <f>IF(J226="","",VLOOKUP(J226,道具表!B:C,2,FALSE))</f>
        <v/>
      </c>
      <c r="P226" t="str">
        <f t="shared" si="41"/>
        <v/>
      </c>
      <c r="Q226">
        <f t="shared" si="42"/>
        <v>0.3</v>
      </c>
      <c r="R226" t="str">
        <f>IF(M226="","",VLOOKUP(M226,道具表!B:C,2,FALSE))</f>
        <v>気品ある花束</v>
      </c>
      <c r="S226">
        <f t="shared" si="43"/>
        <v>1</v>
      </c>
    </row>
    <row r="227" spans="9:19">
      <c r="J227" t="s">
        <v>1278</v>
      </c>
      <c r="K227" t="s">
        <v>1278</v>
      </c>
      <c r="L227">
        <v>0.5</v>
      </c>
      <c r="M227" t="s">
        <v>1737</v>
      </c>
      <c r="N227">
        <v>1</v>
      </c>
      <c r="O227" t="str">
        <f>IF(J227="","",VLOOKUP(J227,道具表!B:C,2,FALSE))</f>
        <v/>
      </c>
      <c r="P227" t="str">
        <f t="shared" si="41"/>
        <v/>
      </c>
      <c r="Q227">
        <f t="shared" si="42"/>
        <v>0.5</v>
      </c>
      <c r="R227" t="str">
        <f>IF(M227="","",VLOOKUP(M227,道具表!B:C,2,FALSE))</f>
        <v>石塊</v>
      </c>
      <c r="S227">
        <f t="shared" si="43"/>
        <v>1</v>
      </c>
    </row>
    <row r="228" spans="9:19">
      <c r="I228" s="68" t="s">
        <v>1382</v>
      </c>
      <c r="J228" t="s">
        <v>1736</v>
      </c>
      <c r="K228">
        <v>1</v>
      </c>
      <c r="L228">
        <v>1</v>
      </c>
      <c r="M228" t="s">
        <v>1737</v>
      </c>
      <c r="N228">
        <v>1</v>
      </c>
      <c r="O228" t="str">
        <f>IF(J228="","",VLOOKUP(J228,道具表!B:C,2,FALSE))</f>
        <v>ソールメダル(5)</v>
      </c>
      <c r="P228">
        <f t="shared" si="41"/>
        <v>1</v>
      </c>
      <c r="Q228">
        <f t="shared" si="42"/>
        <v>1</v>
      </c>
      <c r="R228" t="str">
        <f>IF(M228="","",VLOOKUP(M228,道具表!B:C,2,FALSE))</f>
        <v>石塊</v>
      </c>
      <c r="S228">
        <f t="shared" si="43"/>
        <v>1</v>
      </c>
    </row>
    <row r="229" spans="9:19">
      <c r="J229" t="s">
        <v>1278</v>
      </c>
      <c r="K229" t="s">
        <v>1278</v>
      </c>
      <c r="L229">
        <v>0.3</v>
      </c>
      <c r="M229" t="s">
        <v>1505</v>
      </c>
      <c r="N229">
        <v>1</v>
      </c>
      <c r="O229" t="str">
        <f>IF(J229="","",VLOOKUP(J229,道具表!B:C,2,FALSE))</f>
        <v/>
      </c>
      <c r="P229" t="str">
        <f t="shared" si="41"/>
        <v/>
      </c>
      <c r="Q229">
        <f t="shared" si="42"/>
        <v>0.3</v>
      </c>
      <c r="R229" t="str">
        <f>IF(M229="","",VLOOKUP(M229,道具表!B:C,2,FALSE))</f>
        <v>82年物の蜂蜜酒</v>
      </c>
      <c r="S229">
        <f t="shared" si="43"/>
        <v>1</v>
      </c>
    </row>
    <row r="230" spans="9:19">
      <c r="J230" t="s">
        <v>1278</v>
      </c>
      <c r="K230" t="s">
        <v>1278</v>
      </c>
      <c r="L230">
        <v>0.5</v>
      </c>
      <c r="M230" t="s">
        <v>1737</v>
      </c>
      <c r="N230">
        <v>1</v>
      </c>
      <c r="O230" t="str">
        <f>IF(J230="","",VLOOKUP(J230,道具表!B:C,2,FALSE))</f>
        <v/>
      </c>
      <c r="P230" t="str">
        <f t="shared" si="41"/>
        <v/>
      </c>
      <c r="Q230">
        <f t="shared" si="42"/>
        <v>0.5</v>
      </c>
      <c r="R230" t="str">
        <f>IF(M230="","",VLOOKUP(M230,道具表!B:C,2,FALSE))</f>
        <v>石塊</v>
      </c>
      <c r="S230">
        <f t="shared" si="43"/>
        <v>1</v>
      </c>
    </row>
    <row r="231" spans="9:19">
      <c r="I231" s="68" t="s">
        <v>1383</v>
      </c>
      <c r="J231" t="s">
        <v>1736</v>
      </c>
      <c r="K231">
        <v>1</v>
      </c>
      <c r="L231">
        <v>1</v>
      </c>
      <c r="M231" t="s">
        <v>1737</v>
      </c>
      <c r="N231">
        <v>1</v>
      </c>
      <c r="O231" t="str">
        <f>IF(J231="","",VLOOKUP(J231,道具表!B:C,2,FALSE))</f>
        <v>ソールメダル(5)</v>
      </c>
      <c r="P231">
        <f t="shared" ref="P231:P294" si="44">IF(K231="","",K231)</f>
        <v>1</v>
      </c>
      <c r="Q231">
        <f t="shared" ref="Q231:Q294" si="45">IF(L231="","",L231)</f>
        <v>1</v>
      </c>
      <c r="R231" t="str">
        <f>IF(M231="","",VLOOKUP(M231,道具表!B:C,2,FALSE))</f>
        <v>石塊</v>
      </c>
      <c r="S231">
        <f t="shared" ref="S231:S294" si="46">IF(N231="","",N231)</f>
        <v>1</v>
      </c>
    </row>
    <row r="232" spans="9:19">
      <c r="J232" t="s">
        <v>1278</v>
      </c>
      <c r="K232" t="s">
        <v>1278</v>
      </c>
      <c r="L232">
        <v>0.3</v>
      </c>
      <c r="M232" t="s">
        <v>1505</v>
      </c>
      <c r="N232">
        <v>1</v>
      </c>
      <c r="O232" t="str">
        <f>IF(J232="","",VLOOKUP(J232,道具表!B:C,2,FALSE))</f>
        <v/>
      </c>
      <c r="P232" t="str">
        <f t="shared" si="44"/>
        <v/>
      </c>
      <c r="Q232">
        <f t="shared" si="45"/>
        <v>0.3</v>
      </c>
      <c r="R232" t="str">
        <f>IF(M232="","",VLOOKUP(M232,道具表!B:C,2,FALSE))</f>
        <v>82年物の蜂蜜酒</v>
      </c>
      <c r="S232">
        <f t="shared" si="46"/>
        <v>1</v>
      </c>
    </row>
    <row r="233" spans="9:19">
      <c r="J233" t="s">
        <v>1278</v>
      </c>
      <c r="K233" t="s">
        <v>1278</v>
      </c>
      <c r="L233">
        <v>0.5</v>
      </c>
      <c r="M233" t="s">
        <v>1737</v>
      </c>
      <c r="N233">
        <v>1</v>
      </c>
      <c r="O233" t="str">
        <f>IF(J233="","",VLOOKUP(J233,道具表!B:C,2,FALSE))</f>
        <v/>
      </c>
      <c r="P233" t="str">
        <f t="shared" si="44"/>
        <v/>
      </c>
      <c r="Q233">
        <f t="shared" si="45"/>
        <v>0.5</v>
      </c>
      <c r="R233" t="str">
        <f>IF(M233="","",VLOOKUP(M233,道具表!B:C,2,FALSE))</f>
        <v>石塊</v>
      </c>
      <c r="S233">
        <f t="shared" si="46"/>
        <v>1</v>
      </c>
    </row>
    <row r="234" spans="9:19">
      <c r="I234" s="68" t="s">
        <v>1384</v>
      </c>
      <c r="J234" t="s">
        <v>1736</v>
      </c>
      <c r="K234">
        <v>1</v>
      </c>
      <c r="L234">
        <v>1</v>
      </c>
      <c r="M234" t="s">
        <v>1504</v>
      </c>
      <c r="N234">
        <v>5</v>
      </c>
      <c r="O234" t="str">
        <f>IF(J234="","",VLOOKUP(J234,道具表!B:C,2,FALSE))</f>
        <v>ソールメダル(5)</v>
      </c>
      <c r="P234">
        <f t="shared" si="44"/>
        <v>1</v>
      </c>
      <c r="Q234">
        <f t="shared" si="45"/>
        <v>1</v>
      </c>
      <c r="R234" t="str">
        <f>IF(M234="","",VLOOKUP(M234,道具表!B:C,2,FALSE))</f>
        <v>宿命の果実</v>
      </c>
      <c r="S234">
        <f t="shared" si="46"/>
        <v>5</v>
      </c>
    </row>
    <row r="235" spans="9:19">
      <c r="I235" s="68" t="s">
        <v>1385</v>
      </c>
      <c r="J235" t="s">
        <v>1736</v>
      </c>
      <c r="K235">
        <v>1</v>
      </c>
      <c r="L235">
        <v>0.75</v>
      </c>
      <c r="M235" t="s">
        <v>1742</v>
      </c>
      <c r="N235">
        <v>1</v>
      </c>
      <c r="O235" t="str">
        <f>IF(J235="","",VLOOKUP(J235,道具表!B:C,2,FALSE))</f>
        <v>ソールメダル(5)</v>
      </c>
      <c r="P235">
        <f t="shared" si="44"/>
        <v>1</v>
      </c>
      <c r="Q235">
        <f t="shared" si="45"/>
        <v>0.75</v>
      </c>
      <c r="R235" t="str">
        <f>IF(M235="","",VLOOKUP(M235,道具表!B:C,2,FALSE))</f>
        <v>銅鉱</v>
      </c>
      <c r="S235">
        <f t="shared" si="46"/>
        <v>1</v>
      </c>
    </row>
    <row r="236" spans="9:19">
      <c r="I236" s="68" t="s">
        <v>1386</v>
      </c>
      <c r="J236" t="s">
        <v>1736</v>
      </c>
      <c r="K236">
        <v>1</v>
      </c>
      <c r="L236">
        <v>0.2</v>
      </c>
      <c r="M236" t="s">
        <v>2278</v>
      </c>
      <c r="N236">
        <v>1</v>
      </c>
      <c r="O236" t="str">
        <f>IF(J236="","",VLOOKUP(J236,道具表!B:C,2,FALSE))</f>
        <v>ソールメダル(5)</v>
      </c>
      <c r="P236">
        <f t="shared" si="44"/>
        <v>1</v>
      </c>
      <c r="Q236">
        <f t="shared" si="45"/>
        <v>0.2</v>
      </c>
      <c r="R236" t="str">
        <f>IF(M236="","",VLOOKUP(M236,道具表!B:C,2,FALSE))</f>
        <v>精巧な拘束具の設計図</v>
      </c>
      <c r="S236">
        <f t="shared" si="46"/>
        <v>1</v>
      </c>
    </row>
    <row r="237" spans="9:19">
      <c r="O237" t="str">
        <f>IF(J237="","",VLOOKUP(J237,道具表!B:C,2,FALSE))</f>
        <v/>
      </c>
      <c r="P237" t="str">
        <f t="shared" si="44"/>
        <v/>
      </c>
      <c r="Q237" t="str">
        <f t="shared" si="45"/>
        <v/>
      </c>
      <c r="R237" t="str">
        <f>IF(M237="","",VLOOKUP(M237,道具表!B:C,2,FALSE))</f>
        <v/>
      </c>
      <c r="S237" t="str">
        <f t="shared" si="46"/>
        <v/>
      </c>
    </row>
    <row r="238" spans="9:19">
      <c r="I238" s="68" t="s">
        <v>1387</v>
      </c>
      <c r="J238" t="s">
        <v>1736</v>
      </c>
      <c r="K238">
        <v>1</v>
      </c>
      <c r="L238">
        <v>1</v>
      </c>
      <c r="M238" t="s">
        <v>1737</v>
      </c>
      <c r="N238">
        <v>1</v>
      </c>
      <c r="O238" t="str">
        <f>IF(J238="","",VLOOKUP(J238,道具表!B:C,2,FALSE))</f>
        <v>ソールメダル(5)</v>
      </c>
      <c r="P238">
        <f t="shared" si="44"/>
        <v>1</v>
      </c>
      <c r="Q238">
        <f t="shared" si="45"/>
        <v>1</v>
      </c>
      <c r="R238" t="str">
        <f>IF(M238="","",VLOOKUP(M238,道具表!B:C,2,FALSE))</f>
        <v>石塊</v>
      </c>
      <c r="S238">
        <f t="shared" si="46"/>
        <v>1</v>
      </c>
    </row>
    <row r="239" spans="9:19">
      <c r="J239" t="s">
        <v>1278</v>
      </c>
      <c r="K239" t="s">
        <v>1278</v>
      </c>
      <c r="L239">
        <v>0.3</v>
      </c>
      <c r="M239" t="s">
        <v>1738</v>
      </c>
      <c r="N239">
        <v>1</v>
      </c>
      <c r="O239" t="str">
        <f>IF(J239="","",VLOOKUP(J239,道具表!B:C,2,FALSE))</f>
        <v/>
      </c>
      <c r="P239" t="str">
        <f t="shared" si="44"/>
        <v/>
      </c>
      <c r="Q239">
        <f t="shared" si="45"/>
        <v>0.3</v>
      </c>
      <c r="R239" t="str">
        <f>IF(M239="","",VLOOKUP(M239,道具表!B:C,2,FALSE))</f>
        <v>気品ある花束</v>
      </c>
      <c r="S239">
        <f t="shared" si="46"/>
        <v>1</v>
      </c>
    </row>
    <row r="240" spans="9:19">
      <c r="J240" t="s">
        <v>1278</v>
      </c>
      <c r="K240" t="s">
        <v>1278</v>
      </c>
      <c r="L240">
        <v>0.5</v>
      </c>
      <c r="M240" t="s">
        <v>1737</v>
      </c>
      <c r="N240">
        <v>1</v>
      </c>
      <c r="O240" t="str">
        <f>IF(J240="","",VLOOKUP(J240,道具表!B:C,2,FALSE))</f>
        <v/>
      </c>
      <c r="P240" t="str">
        <f t="shared" si="44"/>
        <v/>
      </c>
      <c r="Q240">
        <f t="shared" si="45"/>
        <v>0.5</v>
      </c>
      <c r="R240" t="str">
        <f>IF(M240="","",VLOOKUP(M240,道具表!B:C,2,FALSE))</f>
        <v>石塊</v>
      </c>
      <c r="S240">
        <f t="shared" si="46"/>
        <v>1</v>
      </c>
    </row>
    <row r="241" spans="9:19">
      <c r="I241" s="68" t="s">
        <v>1388</v>
      </c>
      <c r="J241" t="s">
        <v>1736</v>
      </c>
      <c r="K241">
        <v>1</v>
      </c>
      <c r="L241">
        <v>1</v>
      </c>
      <c r="M241" t="s">
        <v>1737</v>
      </c>
      <c r="N241">
        <v>1</v>
      </c>
      <c r="O241" t="str">
        <f>IF(J241="","",VLOOKUP(J241,道具表!B:C,2,FALSE))</f>
        <v>ソールメダル(5)</v>
      </c>
      <c r="P241">
        <f t="shared" si="44"/>
        <v>1</v>
      </c>
      <c r="Q241">
        <f t="shared" si="45"/>
        <v>1</v>
      </c>
      <c r="R241" t="str">
        <f>IF(M241="","",VLOOKUP(M241,道具表!B:C,2,FALSE))</f>
        <v>石塊</v>
      </c>
      <c r="S241">
        <f t="shared" si="46"/>
        <v>1</v>
      </c>
    </row>
    <row r="242" spans="9:19">
      <c r="J242" t="s">
        <v>1278</v>
      </c>
      <c r="K242" t="s">
        <v>1278</v>
      </c>
      <c r="L242">
        <v>0.3</v>
      </c>
      <c r="M242" t="s">
        <v>1738</v>
      </c>
      <c r="N242">
        <v>1</v>
      </c>
      <c r="O242" t="str">
        <f>IF(J242="","",VLOOKUP(J242,道具表!B:C,2,FALSE))</f>
        <v/>
      </c>
      <c r="P242" t="str">
        <f t="shared" si="44"/>
        <v/>
      </c>
      <c r="Q242">
        <f t="shared" si="45"/>
        <v>0.3</v>
      </c>
      <c r="R242" t="str">
        <f>IF(M242="","",VLOOKUP(M242,道具表!B:C,2,FALSE))</f>
        <v>気品ある花束</v>
      </c>
      <c r="S242">
        <f t="shared" si="46"/>
        <v>1</v>
      </c>
    </row>
    <row r="243" spans="9:19">
      <c r="J243" t="s">
        <v>1278</v>
      </c>
      <c r="K243" t="s">
        <v>1278</v>
      </c>
      <c r="L243">
        <v>0.5</v>
      </c>
      <c r="M243" t="s">
        <v>1737</v>
      </c>
      <c r="N243">
        <v>1</v>
      </c>
      <c r="O243" t="str">
        <f>IF(J243="","",VLOOKUP(J243,道具表!B:C,2,FALSE))</f>
        <v/>
      </c>
      <c r="P243" t="str">
        <f t="shared" si="44"/>
        <v/>
      </c>
      <c r="Q243">
        <f t="shared" si="45"/>
        <v>0.5</v>
      </c>
      <c r="R243" t="str">
        <f>IF(M243="","",VLOOKUP(M243,道具表!B:C,2,FALSE))</f>
        <v>石塊</v>
      </c>
      <c r="S243">
        <f t="shared" si="46"/>
        <v>1</v>
      </c>
    </row>
    <row r="244" spans="9:19">
      <c r="I244" s="68" t="s">
        <v>1389</v>
      </c>
      <c r="J244" t="s">
        <v>1736</v>
      </c>
      <c r="K244">
        <v>1</v>
      </c>
      <c r="L244">
        <v>1</v>
      </c>
      <c r="M244" t="s">
        <v>1737</v>
      </c>
      <c r="N244">
        <v>1</v>
      </c>
      <c r="O244" t="str">
        <f>IF(J244="","",VLOOKUP(J244,道具表!B:C,2,FALSE))</f>
        <v>ソールメダル(5)</v>
      </c>
      <c r="P244">
        <f t="shared" si="44"/>
        <v>1</v>
      </c>
      <c r="Q244">
        <f t="shared" si="45"/>
        <v>1</v>
      </c>
      <c r="R244" t="str">
        <f>IF(M244="","",VLOOKUP(M244,道具表!B:C,2,FALSE))</f>
        <v>石塊</v>
      </c>
      <c r="S244">
        <f t="shared" si="46"/>
        <v>1</v>
      </c>
    </row>
    <row r="245" spans="9:19">
      <c r="J245" t="s">
        <v>1278</v>
      </c>
      <c r="K245" t="s">
        <v>1278</v>
      </c>
      <c r="L245">
        <v>0.3</v>
      </c>
      <c r="M245" t="s">
        <v>1505</v>
      </c>
      <c r="N245">
        <v>1</v>
      </c>
      <c r="O245" t="str">
        <f>IF(J245="","",VLOOKUP(J245,道具表!B:C,2,FALSE))</f>
        <v/>
      </c>
      <c r="P245" t="str">
        <f t="shared" si="44"/>
        <v/>
      </c>
      <c r="Q245">
        <f t="shared" si="45"/>
        <v>0.3</v>
      </c>
      <c r="R245" t="str">
        <f>IF(M245="","",VLOOKUP(M245,道具表!B:C,2,FALSE))</f>
        <v>82年物の蜂蜜酒</v>
      </c>
      <c r="S245">
        <f t="shared" si="46"/>
        <v>1</v>
      </c>
    </row>
    <row r="246" spans="9:19">
      <c r="J246" t="s">
        <v>1278</v>
      </c>
      <c r="K246" t="s">
        <v>1278</v>
      </c>
      <c r="L246">
        <v>0.5</v>
      </c>
      <c r="M246" t="s">
        <v>1737</v>
      </c>
      <c r="N246">
        <v>1</v>
      </c>
      <c r="O246" t="str">
        <f>IF(J246="","",VLOOKUP(J246,道具表!B:C,2,FALSE))</f>
        <v/>
      </c>
      <c r="P246" t="str">
        <f t="shared" si="44"/>
        <v/>
      </c>
      <c r="Q246">
        <f t="shared" si="45"/>
        <v>0.5</v>
      </c>
      <c r="R246" t="str">
        <f>IF(M246="","",VLOOKUP(M246,道具表!B:C,2,FALSE))</f>
        <v>石塊</v>
      </c>
      <c r="S246">
        <f t="shared" si="46"/>
        <v>1</v>
      </c>
    </row>
    <row r="247" spans="9:19">
      <c r="I247" s="68" t="s">
        <v>1390</v>
      </c>
      <c r="J247" t="s">
        <v>1736</v>
      </c>
      <c r="K247">
        <v>1</v>
      </c>
      <c r="L247">
        <v>1</v>
      </c>
      <c r="M247" t="s">
        <v>1737</v>
      </c>
      <c r="N247">
        <v>1</v>
      </c>
      <c r="O247" t="str">
        <f>IF(J247="","",VLOOKUP(J247,道具表!B:C,2,FALSE))</f>
        <v>ソールメダル(5)</v>
      </c>
      <c r="P247">
        <f t="shared" si="44"/>
        <v>1</v>
      </c>
      <c r="Q247">
        <f t="shared" si="45"/>
        <v>1</v>
      </c>
      <c r="R247" t="str">
        <f>IF(M247="","",VLOOKUP(M247,道具表!B:C,2,FALSE))</f>
        <v>石塊</v>
      </c>
      <c r="S247">
        <f t="shared" si="46"/>
        <v>1</v>
      </c>
    </row>
    <row r="248" spans="9:19">
      <c r="J248" t="s">
        <v>1278</v>
      </c>
      <c r="K248" t="s">
        <v>1278</v>
      </c>
      <c r="L248">
        <v>0.3</v>
      </c>
      <c r="M248" t="s">
        <v>1505</v>
      </c>
      <c r="N248">
        <v>1</v>
      </c>
      <c r="O248" t="str">
        <f>IF(J248="","",VLOOKUP(J248,道具表!B:C,2,FALSE))</f>
        <v/>
      </c>
      <c r="P248" t="str">
        <f t="shared" si="44"/>
        <v/>
      </c>
      <c r="Q248">
        <f t="shared" si="45"/>
        <v>0.3</v>
      </c>
      <c r="R248" t="str">
        <f>IF(M248="","",VLOOKUP(M248,道具表!B:C,2,FALSE))</f>
        <v>82年物の蜂蜜酒</v>
      </c>
      <c r="S248">
        <f t="shared" si="46"/>
        <v>1</v>
      </c>
    </row>
    <row r="249" spans="9:19">
      <c r="J249" t="s">
        <v>1278</v>
      </c>
      <c r="K249" t="s">
        <v>1278</v>
      </c>
      <c r="L249">
        <v>0.5</v>
      </c>
      <c r="M249" t="s">
        <v>1737</v>
      </c>
      <c r="N249">
        <v>1</v>
      </c>
      <c r="O249" t="str">
        <f>IF(J249="","",VLOOKUP(J249,道具表!B:C,2,FALSE))</f>
        <v/>
      </c>
      <c r="P249" t="str">
        <f t="shared" si="44"/>
        <v/>
      </c>
      <c r="Q249">
        <f t="shared" si="45"/>
        <v>0.5</v>
      </c>
      <c r="R249" t="str">
        <f>IF(M249="","",VLOOKUP(M249,道具表!B:C,2,FALSE))</f>
        <v>石塊</v>
      </c>
      <c r="S249">
        <f t="shared" si="46"/>
        <v>1</v>
      </c>
    </row>
    <row r="250" spans="9:19">
      <c r="I250" s="68" t="s">
        <v>1391</v>
      </c>
      <c r="J250" t="s">
        <v>1736</v>
      </c>
      <c r="K250">
        <v>1</v>
      </c>
      <c r="L250">
        <v>1</v>
      </c>
      <c r="M250" t="s">
        <v>1504</v>
      </c>
      <c r="N250">
        <v>5</v>
      </c>
      <c r="O250" t="str">
        <f>IF(J250="","",VLOOKUP(J250,道具表!B:C,2,FALSE))</f>
        <v>ソールメダル(5)</v>
      </c>
      <c r="P250">
        <f t="shared" si="44"/>
        <v>1</v>
      </c>
      <c r="Q250">
        <f t="shared" si="45"/>
        <v>1</v>
      </c>
      <c r="R250" t="str">
        <f>IF(M250="","",VLOOKUP(M250,道具表!B:C,2,FALSE))</f>
        <v>宿命の果実</v>
      </c>
      <c r="S250">
        <f t="shared" si="46"/>
        <v>5</v>
      </c>
    </row>
    <row r="251" spans="9:19">
      <c r="I251" s="68" t="s">
        <v>1392</v>
      </c>
      <c r="J251" t="s">
        <v>1736</v>
      </c>
      <c r="K251">
        <v>1</v>
      </c>
      <c r="L251">
        <v>0.75</v>
      </c>
      <c r="M251" t="s">
        <v>1742</v>
      </c>
      <c r="N251">
        <v>1</v>
      </c>
      <c r="O251" t="str">
        <f>IF(J251="","",VLOOKUP(J251,道具表!B:C,2,FALSE))</f>
        <v>ソールメダル(5)</v>
      </c>
      <c r="P251">
        <f t="shared" si="44"/>
        <v>1</v>
      </c>
      <c r="Q251">
        <f t="shared" si="45"/>
        <v>0.75</v>
      </c>
      <c r="R251" t="str">
        <f>IF(M251="","",VLOOKUP(M251,道具表!B:C,2,FALSE))</f>
        <v>銅鉱</v>
      </c>
      <c r="S251">
        <f t="shared" si="46"/>
        <v>1</v>
      </c>
    </row>
    <row r="252" spans="9:19">
      <c r="I252" s="68" t="s">
        <v>1393</v>
      </c>
      <c r="J252" t="s">
        <v>1736</v>
      </c>
      <c r="K252">
        <v>1</v>
      </c>
      <c r="L252">
        <v>0.2</v>
      </c>
      <c r="M252" t="s">
        <v>2279</v>
      </c>
      <c r="N252">
        <v>1</v>
      </c>
      <c r="O252" t="str">
        <f>IF(J252="","",VLOOKUP(J252,道具表!B:C,2,FALSE))</f>
        <v>ソールメダル(5)</v>
      </c>
      <c r="P252">
        <f t="shared" si="44"/>
        <v>1</v>
      </c>
      <c r="Q252">
        <f t="shared" si="45"/>
        <v>0.2</v>
      </c>
      <c r="R252" t="str">
        <f>IF(M252="","",VLOOKUP(M252,道具表!B:C,2,FALSE))</f>
        <v>混合した血肉</v>
      </c>
      <c r="S252">
        <f t="shared" si="46"/>
        <v>1</v>
      </c>
    </row>
    <row r="253" spans="9:19">
      <c r="O253" t="str">
        <f>IF(J253="","",VLOOKUP(J253,道具表!B:C,2,FALSE))</f>
        <v/>
      </c>
      <c r="P253" t="str">
        <f t="shared" si="44"/>
        <v/>
      </c>
      <c r="Q253" t="str">
        <f t="shared" si="45"/>
        <v/>
      </c>
      <c r="R253" t="str">
        <f>IF(M253="","",VLOOKUP(M253,道具表!B:C,2,FALSE))</f>
        <v/>
      </c>
      <c r="S253" t="str">
        <f t="shared" si="46"/>
        <v/>
      </c>
    </row>
    <row r="254" spans="9:19">
      <c r="I254" s="68" t="s">
        <v>1394</v>
      </c>
      <c r="J254" t="s">
        <v>1736</v>
      </c>
      <c r="K254">
        <v>1</v>
      </c>
      <c r="L254">
        <v>1</v>
      </c>
      <c r="M254" t="s">
        <v>1737</v>
      </c>
      <c r="N254">
        <v>1</v>
      </c>
      <c r="O254" t="str">
        <f>IF(J254="","",VLOOKUP(J254,道具表!B:C,2,FALSE))</f>
        <v>ソールメダル(5)</v>
      </c>
      <c r="P254">
        <f t="shared" si="44"/>
        <v>1</v>
      </c>
      <c r="Q254">
        <f t="shared" si="45"/>
        <v>1</v>
      </c>
      <c r="R254" t="str">
        <f>IF(M254="","",VLOOKUP(M254,道具表!B:C,2,FALSE))</f>
        <v>石塊</v>
      </c>
      <c r="S254">
        <f t="shared" si="46"/>
        <v>1</v>
      </c>
    </row>
    <row r="255" spans="9:19">
      <c r="J255" t="s">
        <v>1278</v>
      </c>
      <c r="K255" t="s">
        <v>1278</v>
      </c>
      <c r="L255">
        <v>0.3</v>
      </c>
      <c r="M255" t="s">
        <v>1738</v>
      </c>
      <c r="N255">
        <v>1</v>
      </c>
      <c r="O255" t="str">
        <f>IF(J255="","",VLOOKUP(J255,道具表!B:C,2,FALSE))</f>
        <v/>
      </c>
      <c r="P255" t="str">
        <f t="shared" si="44"/>
        <v/>
      </c>
      <c r="Q255">
        <f t="shared" si="45"/>
        <v>0.3</v>
      </c>
      <c r="R255" t="str">
        <f>IF(M255="","",VLOOKUP(M255,道具表!B:C,2,FALSE))</f>
        <v>気品ある花束</v>
      </c>
      <c r="S255">
        <f t="shared" si="46"/>
        <v>1</v>
      </c>
    </row>
    <row r="256" spans="9:19">
      <c r="J256" t="s">
        <v>1278</v>
      </c>
      <c r="K256" t="s">
        <v>1278</v>
      </c>
      <c r="L256">
        <v>0.5</v>
      </c>
      <c r="M256" t="s">
        <v>1737</v>
      </c>
      <c r="N256">
        <v>1</v>
      </c>
      <c r="O256" t="str">
        <f>IF(J256="","",VLOOKUP(J256,道具表!B:C,2,FALSE))</f>
        <v/>
      </c>
      <c r="P256" t="str">
        <f t="shared" si="44"/>
        <v/>
      </c>
      <c r="Q256">
        <f t="shared" si="45"/>
        <v>0.5</v>
      </c>
      <c r="R256" t="str">
        <f>IF(M256="","",VLOOKUP(M256,道具表!B:C,2,FALSE))</f>
        <v>石塊</v>
      </c>
      <c r="S256">
        <f t="shared" si="46"/>
        <v>1</v>
      </c>
    </row>
    <row r="257" spans="9:19">
      <c r="I257" s="68" t="s">
        <v>1395</v>
      </c>
      <c r="J257" t="s">
        <v>1736</v>
      </c>
      <c r="K257">
        <v>1</v>
      </c>
      <c r="L257">
        <v>1</v>
      </c>
      <c r="M257" t="s">
        <v>1737</v>
      </c>
      <c r="N257">
        <v>1</v>
      </c>
      <c r="O257" t="str">
        <f>IF(J257="","",VLOOKUP(J257,道具表!B:C,2,FALSE))</f>
        <v>ソールメダル(5)</v>
      </c>
      <c r="P257">
        <f t="shared" si="44"/>
        <v>1</v>
      </c>
      <c r="Q257">
        <f t="shared" si="45"/>
        <v>1</v>
      </c>
      <c r="R257" t="str">
        <f>IF(M257="","",VLOOKUP(M257,道具表!B:C,2,FALSE))</f>
        <v>石塊</v>
      </c>
      <c r="S257">
        <f t="shared" si="46"/>
        <v>1</v>
      </c>
    </row>
    <row r="258" spans="9:19">
      <c r="J258" t="s">
        <v>1278</v>
      </c>
      <c r="K258" t="s">
        <v>1278</v>
      </c>
      <c r="L258">
        <v>0.3</v>
      </c>
      <c r="M258" t="s">
        <v>1738</v>
      </c>
      <c r="N258">
        <v>1</v>
      </c>
      <c r="O258" t="str">
        <f>IF(J258="","",VLOOKUP(J258,道具表!B:C,2,FALSE))</f>
        <v/>
      </c>
      <c r="P258" t="str">
        <f t="shared" si="44"/>
        <v/>
      </c>
      <c r="Q258">
        <f t="shared" si="45"/>
        <v>0.3</v>
      </c>
      <c r="R258" t="str">
        <f>IF(M258="","",VLOOKUP(M258,道具表!B:C,2,FALSE))</f>
        <v>気品ある花束</v>
      </c>
      <c r="S258">
        <f t="shared" si="46"/>
        <v>1</v>
      </c>
    </row>
    <row r="259" spans="9:19">
      <c r="J259" t="s">
        <v>1278</v>
      </c>
      <c r="K259" t="s">
        <v>1278</v>
      </c>
      <c r="L259">
        <v>0.5</v>
      </c>
      <c r="M259" t="s">
        <v>1737</v>
      </c>
      <c r="N259">
        <v>1</v>
      </c>
      <c r="O259" t="str">
        <f>IF(J259="","",VLOOKUP(J259,道具表!B:C,2,FALSE))</f>
        <v/>
      </c>
      <c r="P259" t="str">
        <f t="shared" si="44"/>
        <v/>
      </c>
      <c r="Q259">
        <f t="shared" si="45"/>
        <v>0.5</v>
      </c>
      <c r="R259" t="str">
        <f>IF(M259="","",VLOOKUP(M259,道具表!B:C,2,FALSE))</f>
        <v>石塊</v>
      </c>
      <c r="S259">
        <f t="shared" si="46"/>
        <v>1</v>
      </c>
    </row>
    <row r="260" spans="9:19">
      <c r="I260" s="68" t="s">
        <v>1396</v>
      </c>
      <c r="J260" t="s">
        <v>1736</v>
      </c>
      <c r="K260">
        <v>1</v>
      </c>
      <c r="L260">
        <v>1</v>
      </c>
      <c r="M260" t="s">
        <v>1737</v>
      </c>
      <c r="N260">
        <v>1</v>
      </c>
      <c r="O260" t="str">
        <f>IF(J260="","",VLOOKUP(J260,道具表!B:C,2,FALSE))</f>
        <v>ソールメダル(5)</v>
      </c>
      <c r="P260">
        <f t="shared" si="44"/>
        <v>1</v>
      </c>
      <c r="Q260">
        <f t="shared" si="45"/>
        <v>1</v>
      </c>
      <c r="R260" t="str">
        <f>IF(M260="","",VLOOKUP(M260,道具表!B:C,2,FALSE))</f>
        <v>石塊</v>
      </c>
      <c r="S260">
        <f t="shared" si="46"/>
        <v>1</v>
      </c>
    </row>
    <row r="261" spans="9:19">
      <c r="J261" t="s">
        <v>1278</v>
      </c>
      <c r="K261" t="s">
        <v>1278</v>
      </c>
      <c r="L261">
        <v>0.3</v>
      </c>
      <c r="M261" t="s">
        <v>1505</v>
      </c>
      <c r="N261">
        <v>1</v>
      </c>
      <c r="O261" t="str">
        <f>IF(J261="","",VLOOKUP(J261,道具表!B:C,2,FALSE))</f>
        <v/>
      </c>
      <c r="P261" t="str">
        <f t="shared" si="44"/>
        <v/>
      </c>
      <c r="Q261">
        <f t="shared" si="45"/>
        <v>0.3</v>
      </c>
      <c r="R261" t="str">
        <f>IF(M261="","",VLOOKUP(M261,道具表!B:C,2,FALSE))</f>
        <v>82年物の蜂蜜酒</v>
      </c>
      <c r="S261">
        <f t="shared" si="46"/>
        <v>1</v>
      </c>
    </row>
    <row r="262" spans="9:19">
      <c r="J262" t="s">
        <v>1278</v>
      </c>
      <c r="K262" t="s">
        <v>1278</v>
      </c>
      <c r="L262">
        <v>0.5</v>
      </c>
      <c r="M262" t="s">
        <v>1737</v>
      </c>
      <c r="N262">
        <v>1</v>
      </c>
      <c r="O262" t="str">
        <f>IF(J262="","",VLOOKUP(J262,道具表!B:C,2,FALSE))</f>
        <v/>
      </c>
      <c r="P262" t="str">
        <f t="shared" si="44"/>
        <v/>
      </c>
      <c r="Q262">
        <f t="shared" si="45"/>
        <v>0.5</v>
      </c>
      <c r="R262" t="str">
        <f>IF(M262="","",VLOOKUP(M262,道具表!B:C,2,FALSE))</f>
        <v>石塊</v>
      </c>
      <c r="S262">
        <f t="shared" si="46"/>
        <v>1</v>
      </c>
    </row>
    <row r="263" spans="9:19">
      <c r="I263" s="68" t="s">
        <v>1397</v>
      </c>
      <c r="J263" t="s">
        <v>1736</v>
      </c>
      <c r="K263">
        <v>1</v>
      </c>
      <c r="L263">
        <v>1</v>
      </c>
      <c r="M263" t="s">
        <v>1737</v>
      </c>
      <c r="N263">
        <v>1</v>
      </c>
      <c r="O263" t="str">
        <f>IF(J263="","",VLOOKUP(J263,道具表!B:C,2,FALSE))</f>
        <v>ソールメダル(5)</v>
      </c>
      <c r="P263">
        <f t="shared" si="44"/>
        <v>1</v>
      </c>
      <c r="Q263">
        <f t="shared" si="45"/>
        <v>1</v>
      </c>
      <c r="R263" t="str">
        <f>IF(M263="","",VLOOKUP(M263,道具表!B:C,2,FALSE))</f>
        <v>石塊</v>
      </c>
      <c r="S263">
        <f t="shared" si="46"/>
        <v>1</v>
      </c>
    </row>
    <row r="264" spans="9:19">
      <c r="J264" t="s">
        <v>1278</v>
      </c>
      <c r="K264" t="s">
        <v>1278</v>
      </c>
      <c r="L264">
        <v>0.3</v>
      </c>
      <c r="M264" t="s">
        <v>1505</v>
      </c>
      <c r="N264">
        <v>1</v>
      </c>
      <c r="O264" t="str">
        <f>IF(J264="","",VLOOKUP(J264,道具表!B:C,2,FALSE))</f>
        <v/>
      </c>
      <c r="P264" t="str">
        <f t="shared" si="44"/>
        <v/>
      </c>
      <c r="Q264">
        <f t="shared" si="45"/>
        <v>0.3</v>
      </c>
      <c r="R264" t="str">
        <f>IF(M264="","",VLOOKUP(M264,道具表!B:C,2,FALSE))</f>
        <v>82年物の蜂蜜酒</v>
      </c>
      <c r="S264">
        <f t="shared" si="46"/>
        <v>1</v>
      </c>
    </row>
    <row r="265" spans="9:19">
      <c r="J265" t="s">
        <v>1278</v>
      </c>
      <c r="K265" t="s">
        <v>1278</v>
      </c>
      <c r="L265">
        <v>0.5</v>
      </c>
      <c r="M265" t="s">
        <v>1737</v>
      </c>
      <c r="N265">
        <v>1</v>
      </c>
      <c r="O265" t="str">
        <f>IF(J265="","",VLOOKUP(J265,道具表!B:C,2,FALSE))</f>
        <v/>
      </c>
      <c r="P265" t="str">
        <f t="shared" si="44"/>
        <v/>
      </c>
      <c r="Q265">
        <f t="shared" si="45"/>
        <v>0.5</v>
      </c>
      <c r="R265" t="str">
        <f>IF(M265="","",VLOOKUP(M265,道具表!B:C,2,FALSE))</f>
        <v>石塊</v>
      </c>
      <c r="S265">
        <f t="shared" si="46"/>
        <v>1</v>
      </c>
    </row>
    <row r="266" spans="9:19">
      <c r="I266" s="68" t="s">
        <v>1398</v>
      </c>
      <c r="J266" t="s">
        <v>1736</v>
      </c>
      <c r="K266">
        <v>1</v>
      </c>
      <c r="L266">
        <v>1</v>
      </c>
      <c r="M266" t="s">
        <v>1504</v>
      </c>
      <c r="N266">
        <v>5</v>
      </c>
      <c r="O266" t="str">
        <f>IF(J266="","",VLOOKUP(J266,道具表!B:C,2,FALSE))</f>
        <v>ソールメダル(5)</v>
      </c>
      <c r="P266">
        <f t="shared" si="44"/>
        <v>1</v>
      </c>
      <c r="Q266">
        <f t="shared" si="45"/>
        <v>1</v>
      </c>
      <c r="R266" t="str">
        <f>IF(M266="","",VLOOKUP(M266,道具表!B:C,2,FALSE))</f>
        <v>宿命の果実</v>
      </c>
      <c r="S266">
        <f t="shared" si="46"/>
        <v>5</v>
      </c>
    </row>
    <row r="267" spans="9:19">
      <c r="I267" s="68" t="s">
        <v>1399</v>
      </c>
      <c r="J267" t="s">
        <v>1736</v>
      </c>
      <c r="K267">
        <v>1</v>
      </c>
      <c r="L267">
        <v>0.75</v>
      </c>
      <c r="M267" t="s">
        <v>1742</v>
      </c>
      <c r="N267">
        <v>1</v>
      </c>
      <c r="O267" t="str">
        <f>IF(J267="","",VLOOKUP(J267,道具表!B:C,2,FALSE))</f>
        <v>ソールメダル(5)</v>
      </c>
      <c r="P267">
        <f t="shared" si="44"/>
        <v>1</v>
      </c>
      <c r="Q267">
        <f t="shared" si="45"/>
        <v>0.75</v>
      </c>
      <c r="R267" t="str">
        <f>IF(M267="","",VLOOKUP(M267,道具表!B:C,2,FALSE))</f>
        <v>銅鉱</v>
      </c>
      <c r="S267">
        <f t="shared" si="46"/>
        <v>1</v>
      </c>
    </row>
    <row r="268" spans="9:19">
      <c r="I268" s="68" t="s">
        <v>1400</v>
      </c>
      <c r="J268" t="s">
        <v>1736</v>
      </c>
      <c r="K268">
        <v>1</v>
      </c>
      <c r="L268">
        <v>0.2</v>
      </c>
      <c r="M268" t="s">
        <v>2280</v>
      </c>
      <c r="N268">
        <v>1</v>
      </c>
      <c r="O268" t="str">
        <f>IF(J268="","",VLOOKUP(J268,道具表!B:C,2,FALSE))</f>
        <v>ソールメダル(5)</v>
      </c>
      <c r="P268">
        <f t="shared" si="44"/>
        <v>1</v>
      </c>
      <c r="Q268">
        <f t="shared" si="45"/>
        <v>0.2</v>
      </c>
      <c r="R268" t="str">
        <f>IF(M268="","",VLOOKUP(M268,道具表!B:C,2,FALSE))</f>
        <v>死者の灰塵</v>
      </c>
      <c r="S268">
        <f t="shared" si="46"/>
        <v>1</v>
      </c>
    </row>
    <row r="269" spans="9:19">
      <c r="O269" t="str">
        <f>IF(J269="","",VLOOKUP(J269,道具表!B:C,2,FALSE))</f>
        <v/>
      </c>
      <c r="P269" t="str">
        <f t="shared" si="44"/>
        <v/>
      </c>
      <c r="Q269" t="str">
        <f t="shared" si="45"/>
        <v/>
      </c>
      <c r="R269" t="str">
        <f>IF(M269="","",VLOOKUP(M269,道具表!B:C,2,FALSE))</f>
        <v/>
      </c>
      <c r="S269" t="str">
        <f t="shared" si="46"/>
        <v/>
      </c>
    </row>
    <row r="270" spans="9:19">
      <c r="I270" s="68" t="s">
        <v>1401</v>
      </c>
      <c r="J270" t="s">
        <v>1736</v>
      </c>
      <c r="K270">
        <v>1</v>
      </c>
      <c r="L270">
        <v>1</v>
      </c>
      <c r="M270" t="s">
        <v>1737</v>
      </c>
      <c r="N270">
        <v>1</v>
      </c>
      <c r="O270" t="str">
        <f>IF(J270="","",VLOOKUP(J270,道具表!B:C,2,FALSE))</f>
        <v>ソールメダル(5)</v>
      </c>
      <c r="P270">
        <f t="shared" si="44"/>
        <v>1</v>
      </c>
      <c r="Q270">
        <f t="shared" si="45"/>
        <v>1</v>
      </c>
      <c r="R270" t="str">
        <f>IF(M270="","",VLOOKUP(M270,道具表!B:C,2,FALSE))</f>
        <v>石塊</v>
      </c>
      <c r="S270">
        <f t="shared" si="46"/>
        <v>1</v>
      </c>
    </row>
    <row r="271" spans="9:19">
      <c r="J271" t="s">
        <v>1278</v>
      </c>
      <c r="K271" t="s">
        <v>1278</v>
      </c>
      <c r="L271">
        <v>0.3</v>
      </c>
      <c r="M271" t="s">
        <v>1738</v>
      </c>
      <c r="N271">
        <v>1</v>
      </c>
      <c r="O271" t="str">
        <f>IF(J271="","",VLOOKUP(J271,道具表!B:C,2,FALSE))</f>
        <v/>
      </c>
      <c r="P271" t="str">
        <f t="shared" si="44"/>
        <v/>
      </c>
      <c r="Q271">
        <f t="shared" si="45"/>
        <v>0.3</v>
      </c>
      <c r="R271" t="str">
        <f>IF(M271="","",VLOOKUP(M271,道具表!B:C,2,FALSE))</f>
        <v>気品ある花束</v>
      </c>
      <c r="S271">
        <f t="shared" si="46"/>
        <v>1</v>
      </c>
    </row>
    <row r="272" spans="9:19">
      <c r="J272" t="s">
        <v>1278</v>
      </c>
      <c r="K272" t="s">
        <v>1278</v>
      </c>
      <c r="L272">
        <v>0.5</v>
      </c>
      <c r="M272" t="s">
        <v>1737</v>
      </c>
      <c r="N272">
        <v>1</v>
      </c>
      <c r="O272" t="str">
        <f>IF(J272="","",VLOOKUP(J272,道具表!B:C,2,FALSE))</f>
        <v/>
      </c>
      <c r="P272" t="str">
        <f t="shared" si="44"/>
        <v/>
      </c>
      <c r="Q272">
        <f t="shared" si="45"/>
        <v>0.5</v>
      </c>
      <c r="R272" t="str">
        <f>IF(M272="","",VLOOKUP(M272,道具表!B:C,2,FALSE))</f>
        <v>石塊</v>
      </c>
      <c r="S272">
        <f t="shared" si="46"/>
        <v>1</v>
      </c>
    </row>
    <row r="273" spans="9:19">
      <c r="I273" s="68" t="s">
        <v>1402</v>
      </c>
      <c r="J273" t="s">
        <v>1736</v>
      </c>
      <c r="K273">
        <v>1</v>
      </c>
      <c r="L273">
        <v>1</v>
      </c>
      <c r="M273" t="s">
        <v>1737</v>
      </c>
      <c r="N273">
        <v>1</v>
      </c>
      <c r="O273" t="str">
        <f>IF(J273="","",VLOOKUP(J273,道具表!B:C,2,FALSE))</f>
        <v>ソールメダル(5)</v>
      </c>
      <c r="P273">
        <f t="shared" si="44"/>
        <v>1</v>
      </c>
      <c r="Q273">
        <f t="shared" si="45"/>
        <v>1</v>
      </c>
      <c r="R273" t="str">
        <f>IF(M273="","",VLOOKUP(M273,道具表!B:C,2,FALSE))</f>
        <v>石塊</v>
      </c>
      <c r="S273">
        <f t="shared" si="46"/>
        <v>1</v>
      </c>
    </row>
    <row r="274" spans="9:19">
      <c r="J274" t="s">
        <v>1278</v>
      </c>
      <c r="K274" t="s">
        <v>1278</v>
      </c>
      <c r="L274">
        <v>0.3</v>
      </c>
      <c r="M274" t="s">
        <v>1738</v>
      </c>
      <c r="N274">
        <v>1</v>
      </c>
      <c r="O274" t="str">
        <f>IF(J274="","",VLOOKUP(J274,道具表!B:C,2,FALSE))</f>
        <v/>
      </c>
      <c r="P274" t="str">
        <f t="shared" si="44"/>
        <v/>
      </c>
      <c r="Q274">
        <f t="shared" si="45"/>
        <v>0.3</v>
      </c>
      <c r="R274" t="str">
        <f>IF(M274="","",VLOOKUP(M274,道具表!B:C,2,FALSE))</f>
        <v>気品ある花束</v>
      </c>
      <c r="S274">
        <f t="shared" si="46"/>
        <v>1</v>
      </c>
    </row>
    <row r="275" spans="9:19">
      <c r="J275" t="s">
        <v>1278</v>
      </c>
      <c r="K275" t="s">
        <v>1278</v>
      </c>
      <c r="L275">
        <v>0.5</v>
      </c>
      <c r="M275" t="s">
        <v>1737</v>
      </c>
      <c r="N275">
        <v>1</v>
      </c>
      <c r="O275" t="str">
        <f>IF(J275="","",VLOOKUP(J275,道具表!B:C,2,FALSE))</f>
        <v/>
      </c>
      <c r="P275" t="str">
        <f t="shared" si="44"/>
        <v/>
      </c>
      <c r="Q275">
        <f t="shared" si="45"/>
        <v>0.5</v>
      </c>
      <c r="R275" t="str">
        <f>IF(M275="","",VLOOKUP(M275,道具表!B:C,2,FALSE))</f>
        <v>石塊</v>
      </c>
      <c r="S275">
        <f t="shared" si="46"/>
        <v>1</v>
      </c>
    </row>
    <row r="276" spans="9:19">
      <c r="I276" s="68" t="s">
        <v>1403</v>
      </c>
      <c r="J276" t="s">
        <v>1736</v>
      </c>
      <c r="K276">
        <v>1</v>
      </c>
      <c r="L276">
        <v>1</v>
      </c>
      <c r="M276" t="s">
        <v>1737</v>
      </c>
      <c r="N276">
        <v>1</v>
      </c>
      <c r="O276" t="str">
        <f>IF(J276="","",VLOOKUP(J276,道具表!B:C,2,FALSE))</f>
        <v>ソールメダル(5)</v>
      </c>
      <c r="P276">
        <f t="shared" si="44"/>
        <v>1</v>
      </c>
      <c r="Q276">
        <f t="shared" si="45"/>
        <v>1</v>
      </c>
      <c r="R276" t="str">
        <f>IF(M276="","",VLOOKUP(M276,道具表!B:C,2,FALSE))</f>
        <v>石塊</v>
      </c>
      <c r="S276">
        <f t="shared" si="46"/>
        <v>1</v>
      </c>
    </row>
    <row r="277" spans="9:19">
      <c r="J277" t="s">
        <v>1278</v>
      </c>
      <c r="K277" t="s">
        <v>1278</v>
      </c>
      <c r="L277">
        <v>0.3</v>
      </c>
      <c r="M277" t="s">
        <v>1505</v>
      </c>
      <c r="N277">
        <v>1</v>
      </c>
      <c r="O277" t="str">
        <f>IF(J277="","",VLOOKUP(J277,道具表!B:C,2,FALSE))</f>
        <v/>
      </c>
      <c r="P277" t="str">
        <f t="shared" si="44"/>
        <v/>
      </c>
      <c r="Q277">
        <f t="shared" si="45"/>
        <v>0.3</v>
      </c>
      <c r="R277" t="str">
        <f>IF(M277="","",VLOOKUP(M277,道具表!B:C,2,FALSE))</f>
        <v>82年物の蜂蜜酒</v>
      </c>
      <c r="S277">
        <f t="shared" si="46"/>
        <v>1</v>
      </c>
    </row>
    <row r="278" spans="9:19">
      <c r="J278" t="s">
        <v>1278</v>
      </c>
      <c r="K278" t="s">
        <v>1278</v>
      </c>
      <c r="L278">
        <v>0.5</v>
      </c>
      <c r="M278" t="s">
        <v>1737</v>
      </c>
      <c r="N278">
        <v>1</v>
      </c>
      <c r="O278" t="str">
        <f>IF(J278="","",VLOOKUP(J278,道具表!B:C,2,FALSE))</f>
        <v/>
      </c>
      <c r="P278" t="str">
        <f t="shared" si="44"/>
        <v/>
      </c>
      <c r="Q278">
        <f t="shared" si="45"/>
        <v>0.5</v>
      </c>
      <c r="R278" t="str">
        <f>IF(M278="","",VLOOKUP(M278,道具表!B:C,2,FALSE))</f>
        <v>石塊</v>
      </c>
      <c r="S278">
        <f t="shared" si="46"/>
        <v>1</v>
      </c>
    </row>
    <row r="279" spans="9:19">
      <c r="I279" s="68" t="s">
        <v>1404</v>
      </c>
      <c r="J279" t="s">
        <v>1736</v>
      </c>
      <c r="K279">
        <v>1</v>
      </c>
      <c r="L279">
        <v>1</v>
      </c>
      <c r="M279" t="s">
        <v>1737</v>
      </c>
      <c r="N279">
        <v>1</v>
      </c>
      <c r="O279" t="str">
        <f>IF(J279="","",VLOOKUP(J279,道具表!B:C,2,FALSE))</f>
        <v>ソールメダル(5)</v>
      </c>
      <c r="P279">
        <f t="shared" si="44"/>
        <v>1</v>
      </c>
      <c r="Q279">
        <f t="shared" si="45"/>
        <v>1</v>
      </c>
      <c r="R279" t="str">
        <f>IF(M279="","",VLOOKUP(M279,道具表!B:C,2,FALSE))</f>
        <v>石塊</v>
      </c>
      <c r="S279">
        <f t="shared" si="46"/>
        <v>1</v>
      </c>
    </row>
    <row r="280" spans="9:19">
      <c r="J280" t="s">
        <v>1278</v>
      </c>
      <c r="K280" t="s">
        <v>1278</v>
      </c>
      <c r="L280">
        <v>0.3</v>
      </c>
      <c r="M280" t="s">
        <v>1505</v>
      </c>
      <c r="N280">
        <v>1</v>
      </c>
      <c r="O280" t="str">
        <f>IF(J280="","",VLOOKUP(J280,道具表!B:C,2,FALSE))</f>
        <v/>
      </c>
      <c r="P280" t="str">
        <f t="shared" si="44"/>
        <v/>
      </c>
      <c r="Q280">
        <f t="shared" si="45"/>
        <v>0.3</v>
      </c>
      <c r="R280" t="str">
        <f>IF(M280="","",VLOOKUP(M280,道具表!B:C,2,FALSE))</f>
        <v>82年物の蜂蜜酒</v>
      </c>
      <c r="S280">
        <f t="shared" si="46"/>
        <v>1</v>
      </c>
    </row>
    <row r="281" spans="9:19">
      <c r="J281" t="s">
        <v>1278</v>
      </c>
      <c r="K281" t="s">
        <v>1278</v>
      </c>
      <c r="L281">
        <v>0.5</v>
      </c>
      <c r="M281" t="s">
        <v>1737</v>
      </c>
      <c r="N281">
        <v>1</v>
      </c>
      <c r="O281" t="str">
        <f>IF(J281="","",VLOOKUP(J281,道具表!B:C,2,FALSE))</f>
        <v/>
      </c>
      <c r="P281" t="str">
        <f t="shared" si="44"/>
        <v/>
      </c>
      <c r="Q281">
        <f t="shared" si="45"/>
        <v>0.5</v>
      </c>
      <c r="R281" t="str">
        <f>IF(M281="","",VLOOKUP(M281,道具表!B:C,2,FALSE))</f>
        <v>石塊</v>
      </c>
      <c r="S281">
        <f t="shared" si="46"/>
        <v>1</v>
      </c>
    </row>
    <row r="282" spans="9:19">
      <c r="I282" s="68" t="s">
        <v>1405</v>
      </c>
      <c r="J282" t="s">
        <v>1736</v>
      </c>
      <c r="K282">
        <v>1</v>
      </c>
      <c r="L282">
        <v>1</v>
      </c>
      <c r="M282" t="s">
        <v>1504</v>
      </c>
      <c r="N282">
        <v>5</v>
      </c>
      <c r="O282" t="str">
        <f>IF(J282="","",VLOOKUP(J282,道具表!B:C,2,FALSE))</f>
        <v>ソールメダル(5)</v>
      </c>
      <c r="P282">
        <f t="shared" si="44"/>
        <v>1</v>
      </c>
      <c r="Q282">
        <f t="shared" si="45"/>
        <v>1</v>
      </c>
      <c r="R282" t="str">
        <f>IF(M282="","",VLOOKUP(M282,道具表!B:C,2,FALSE))</f>
        <v>宿命の果実</v>
      </c>
      <c r="S282">
        <f t="shared" si="46"/>
        <v>5</v>
      </c>
    </row>
    <row r="283" spans="9:19">
      <c r="I283" s="68" t="s">
        <v>1406</v>
      </c>
      <c r="J283" t="s">
        <v>1736</v>
      </c>
      <c r="K283">
        <v>1</v>
      </c>
      <c r="L283">
        <v>0.75</v>
      </c>
      <c r="M283" t="s">
        <v>1742</v>
      </c>
      <c r="N283">
        <v>1</v>
      </c>
      <c r="O283" t="str">
        <f>IF(J283="","",VLOOKUP(J283,道具表!B:C,2,FALSE))</f>
        <v>ソールメダル(5)</v>
      </c>
      <c r="P283">
        <f t="shared" si="44"/>
        <v>1</v>
      </c>
      <c r="Q283">
        <f t="shared" si="45"/>
        <v>0.75</v>
      </c>
      <c r="R283" t="str">
        <f>IF(M283="","",VLOOKUP(M283,道具表!B:C,2,FALSE))</f>
        <v>銅鉱</v>
      </c>
      <c r="S283">
        <f t="shared" si="46"/>
        <v>1</v>
      </c>
    </row>
    <row r="284" spans="9:19">
      <c r="I284" s="68" t="s">
        <v>1407</v>
      </c>
      <c r="J284" t="s">
        <v>1736</v>
      </c>
      <c r="K284">
        <v>1</v>
      </c>
      <c r="L284">
        <v>0.2</v>
      </c>
      <c r="M284" t="s">
        <v>2281</v>
      </c>
      <c r="N284">
        <v>1</v>
      </c>
      <c r="O284" t="str">
        <f>IF(J284="","",VLOOKUP(J284,道具表!B:C,2,FALSE))</f>
        <v>ソールメダル(5)</v>
      </c>
      <c r="P284">
        <f t="shared" si="44"/>
        <v>1</v>
      </c>
      <c r="Q284">
        <f t="shared" si="45"/>
        <v>0.2</v>
      </c>
      <c r="R284" t="str">
        <f>IF(M284="","",VLOOKUP(M284,道具表!B:C,2,FALSE))</f>
        <v>不死鳥の翼</v>
      </c>
      <c r="S284">
        <f t="shared" si="46"/>
        <v>1</v>
      </c>
    </row>
    <row r="285" spans="9:19">
      <c r="O285" t="str">
        <f>IF(J285="","",VLOOKUP(J285,道具表!B:C,2,FALSE))</f>
        <v/>
      </c>
      <c r="P285" t="str">
        <f t="shared" si="44"/>
        <v/>
      </c>
      <c r="Q285" t="str">
        <f t="shared" si="45"/>
        <v/>
      </c>
      <c r="R285" t="str">
        <f>IF(M285="","",VLOOKUP(M285,道具表!B:C,2,FALSE))</f>
        <v/>
      </c>
      <c r="S285" t="str">
        <f t="shared" si="46"/>
        <v/>
      </c>
    </row>
    <row r="286" spans="9:19">
      <c r="I286" s="68" t="s">
        <v>1408</v>
      </c>
      <c r="J286" t="s">
        <v>1736</v>
      </c>
      <c r="K286">
        <v>1</v>
      </c>
      <c r="L286">
        <v>1</v>
      </c>
      <c r="M286" t="s">
        <v>1737</v>
      </c>
      <c r="N286">
        <v>1</v>
      </c>
      <c r="O286" t="str">
        <f>IF(J286="","",VLOOKUP(J286,道具表!B:C,2,FALSE))</f>
        <v>ソールメダル(5)</v>
      </c>
      <c r="P286">
        <f t="shared" si="44"/>
        <v>1</v>
      </c>
      <c r="Q286">
        <f t="shared" si="45"/>
        <v>1</v>
      </c>
      <c r="R286" t="str">
        <f>IF(M286="","",VLOOKUP(M286,道具表!B:C,2,FALSE))</f>
        <v>石塊</v>
      </c>
      <c r="S286">
        <f t="shared" si="46"/>
        <v>1</v>
      </c>
    </row>
    <row r="287" spans="9:19">
      <c r="J287" t="s">
        <v>1278</v>
      </c>
      <c r="K287" t="s">
        <v>1278</v>
      </c>
      <c r="L287">
        <v>0.3</v>
      </c>
      <c r="M287" t="s">
        <v>1738</v>
      </c>
      <c r="N287">
        <v>1</v>
      </c>
      <c r="O287" t="str">
        <f>IF(J287="","",VLOOKUP(J287,道具表!B:C,2,FALSE))</f>
        <v/>
      </c>
      <c r="P287" t="str">
        <f t="shared" si="44"/>
        <v/>
      </c>
      <c r="Q287">
        <f t="shared" si="45"/>
        <v>0.3</v>
      </c>
      <c r="R287" t="str">
        <f>IF(M287="","",VLOOKUP(M287,道具表!B:C,2,FALSE))</f>
        <v>気品ある花束</v>
      </c>
      <c r="S287">
        <f t="shared" si="46"/>
        <v>1</v>
      </c>
    </row>
    <row r="288" spans="9:19">
      <c r="J288" t="s">
        <v>1278</v>
      </c>
      <c r="K288" t="s">
        <v>1278</v>
      </c>
      <c r="L288">
        <v>0.5</v>
      </c>
      <c r="M288" t="s">
        <v>1737</v>
      </c>
      <c r="N288">
        <v>1</v>
      </c>
      <c r="O288" t="str">
        <f>IF(J288="","",VLOOKUP(J288,道具表!B:C,2,FALSE))</f>
        <v/>
      </c>
      <c r="P288" t="str">
        <f t="shared" si="44"/>
        <v/>
      </c>
      <c r="Q288">
        <f t="shared" si="45"/>
        <v>0.5</v>
      </c>
      <c r="R288" t="str">
        <f>IF(M288="","",VLOOKUP(M288,道具表!B:C,2,FALSE))</f>
        <v>石塊</v>
      </c>
      <c r="S288">
        <f t="shared" si="46"/>
        <v>1</v>
      </c>
    </row>
    <row r="289" spans="9:19">
      <c r="I289" s="68" t="s">
        <v>1409</v>
      </c>
      <c r="J289" t="s">
        <v>1736</v>
      </c>
      <c r="K289">
        <v>1</v>
      </c>
      <c r="L289">
        <v>1</v>
      </c>
      <c r="M289" t="s">
        <v>1737</v>
      </c>
      <c r="N289">
        <v>1</v>
      </c>
      <c r="O289" t="str">
        <f>IF(J289="","",VLOOKUP(J289,道具表!B:C,2,FALSE))</f>
        <v>ソールメダル(5)</v>
      </c>
      <c r="P289">
        <f t="shared" si="44"/>
        <v>1</v>
      </c>
      <c r="Q289">
        <f t="shared" si="45"/>
        <v>1</v>
      </c>
      <c r="R289" t="str">
        <f>IF(M289="","",VLOOKUP(M289,道具表!B:C,2,FALSE))</f>
        <v>石塊</v>
      </c>
      <c r="S289">
        <f t="shared" si="46"/>
        <v>1</v>
      </c>
    </row>
    <row r="290" spans="9:19">
      <c r="J290" t="s">
        <v>1278</v>
      </c>
      <c r="K290" t="s">
        <v>1278</v>
      </c>
      <c r="L290">
        <v>0.3</v>
      </c>
      <c r="M290" t="s">
        <v>1738</v>
      </c>
      <c r="N290">
        <v>1</v>
      </c>
      <c r="O290" t="str">
        <f>IF(J290="","",VLOOKUP(J290,道具表!B:C,2,FALSE))</f>
        <v/>
      </c>
      <c r="P290" t="str">
        <f t="shared" si="44"/>
        <v/>
      </c>
      <c r="Q290">
        <f t="shared" si="45"/>
        <v>0.3</v>
      </c>
      <c r="R290" t="str">
        <f>IF(M290="","",VLOOKUP(M290,道具表!B:C,2,FALSE))</f>
        <v>気品ある花束</v>
      </c>
      <c r="S290">
        <f t="shared" si="46"/>
        <v>1</v>
      </c>
    </row>
    <row r="291" spans="9:19">
      <c r="J291" t="s">
        <v>1278</v>
      </c>
      <c r="K291" t="s">
        <v>1278</v>
      </c>
      <c r="L291">
        <v>0.5</v>
      </c>
      <c r="M291" t="s">
        <v>1737</v>
      </c>
      <c r="N291">
        <v>1</v>
      </c>
      <c r="O291" t="str">
        <f>IF(J291="","",VLOOKUP(J291,道具表!B:C,2,FALSE))</f>
        <v/>
      </c>
      <c r="P291" t="str">
        <f t="shared" si="44"/>
        <v/>
      </c>
      <c r="Q291">
        <f t="shared" si="45"/>
        <v>0.5</v>
      </c>
      <c r="R291" t="str">
        <f>IF(M291="","",VLOOKUP(M291,道具表!B:C,2,FALSE))</f>
        <v>石塊</v>
      </c>
      <c r="S291">
        <f t="shared" si="46"/>
        <v>1</v>
      </c>
    </row>
    <row r="292" spans="9:19">
      <c r="I292" s="68" t="s">
        <v>1410</v>
      </c>
      <c r="J292" t="s">
        <v>1736</v>
      </c>
      <c r="K292">
        <v>1</v>
      </c>
      <c r="L292">
        <v>1</v>
      </c>
      <c r="M292" t="s">
        <v>1737</v>
      </c>
      <c r="N292">
        <v>1</v>
      </c>
      <c r="O292" t="str">
        <f>IF(J292="","",VLOOKUP(J292,道具表!B:C,2,FALSE))</f>
        <v>ソールメダル(5)</v>
      </c>
      <c r="P292">
        <f t="shared" si="44"/>
        <v>1</v>
      </c>
      <c r="Q292">
        <f t="shared" si="45"/>
        <v>1</v>
      </c>
      <c r="R292" t="str">
        <f>IF(M292="","",VLOOKUP(M292,道具表!B:C,2,FALSE))</f>
        <v>石塊</v>
      </c>
      <c r="S292">
        <f t="shared" si="46"/>
        <v>1</v>
      </c>
    </row>
    <row r="293" spans="9:19">
      <c r="J293" t="s">
        <v>1278</v>
      </c>
      <c r="K293" t="s">
        <v>1278</v>
      </c>
      <c r="L293">
        <v>0.3</v>
      </c>
      <c r="M293" t="s">
        <v>1505</v>
      </c>
      <c r="N293">
        <v>1</v>
      </c>
      <c r="O293" t="str">
        <f>IF(J293="","",VLOOKUP(J293,道具表!B:C,2,FALSE))</f>
        <v/>
      </c>
      <c r="P293" t="str">
        <f t="shared" si="44"/>
        <v/>
      </c>
      <c r="Q293">
        <f t="shared" si="45"/>
        <v>0.3</v>
      </c>
      <c r="R293" t="str">
        <f>IF(M293="","",VLOOKUP(M293,道具表!B:C,2,FALSE))</f>
        <v>82年物の蜂蜜酒</v>
      </c>
      <c r="S293">
        <f t="shared" si="46"/>
        <v>1</v>
      </c>
    </row>
    <row r="294" spans="9:19">
      <c r="J294" t="s">
        <v>1278</v>
      </c>
      <c r="K294" t="s">
        <v>1278</v>
      </c>
      <c r="L294">
        <v>0.5</v>
      </c>
      <c r="M294" t="s">
        <v>1737</v>
      </c>
      <c r="N294">
        <v>1</v>
      </c>
      <c r="O294" t="str">
        <f>IF(J294="","",VLOOKUP(J294,道具表!B:C,2,FALSE))</f>
        <v/>
      </c>
      <c r="P294" t="str">
        <f t="shared" si="44"/>
        <v/>
      </c>
      <c r="Q294">
        <f t="shared" si="45"/>
        <v>0.5</v>
      </c>
      <c r="R294" t="str">
        <f>IF(M294="","",VLOOKUP(M294,道具表!B:C,2,FALSE))</f>
        <v>石塊</v>
      </c>
      <c r="S294">
        <f t="shared" si="46"/>
        <v>1</v>
      </c>
    </row>
    <row r="295" spans="9:19">
      <c r="I295" s="68" t="s">
        <v>1411</v>
      </c>
      <c r="J295" t="s">
        <v>1736</v>
      </c>
      <c r="K295">
        <v>1</v>
      </c>
      <c r="L295">
        <v>1</v>
      </c>
      <c r="M295" t="s">
        <v>1737</v>
      </c>
      <c r="N295">
        <v>1</v>
      </c>
      <c r="O295" t="str">
        <f>IF(J295="","",VLOOKUP(J295,道具表!B:C,2,FALSE))</f>
        <v>ソールメダル(5)</v>
      </c>
      <c r="P295">
        <f t="shared" ref="P295:P358" si="47">IF(K295="","",K295)</f>
        <v>1</v>
      </c>
      <c r="Q295">
        <f t="shared" ref="Q295:Q358" si="48">IF(L295="","",L295)</f>
        <v>1</v>
      </c>
      <c r="R295" t="str">
        <f>IF(M295="","",VLOOKUP(M295,道具表!B:C,2,FALSE))</f>
        <v>石塊</v>
      </c>
      <c r="S295">
        <f t="shared" ref="S295:S358" si="49">IF(N295="","",N295)</f>
        <v>1</v>
      </c>
    </row>
    <row r="296" spans="9:19">
      <c r="J296" t="s">
        <v>1278</v>
      </c>
      <c r="K296" t="s">
        <v>1278</v>
      </c>
      <c r="L296">
        <v>0.3</v>
      </c>
      <c r="M296" t="s">
        <v>1505</v>
      </c>
      <c r="N296">
        <v>1</v>
      </c>
      <c r="O296" t="str">
        <f>IF(J296="","",VLOOKUP(J296,道具表!B:C,2,FALSE))</f>
        <v/>
      </c>
      <c r="P296" t="str">
        <f t="shared" si="47"/>
        <v/>
      </c>
      <c r="Q296">
        <f t="shared" si="48"/>
        <v>0.3</v>
      </c>
      <c r="R296" t="str">
        <f>IF(M296="","",VLOOKUP(M296,道具表!B:C,2,FALSE))</f>
        <v>82年物の蜂蜜酒</v>
      </c>
      <c r="S296">
        <f t="shared" si="49"/>
        <v>1</v>
      </c>
    </row>
    <row r="297" spans="9:19">
      <c r="J297" t="s">
        <v>1278</v>
      </c>
      <c r="K297" t="s">
        <v>1278</v>
      </c>
      <c r="L297">
        <v>0.5</v>
      </c>
      <c r="M297" t="s">
        <v>1737</v>
      </c>
      <c r="N297">
        <v>1</v>
      </c>
      <c r="O297" t="str">
        <f>IF(J297="","",VLOOKUP(J297,道具表!B:C,2,FALSE))</f>
        <v/>
      </c>
      <c r="P297" t="str">
        <f t="shared" si="47"/>
        <v/>
      </c>
      <c r="Q297">
        <f t="shared" si="48"/>
        <v>0.5</v>
      </c>
      <c r="R297" t="str">
        <f>IF(M297="","",VLOOKUP(M297,道具表!B:C,2,FALSE))</f>
        <v>石塊</v>
      </c>
      <c r="S297">
        <f t="shared" si="49"/>
        <v>1</v>
      </c>
    </row>
    <row r="298" spans="9:19">
      <c r="I298" s="68" t="s">
        <v>1412</v>
      </c>
      <c r="J298" t="s">
        <v>1736</v>
      </c>
      <c r="K298">
        <v>1</v>
      </c>
      <c r="L298">
        <v>1</v>
      </c>
      <c r="M298" t="s">
        <v>1504</v>
      </c>
      <c r="N298">
        <v>5</v>
      </c>
      <c r="O298" t="str">
        <f>IF(J298="","",VLOOKUP(J298,道具表!B:C,2,FALSE))</f>
        <v>ソールメダル(5)</v>
      </c>
      <c r="P298">
        <f t="shared" si="47"/>
        <v>1</v>
      </c>
      <c r="Q298">
        <f t="shared" si="48"/>
        <v>1</v>
      </c>
      <c r="R298" t="str">
        <f>IF(M298="","",VLOOKUP(M298,道具表!B:C,2,FALSE))</f>
        <v>宿命の果実</v>
      </c>
      <c r="S298">
        <f t="shared" si="49"/>
        <v>5</v>
      </c>
    </row>
    <row r="299" spans="9:19">
      <c r="I299" s="68" t="s">
        <v>1413</v>
      </c>
      <c r="J299" t="s">
        <v>1736</v>
      </c>
      <c r="K299">
        <v>1</v>
      </c>
      <c r="L299">
        <v>0.75</v>
      </c>
      <c r="M299" t="s">
        <v>1742</v>
      </c>
      <c r="N299">
        <v>1</v>
      </c>
      <c r="O299" t="str">
        <f>IF(J299="","",VLOOKUP(J299,道具表!B:C,2,FALSE))</f>
        <v>ソールメダル(5)</v>
      </c>
      <c r="P299">
        <f t="shared" si="47"/>
        <v>1</v>
      </c>
      <c r="Q299">
        <f t="shared" si="48"/>
        <v>0.75</v>
      </c>
      <c r="R299" t="str">
        <f>IF(M299="","",VLOOKUP(M299,道具表!B:C,2,FALSE))</f>
        <v>銅鉱</v>
      </c>
      <c r="S299">
        <f t="shared" si="49"/>
        <v>1</v>
      </c>
    </row>
    <row r="300" spans="9:19">
      <c r="I300" s="68" t="s">
        <v>1414</v>
      </c>
      <c r="J300" t="s">
        <v>1506</v>
      </c>
      <c r="K300">
        <v>1</v>
      </c>
      <c r="L300">
        <v>0.2</v>
      </c>
      <c r="M300" t="s">
        <v>432</v>
      </c>
      <c r="N300">
        <v>1</v>
      </c>
      <c r="O300" t="str">
        <f>IF(J300="","",VLOOKUP(J300,道具表!B:C,2,FALSE))</f>
        <v>ソール召喚チケット</v>
      </c>
      <c r="P300">
        <f t="shared" si="47"/>
        <v>1</v>
      </c>
      <c r="Q300">
        <f t="shared" si="48"/>
        <v>0.2</v>
      </c>
      <c r="R300" t="str">
        <f>IF(M300="","",VLOOKUP(M300,道具表!B:C,2,FALSE))</f>
        <v>烈炎の心</v>
      </c>
      <c r="S300">
        <f t="shared" si="49"/>
        <v>1</v>
      </c>
    </row>
    <row r="301" spans="9:19">
      <c r="O301" t="str">
        <f>IF(J301="","",VLOOKUP(J301,道具表!B:C,2,FALSE))</f>
        <v/>
      </c>
      <c r="P301" t="str">
        <f t="shared" si="47"/>
        <v/>
      </c>
      <c r="Q301" t="str">
        <f t="shared" si="48"/>
        <v/>
      </c>
      <c r="R301" t="str">
        <f>IF(M301="","",VLOOKUP(M301,道具表!B:C,2,FALSE))</f>
        <v/>
      </c>
      <c r="S301" t="str">
        <f t="shared" si="49"/>
        <v/>
      </c>
    </row>
    <row r="302" spans="9:19">
      <c r="I302" s="69" t="s">
        <v>1415</v>
      </c>
      <c r="O302" t="str">
        <f>IF(J302="","",VLOOKUP(J302,道具表!B:C,2,FALSE))</f>
        <v/>
      </c>
      <c r="P302" t="str">
        <f t="shared" si="47"/>
        <v/>
      </c>
      <c r="Q302" t="str">
        <f t="shared" si="48"/>
        <v/>
      </c>
      <c r="R302" t="str">
        <f>IF(M302="","",VLOOKUP(M302,道具表!B:C,2,FALSE))</f>
        <v/>
      </c>
      <c r="S302" t="str">
        <f t="shared" si="49"/>
        <v/>
      </c>
    </row>
    <row r="303" spans="9:19">
      <c r="I303" s="68" t="s">
        <v>1416</v>
      </c>
      <c r="J303" t="s">
        <v>1736</v>
      </c>
      <c r="K303">
        <v>1</v>
      </c>
      <c r="L303">
        <v>1</v>
      </c>
      <c r="M303" t="s">
        <v>1737</v>
      </c>
      <c r="N303">
        <v>2</v>
      </c>
      <c r="O303" t="str">
        <f>IF(J303="","",VLOOKUP(J303,道具表!B:C,2,FALSE))</f>
        <v>ソールメダル(5)</v>
      </c>
      <c r="P303">
        <f t="shared" si="47"/>
        <v>1</v>
      </c>
      <c r="Q303">
        <f t="shared" si="48"/>
        <v>1</v>
      </c>
      <c r="R303" t="str">
        <f>IF(M303="","",VLOOKUP(M303,道具表!B:C,2,FALSE))</f>
        <v>石塊</v>
      </c>
      <c r="S303">
        <f t="shared" si="49"/>
        <v>2</v>
      </c>
    </row>
    <row r="304" spans="9:19">
      <c r="J304" t="s">
        <v>1278</v>
      </c>
      <c r="K304" t="s">
        <v>1278</v>
      </c>
      <c r="L304">
        <v>0.5</v>
      </c>
      <c r="M304" t="s">
        <v>1738</v>
      </c>
      <c r="N304">
        <v>1</v>
      </c>
      <c r="O304" t="str">
        <f>IF(J304="","",VLOOKUP(J304,道具表!B:C,2,FALSE))</f>
        <v/>
      </c>
      <c r="P304" t="str">
        <f t="shared" si="47"/>
        <v/>
      </c>
      <c r="Q304">
        <f t="shared" si="48"/>
        <v>0.5</v>
      </c>
      <c r="R304" t="str">
        <f>IF(M304="","",VLOOKUP(M304,道具表!B:C,2,FALSE))</f>
        <v>気品ある花束</v>
      </c>
      <c r="S304">
        <f t="shared" si="49"/>
        <v>1</v>
      </c>
    </row>
    <row r="305" spans="9:19">
      <c r="J305" t="s">
        <v>1278</v>
      </c>
      <c r="K305" t="s">
        <v>1278</v>
      </c>
      <c r="L305">
        <v>0.5</v>
      </c>
      <c r="M305" t="s">
        <v>1737</v>
      </c>
      <c r="N305">
        <v>1</v>
      </c>
      <c r="O305" t="str">
        <f>IF(J305="","",VLOOKUP(J305,道具表!B:C,2,FALSE))</f>
        <v/>
      </c>
      <c r="P305" t="str">
        <f t="shared" si="47"/>
        <v/>
      </c>
      <c r="Q305">
        <f t="shared" si="48"/>
        <v>0.5</v>
      </c>
      <c r="R305" t="str">
        <f>IF(M305="","",VLOOKUP(M305,道具表!B:C,2,FALSE))</f>
        <v>石塊</v>
      </c>
      <c r="S305">
        <f t="shared" si="49"/>
        <v>1</v>
      </c>
    </row>
    <row r="306" spans="9:19">
      <c r="I306" s="68" t="s">
        <v>1417</v>
      </c>
      <c r="J306" t="s">
        <v>1736</v>
      </c>
      <c r="K306">
        <v>1</v>
      </c>
      <c r="L306">
        <v>1</v>
      </c>
      <c r="M306" t="s">
        <v>1737</v>
      </c>
      <c r="N306">
        <v>2</v>
      </c>
      <c r="O306" t="str">
        <f>IF(J306="","",VLOOKUP(J306,道具表!B:C,2,FALSE))</f>
        <v>ソールメダル(5)</v>
      </c>
      <c r="P306">
        <f t="shared" si="47"/>
        <v>1</v>
      </c>
      <c r="Q306">
        <f t="shared" si="48"/>
        <v>1</v>
      </c>
      <c r="R306" t="str">
        <f>IF(M306="","",VLOOKUP(M306,道具表!B:C,2,FALSE))</f>
        <v>石塊</v>
      </c>
      <c r="S306">
        <f t="shared" si="49"/>
        <v>2</v>
      </c>
    </row>
    <row r="307" spans="9:19">
      <c r="J307" t="s">
        <v>1278</v>
      </c>
      <c r="K307" t="s">
        <v>1278</v>
      </c>
      <c r="L307">
        <v>0.5</v>
      </c>
      <c r="M307" t="s">
        <v>1738</v>
      </c>
      <c r="N307">
        <v>1</v>
      </c>
      <c r="O307" t="str">
        <f>IF(J307="","",VLOOKUP(J307,道具表!B:C,2,FALSE))</f>
        <v/>
      </c>
      <c r="P307" t="str">
        <f t="shared" si="47"/>
        <v/>
      </c>
      <c r="Q307">
        <f t="shared" si="48"/>
        <v>0.5</v>
      </c>
      <c r="R307" t="str">
        <f>IF(M307="","",VLOOKUP(M307,道具表!B:C,2,FALSE))</f>
        <v>気品ある花束</v>
      </c>
      <c r="S307">
        <f t="shared" si="49"/>
        <v>1</v>
      </c>
    </row>
    <row r="308" spans="9:19">
      <c r="J308" t="s">
        <v>1278</v>
      </c>
      <c r="K308" t="s">
        <v>1278</v>
      </c>
      <c r="L308">
        <v>0.5</v>
      </c>
      <c r="M308" t="s">
        <v>1737</v>
      </c>
      <c r="N308">
        <v>1</v>
      </c>
      <c r="O308" t="str">
        <f>IF(J308="","",VLOOKUP(J308,道具表!B:C,2,FALSE))</f>
        <v/>
      </c>
      <c r="P308" t="str">
        <f t="shared" si="47"/>
        <v/>
      </c>
      <c r="Q308">
        <f t="shared" si="48"/>
        <v>0.5</v>
      </c>
      <c r="R308" t="str">
        <f>IF(M308="","",VLOOKUP(M308,道具表!B:C,2,FALSE))</f>
        <v>石塊</v>
      </c>
      <c r="S308">
        <f t="shared" si="49"/>
        <v>1</v>
      </c>
    </row>
    <row r="309" spans="9:19">
      <c r="I309" s="68" t="s">
        <v>1418</v>
      </c>
      <c r="J309" t="s">
        <v>1736</v>
      </c>
      <c r="K309">
        <v>1</v>
      </c>
      <c r="L309">
        <v>1</v>
      </c>
      <c r="M309" t="s">
        <v>1737</v>
      </c>
      <c r="N309">
        <v>2</v>
      </c>
      <c r="O309" t="str">
        <f>IF(J309="","",VLOOKUP(J309,道具表!B:C,2,FALSE))</f>
        <v>ソールメダル(5)</v>
      </c>
      <c r="P309">
        <f t="shared" si="47"/>
        <v>1</v>
      </c>
      <c r="Q309">
        <f t="shared" si="48"/>
        <v>1</v>
      </c>
      <c r="R309" t="str">
        <f>IF(M309="","",VLOOKUP(M309,道具表!B:C,2,FALSE))</f>
        <v>石塊</v>
      </c>
      <c r="S309">
        <f t="shared" si="49"/>
        <v>2</v>
      </c>
    </row>
    <row r="310" spans="9:19">
      <c r="J310" t="s">
        <v>1278</v>
      </c>
      <c r="K310" t="s">
        <v>1278</v>
      </c>
      <c r="L310">
        <v>0.5</v>
      </c>
      <c r="M310" t="s">
        <v>1505</v>
      </c>
      <c r="N310">
        <v>1</v>
      </c>
      <c r="O310" t="str">
        <f>IF(J310="","",VLOOKUP(J310,道具表!B:C,2,FALSE))</f>
        <v/>
      </c>
      <c r="P310" t="str">
        <f t="shared" si="47"/>
        <v/>
      </c>
      <c r="Q310">
        <f t="shared" si="48"/>
        <v>0.5</v>
      </c>
      <c r="R310" t="str">
        <f>IF(M310="","",VLOOKUP(M310,道具表!B:C,2,FALSE))</f>
        <v>82年物の蜂蜜酒</v>
      </c>
      <c r="S310">
        <f t="shared" si="49"/>
        <v>1</v>
      </c>
    </row>
    <row r="311" spans="9:19">
      <c r="J311" t="s">
        <v>1278</v>
      </c>
      <c r="K311" t="s">
        <v>1278</v>
      </c>
      <c r="L311">
        <v>0.5</v>
      </c>
      <c r="M311" t="s">
        <v>1737</v>
      </c>
      <c r="N311">
        <v>1</v>
      </c>
      <c r="O311" t="str">
        <f>IF(J311="","",VLOOKUP(J311,道具表!B:C,2,FALSE))</f>
        <v/>
      </c>
      <c r="P311" t="str">
        <f t="shared" si="47"/>
        <v/>
      </c>
      <c r="Q311">
        <f t="shared" si="48"/>
        <v>0.5</v>
      </c>
      <c r="R311" t="str">
        <f>IF(M311="","",VLOOKUP(M311,道具表!B:C,2,FALSE))</f>
        <v>石塊</v>
      </c>
      <c r="S311">
        <f t="shared" si="49"/>
        <v>1</v>
      </c>
    </row>
    <row r="312" spans="9:19">
      <c r="I312" s="68" t="s">
        <v>1419</v>
      </c>
      <c r="J312" t="s">
        <v>1736</v>
      </c>
      <c r="K312">
        <v>1</v>
      </c>
      <c r="L312">
        <v>1</v>
      </c>
      <c r="M312" t="s">
        <v>1737</v>
      </c>
      <c r="N312">
        <v>2</v>
      </c>
      <c r="O312" t="str">
        <f>IF(J312="","",VLOOKUP(J312,道具表!B:C,2,FALSE))</f>
        <v>ソールメダル(5)</v>
      </c>
      <c r="P312">
        <f t="shared" si="47"/>
        <v>1</v>
      </c>
      <c r="Q312">
        <f t="shared" si="48"/>
        <v>1</v>
      </c>
      <c r="R312" t="str">
        <f>IF(M312="","",VLOOKUP(M312,道具表!B:C,2,FALSE))</f>
        <v>石塊</v>
      </c>
      <c r="S312">
        <f t="shared" si="49"/>
        <v>2</v>
      </c>
    </row>
    <row r="313" spans="9:19">
      <c r="J313" t="s">
        <v>1278</v>
      </c>
      <c r="K313" t="s">
        <v>1278</v>
      </c>
      <c r="L313">
        <v>0.5</v>
      </c>
      <c r="M313" t="s">
        <v>1505</v>
      </c>
      <c r="N313">
        <v>1</v>
      </c>
      <c r="O313" t="str">
        <f>IF(J313="","",VLOOKUP(J313,道具表!B:C,2,FALSE))</f>
        <v/>
      </c>
      <c r="P313" t="str">
        <f t="shared" si="47"/>
        <v/>
      </c>
      <c r="Q313">
        <f t="shared" si="48"/>
        <v>0.5</v>
      </c>
      <c r="R313" t="str">
        <f>IF(M313="","",VLOOKUP(M313,道具表!B:C,2,FALSE))</f>
        <v>82年物の蜂蜜酒</v>
      </c>
      <c r="S313">
        <f t="shared" si="49"/>
        <v>1</v>
      </c>
    </row>
    <row r="314" spans="9:19">
      <c r="J314" t="s">
        <v>1278</v>
      </c>
      <c r="K314" t="s">
        <v>1278</v>
      </c>
      <c r="L314">
        <v>0.5</v>
      </c>
      <c r="M314" t="s">
        <v>1737</v>
      </c>
      <c r="N314">
        <v>1</v>
      </c>
      <c r="O314" t="str">
        <f>IF(J314="","",VLOOKUP(J314,道具表!B:C,2,FALSE))</f>
        <v/>
      </c>
      <c r="P314" t="str">
        <f t="shared" si="47"/>
        <v/>
      </c>
      <c r="Q314">
        <f t="shared" si="48"/>
        <v>0.5</v>
      </c>
      <c r="R314" t="str">
        <f>IF(M314="","",VLOOKUP(M314,道具表!B:C,2,FALSE))</f>
        <v>石塊</v>
      </c>
      <c r="S314">
        <f t="shared" si="49"/>
        <v>1</v>
      </c>
    </row>
    <row r="315" spans="9:19">
      <c r="I315" s="68" t="s">
        <v>1420</v>
      </c>
      <c r="J315" t="s">
        <v>1736</v>
      </c>
      <c r="K315">
        <v>1</v>
      </c>
      <c r="L315">
        <v>1</v>
      </c>
      <c r="M315" t="s">
        <v>1504</v>
      </c>
      <c r="N315">
        <v>8</v>
      </c>
      <c r="O315" t="str">
        <f>IF(J315="","",VLOOKUP(J315,道具表!B:C,2,FALSE))</f>
        <v>ソールメダル(5)</v>
      </c>
      <c r="P315">
        <f t="shared" si="47"/>
        <v>1</v>
      </c>
      <c r="Q315">
        <f t="shared" si="48"/>
        <v>1</v>
      </c>
      <c r="R315" t="str">
        <f>IF(M315="","",VLOOKUP(M315,道具表!B:C,2,FALSE))</f>
        <v>宿命の果実</v>
      </c>
      <c r="S315">
        <f t="shared" si="49"/>
        <v>8</v>
      </c>
    </row>
    <row r="316" spans="9:19">
      <c r="I316" s="68" t="s">
        <v>1421</v>
      </c>
      <c r="J316" t="s">
        <v>1736</v>
      </c>
      <c r="K316">
        <v>1</v>
      </c>
      <c r="L316">
        <v>1</v>
      </c>
      <c r="M316" t="s">
        <v>1742</v>
      </c>
      <c r="N316">
        <v>1</v>
      </c>
      <c r="O316" t="str">
        <f>IF(J316="","",VLOOKUP(J316,道具表!B:C,2,FALSE))</f>
        <v>ソールメダル(5)</v>
      </c>
      <c r="P316">
        <f t="shared" si="47"/>
        <v>1</v>
      </c>
      <c r="Q316">
        <f t="shared" si="48"/>
        <v>1</v>
      </c>
      <c r="R316" t="str">
        <f>IF(M316="","",VLOOKUP(M316,道具表!B:C,2,FALSE))</f>
        <v>銅鉱</v>
      </c>
      <c r="S316">
        <f t="shared" si="49"/>
        <v>1</v>
      </c>
    </row>
    <row r="317" spans="9:19">
      <c r="J317" t="s">
        <v>1278</v>
      </c>
      <c r="K317" t="s">
        <v>1278</v>
      </c>
      <c r="L317">
        <v>0.25</v>
      </c>
      <c r="M317" t="s">
        <v>1742</v>
      </c>
      <c r="N317">
        <v>1</v>
      </c>
      <c r="O317" t="str">
        <f>IF(J317="","",VLOOKUP(J317,道具表!B:C,2,FALSE))</f>
        <v/>
      </c>
      <c r="P317" t="str">
        <f t="shared" si="47"/>
        <v/>
      </c>
      <c r="Q317">
        <f t="shared" si="48"/>
        <v>0.25</v>
      </c>
      <c r="R317" t="str">
        <f>IF(M317="","",VLOOKUP(M317,道具表!B:C,2,FALSE))</f>
        <v>銅鉱</v>
      </c>
      <c r="S317">
        <f t="shared" si="49"/>
        <v>1</v>
      </c>
    </row>
    <row r="318" spans="9:19">
      <c r="I318" s="68" t="s">
        <v>1422</v>
      </c>
      <c r="J318" t="s">
        <v>1736</v>
      </c>
      <c r="K318">
        <v>1</v>
      </c>
      <c r="L318">
        <v>0.2</v>
      </c>
      <c r="M318" t="s">
        <v>2282</v>
      </c>
      <c r="N318">
        <v>1</v>
      </c>
      <c r="O318" t="str">
        <f>IF(J318="","",VLOOKUP(J318,道具表!B:C,2,FALSE))</f>
        <v>ソールメダル(5)</v>
      </c>
      <c r="P318">
        <f t="shared" si="47"/>
        <v>1</v>
      </c>
      <c r="Q318">
        <f t="shared" si="48"/>
        <v>0.2</v>
      </c>
      <c r="R318" t="str">
        <f>IF(M318="","",VLOOKUP(M318,道具表!B:C,2,FALSE))</f>
        <v>グリフォンの毛皮</v>
      </c>
      <c r="S318">
        <f t="shared" si="49"/>
        <v>1</v>
      </c>
    </row>
    <row r="319" spans="9:19">
      <c r="J319" t="s">
        <v>1278</v>
      </c>
      <c r="K319" t="s">
        <v>1278</v>
      </c>
      <c r="L319" t="s">
        <v>1278</v>
      </c>
      <c r="M319" t="s">
        <v>1278</v>
      </c>
      <c r="N319" t="s">
        <v>1278</v>
      </c>
      <c r="O319" t="str">
        <f>IF(J319="","",VLOOKUP(J319,道具表!B:C,2,FALSE))</f>
        <v/>
      </c>
      <c r="P319" t="str">
        <f t="shared" si="47"/>
        <v/>
      </c>
      <c r="Q319" t="str">
        <f t="shared" si="48"/>
        <v/>
      </c>
      <c r="R319" t="str">
        <f>IF(M319="","",VLOOKUP(M319,道具表!B:C,2,FALSE))</f>
        <v/>
      </c>
      <c r="S319" t="str">
        <f t="shared" si="49"/>
        <v/>
      </c>
    </row>
    <row r="320" spans="9:19">
      <c r="I320" s="68" t="s">
        <v>1423</v>
      </c>
      <c r="J320" t="s">
        <v>1736</v>
      </c>
      <c r="K320">
        <v>1</v>
      </c>
      <c r="L320">
        <v>1</v>
      </c>
      <c r="M320" t="s">
        <v>1737</v>
      </c>
      <c r="N320">
        <v>2</v>
      </c>
      <c r="O320" t="str">
        <f>IF(J320="","",VLOOKUP(J320,道具表!B:C,2,FALSE))</f>
        <v>ソールメダル(5)</v>
      </c>
      <c r="P320">
        <f t="shared" si="47"/>
        <v>1</v>
      </c>
      <c r="Q320">
        <f t="shared" si="48"/>
        <v>1</v>
      </c>
      <c r="R320" t="str">
        <f>IF(M320="","",VLOOKUP(M320,道具表!B:C,2,FALSE))</f>
        <v>石塊</v>
      </c>
      <c r="S320">
        <f t="shared" si="49"/>
        <v>2</v>
      </c>
    </row>
    <row r="321" spans="9:19">
      <c r="J321" t="s">
        <v>1278</v>
      </c>
      <c r="K321" t="s">
        <v>1278</v>
      </c>
      <c r="L321">
        <v>0.5</v>
      </c>
      <c r="M321" t="s">
        <v>1738</v>
      </c>
      <c r="N321">
        <v>1</v>
      </c>
      <c r="O321" t="str">
        <f>IF(J321="","",VLOOKUP(J321,道具表!B:C,2,FALSE))</f>
        <v/>
      </c>
      <c r="P321" t="str">
        <f t="shared" si="47"/>
        <v/>
      </c>
      <c r="Q321">
        <f t="shared" si="48"/>
        <v>0.5</v>
      </c>
      <c r="R321" t="str">
        <f>IF(M321="","",VLOOKUP(M321,道具表!B:C,2,FALSE))</f>
        <v>気品ある花束</v>
      </c>
      <c r="S321">
        <f t="shared" si="49"/>
        <v>1</v>
      </c>
    </row>
    <row r="322" spans="9:19">
      <c r="J322" t="s">
        <v>1278</v>
      </c>
      <c r="K322" t="s">
        <v>1278</v>
      </c>
      <c r="L322">
        <v>0.5</v>
      </c>
      <c r="M322" t="s">
        <v>1737</v>
      </c>
      <c r="N322">
        <v>1</v>
      </c>
      <c r="O322" t="str">
        <f>IF(J322="","",VLOOKUP(J322,道具表!B:C,2,FALSE))</f>
        <v/>
      </c>
      <c r="P322" t="str">
        <f t="shared" si="47"/>
        <v/>
      </c>
      <c r="Q322">
        <f t="shared" si="48"/>
        <v>0.5</v>
      </c>
      <c r="R322" t="str">
        <f>IF(M322="","",VLOOKUP(M322,道具表!B:C,2,FALSE))</f>
        <v>石塊</v>
      </c>
      <c r="S322">
        <f t="shared" si="49"/>
        <v>1</v>
      </c>
    </row>
    <row r="323" spans="9:19">
      <c r="I323" s="68" t="s">
        <v>1424</v>
      </c>
      <c r="J323" t="s">
        <v>1736</v>
      </c>
      <c r="K323">
        <v>1</v>
      </c>
      <c r="L323">
        <v>1</v>
      </c>
      <c r="M323" t="s">
        <v>1737</v>
      </c>
      <c r="N323">
        <v>2</v>
      </c>
      <c r="O323" t="str">
        <f>IF(J323="","",VLOOKUP(J323,道具表!B:C,2,FALSE))</f>
        <v>ソールメダル(5)</v>
      </c>
      <c r="P323">
        <f t="shared" si="47"/>
        <v>1</v>
      </c>
      <c r="Q323">
        <f t="shared" si="48"/>
        <v>1</v>
      </c>
      <c r="R323" t="str">
        <f>IF(M323="","",VLOOKUP(M323,道具表!B:C,2,FALSE))</f>
        <v>石塊</v>
      </c>
      <c r="S323">
        <f t="shared" si="49"/>
        <v>2</v>
      </c>
    </row>
    <row r="324" spans="9:19">
      <c r="J324" t="s">
        <v>1278</v>
      </c>
      <c r="K324" t="s">
        <v>1278</v>
      </c>
      <c r="L324">
        <v>0.5</v>
      </c>
      <c r="M324" t="s">
        <v>1738</v>
      </c>
      <c r="N324">
        <v>1</v>
      </c>
      <c r="O324" t="str">
        <f>IF(J324="","",VLOOKUP(J324,道具表!B:C,2,FALSE))</f>
        <v/>
      </c>
      <c r="P324" t="str">
        <f t="shared" si="47"/>
        <v/>
      </c>
      <c r="Q324">
        <f t="shared" si="48"/>
        <v>0.5</v>
      </c>
      <c r="R324" t="str">
        <f>IF(M324="","",VLOOKUP(M324,道具表!B:C,2,FALSE))</f>
        <v>気品ある花束</v>
      </c>
      <c r="S324">
        <f t="shared" si="49"/>
        <v>1</v>
      </c>
    </row>
    <row r="325" spans="9:19">
      <c r="J325" t="s">
        <v>1278</v>
      </c>
      <c r="K325" t="s">
        <v>1278</v>
      </c>
      <c r="L325">
        <v>0.5</v>
      </c>
      <c r="M325" t="s">
        <v>1737</v>
      </c>
      <c r="N325">
        <v>1</v>
      </c>
      <c r="O325" t="str">
        <f>IF(J325="","",VLOOKUP(J325,道具表!B:C,2,FALSE))</f>
        <v/>
      </c>
      <c r="P325" t="str">
        <f t="shared" si="47"/>
        <v/>
      </c>
      <c r="Q325">
        <f t="shared" si="48"/>
        <v>0.5</v>
      </c>
      <c r="R325" t="str">
        <f>IF(M325="","",VLOOKUP(M325,道具表!B:C,2,FALSE))</f>
        <v>石塊</v>
      </c>
      <c r="S325">
        <f t="shared" si="49"/>
        <v>1</v>
      </c>
    </row>
    <row r="326" spans="9:19">
      <c r="I326" s="68" t="s">
        <v>1425</v>
      </c>
      <c r="J326" t="s">
        <v>1736</v>
      </c>
      <c r="K326">
        <v>1</v>
      </c>
      <c r="L326">
        <v>1</v>
      </c>
      <c r="M326" t="s">
        <v>1737</v>
      </c>
      <c r="N326">
        <v>2</v>
      </c>
      <c r="O326" t="str">
        <f>IF(J326="","",VLOOKUP(J326,道具表!B:C,2,FALSE))</f>
        <v>ソールメダル(5)</v>
      </c>
      <c r="P326">
        <f t="shared" si="47"/>
        <v>1</v>
      </c>
      <c r="Q326">
        <f t="shared" si="48"/>
        <v>1</v>
      </c>
      <c r="R326" t="str">
        <f>IF(M326="","",VLOOKUP(M326,道具表!B:C,2,FALSE))</f>
        <v>石塊</v>
      </c>
      <c r="S326">
        <f t="shared" si="49"/>
        <v>2</v>
      </c>
    </row>
    <row r="327" spans="9:19">
      <c r="J327" t="s">
        <v>1278</v>
      </c>
      <c r="K327" t="s">
        <v>1278</v>
      </c>
      <c r="L327">
        <v>0.5</v>
      </c>
      <c r="M327" t="s">
        <v>1505</v>
      </c>
      <c r="N327">
        <v>1</v>
      </c>
      <c r="O327" t="str">
        <f>IF(J327="","",VLOOKUP(J327,道具表!B:C,2,FALSE))</f>
        <v/>
      </c>
      <c r="P327" t="str">
        <f t="shared" si="47"/>
        <v/>
      </c>
      <c r="Q327">
        <f t="shared" si="48"/>
        <v>0.5</v>
      </c>
      <c r="R327" t="str">
        <f>IF(M327="","",VLOOKUP(M327,道具表!B:C,2,FALSE))</f>
        <v>82年物の蜂蜜酒</v>
      </c>
      <c r="S327">
        <f t="shared" si="49"/>
        <v>1</v>
      </c>
    </row>
    <row r="328" spans="9:19">
      <c r="J328" t="s">
        <v>1278</v>
      </c>
      <c r="K328" t="s">
        <v>1278</v>
      </c>
      <c r="L328">
        <v>0.5</v>
      </c>
      <c r="M328" t="s">
        <v>1737</v>
      </c>
      <c r="N328">
        <v>1</v>
      </c>
      <c r="O328" t="str">
        <f>IF(J328="","",VLOOKUP(J328,道具表!B:C,2,FALSE))</f>
        <v/>
      </c>
      <c r="P328" t="str">
        <f t="shared" si="47"/>
        <v/>
      </c>
      <c r="Q328">
        <f t="shared" si="48"/>
        <v>0.5</v>
      </c>
      <c r="R328" t="str">
        <f>IF(M328="","",VLOOKUP(M328,道具表!B:C,2,FALSE))</f>
        <v>石塊</v>
      </c>
      <c r="S328">
        <f t="shared" si="49"/>
        <v>1</v>
      </c>
    </row>
    <row r="329" spans="9:19">
      <c r="I329" s="68" t="s">
        <v>1426</v>
      </c>
      <c r="J329" t="s">
        <v>1736</v>
      </c>
      <c r="K329">
        <v>1</v>
      </c>
      <c r="L329">
        <v>1</v>
      </c>
      <c r="M329" t="s">
        <v>1737</v>
      </c>
      <c r="N329">
        <v>2</v>
      </c>
      <c r="O329" t="str">
        <f>IF(J329="","",VLOOKUP(J329,道具表!B:C,2,FALSE))</f>
        <v>ソールメダル(5)</v>
      </c>
      <c r="P329">
        <f t="shared" si="47"/>
        <v>1</v>
      </c>
      <c r="Q329">
        <f t="shared" si="48"/>
        <v>1</v>
      </c>
      <c r="R329" t="str">
        <f>IF(M329="","",VLOOKUP(M329,道具表!B:C,2,FALSE))</f>
        <v>石塊</v>
      </c>
      <c r="S329">
        <f t="shared" si="49"/>
        <v>2</v>
      </c>
    </row>
    <row r="330" spans="9:19">
      <c r="J330" t="s">
        <v>1278</v>
      </c>
      <c r="K330" t="s">
        <v>1278</v>
      </c>
      <c r="L330">
        <v>0.5</v>
      </c>
      <c r="M330" t="s">
        <v>1505</v>
      </c>
      <c r="N330">
        <v>1</v>
      </c>
      <c r="O330" t="str">
        <f>IF(J330="","",VLOOKUP(J330,道具表!B:C,2,FALSE))</f>
        <v/>
      </c>
      <c r="P330" t="str">
        <f t="shared" si="47"/>
        <v/>
      </c>
      <c r="Q330">
        <f t="shared" si="48"/>
        <v>0.5</v>
      </c>
      <c r="R330" t="str">
        <f>IF(M330="","",VLOOKUP(M330,道具表!B:C,2,FALSE))</f>
        <v>82年物の蜂蜜酒</v>
      </c>
      <c r="S330">
        <f t="shared" si="49"/>
        <v>1</v>
      </c>
    </row>
    <row r="331" spans="9:19">
      <c r="J331" t="s">
        <v>1278</v>
      </c>
      <c r="K331" t="s">
        <v>1278</v>
      </c>
      <c r="L331">
        <v>0.5</v>
      </c>
      <c r="M331" t="s">
        <v>1737</v>
      </c>
      <c r="N331">
        <v>1</v>
      </c>
      <c r="O331" t="str">
        <f>IF(J331="","",VLOOKUP(J331,道具表!B:C,2,FALSE))</f>
        <v/>
      </c>
      <c r="P331" t="str">
        <f t="shared" si="47"/>
        <v/>
      </c>
      <c r="Q331">
        <f t="shared" si="48"/>
        <v>0.5</v>
      </c>
      <c r="R331" t="str">
        <f>IF(M331="","",VLOOKUP(M331,道具表!B:C,2,FALSE))</f>
        <v>石塊</v>
      </c>
      <c r="S331">
        <f t="shared" si="49"/>
        <v>1</v>
      </c>
    </row>
    <row r="332" spans="9:19">
      <c r="I332" s="68" t="s">
        <v>1427</v>
      </c>
      <c r="J332" t="s">
        <v>1736</v>
      </c>
      <c r="K332">
        <v>1</v>
      </c>
      <c r="L332">
        <v>1</v>
      </c>
      <c r="M332" t="s">
        <v>1504</v>
      </c>
      <c r="N332">
        <v>8</v>
      </c>
      <c r="O332" t="str">
        <f>IF(J332="","",VLOOKUP(J332,道具表!B:C,2,FALSE))</f>
        <v>ソールメダル(5)</v>
      </c>
      <c r="P332">
        <f t="shared" si="47"/>
        <v>1</v>
      </c>
      <c r="Q332">
        <f t="shared" si="48"/>
        <v>1</v>
      </c>
      <c r="R332" t="str">
        <f>IF(M332="","",VLOOKUP(M332,道具表!B:C,2,FALSE))</f>
        <v>宿命の果実</v>
      </c>
      <c r="S332">
        <f t="shared" si="49"/>
        <v>8</v>
      </c>
    </row>
    <row r="333" spans="9:19">
      <c r="I333" s="68" t="s">
        <v>1428</v>
      </c>
      <c r="J333" t="s">
        <v>1736</v>
      </c>
      <c r="K333">
        <v>1</v>
      </c>
      <c r="L333">
        <v>1</v>
      </c>
      <c r="M333" t="s">
        <v>1742</v>
      </c>
      <c r="N333">
        <v>1</v>
      </c>
      <c r="O333" t="str">
        <f>IF(J333="","",VLOOKUP(J333,道具表!B:C,2,FALSE))</f>
        <v>ソールメダル(5)</v>
      </c>
      <c r="P333">
        <f t="shared" si="47"/>
        <v>1</v>
      </c>
      <c r="Q333">
        <f t="shared" si="48"/>
        <v>1</v>
      </c>
      <c r="R333" t="str">
        <f>IF(M333="","",VLOOKUP(M333,道具表!B:C,2,FALSE))</f>
        <v>銅鉱</v>
      </c>
      <c r="S333">
        <f t="shared" si="49"/>
        <v>1</v>
      </c>
    </row>
    <row r="334" spans="9:19">
      <c r="J334" t="s">
        <v>1278</v>
      </c>
      <c r="K334" t="s">
        <v>1278</v>
      </c>
      <c r="L334">
        <v>0.25</v>
      </c>
      <c r="M334" t="s">
        <v>1742</v>
      </c>
      <c r="N334">
        <v>1</v>
      </c>
      <c r="O334" t="str">
        <f>IF(J334="","",VLOOKUP(J334,道具表!B:C,2,FALSE))</f>
        <v/>
      </c>
      <c r="P334" t="str">
        <f t="shared" si="47"/>
        <v/>
      </c>
      <c r="Q334">
        <f t="shared" si="48"/>
        <v>0.25</v>
      </c>
      <c r="R334" t="str">
        <f>IF(M334="","",VLOOKUP(M334,道具表!B:C,2,FALSE))</f>
        <v>銅鉱</v>
      </c>
      <c r="S334">
        <f t="shared" si="49"/>
        <v>1</v>
      </c>
    </row>
    <row r="335" spans="9:19">
      <c r="I335" s="68" t="s">
        <v>1429</v>
      </c>
      <c r="J335" t="s">
        <v>1736</v>
      </c>
      <c r="K335">
        <v>1</v>
      </c>
      <c r="L335">
        <v>0.2</v>
      </c>
      <c r="M335" t="s">
        <v>2283</v>
      </c>
      <c r="N335">
        <v>1</v>
      </c>
      <c r="O335" t="str">
        <f>IF(J335="","",VLOOKUP(J335,道具表!B:C,2,FALSE))</f>
        <v>ソールメダル(5)</v>
      </c>
      <c r="P335">
        <f t="shared" si="47"/>
        <v>1</v>
      </c>
      <c r="Q335">
        <f t="shared" si="48"/>
        <v>0.2</v>
      </c>
      <c r="R335" t="str">
        <f>IF(M335="","",VLOOKUP(M335,道具表!B:C,2,FALSE))</f>
        <v>指輪のかけら</v>
      </c>
      <c r="S335">
        <f t="shared" si="49"/>
        <v>1</v>
      </c>
    </row>
    <row r="336" spans="9:19">
      <c r="O336" t="str">
        <f>IF(J336="","",VLOOKUP(J336,道具表!B:C,2,FALSE))</f>
        <v/>
      </c>
      <c r="P336" t="str">
        <f t="shared" si="47"/>
        <v/>
      </c>
      <c r="Q336" t="str">
        <f t="shared" si="48"/>
        <v/>
      </c>
      <c r="R336" t="str">
        <f>IF(M336="","",VLOOKUP(M336,道具表!B:C,2,FALSE))</f>
        <v/>
      </c>
      <c r="S336" t="str">
        <f t="shared" si="49"/>
        <v/>
      </c>
    </row>
    <row r="337" spans="9:19">
      <c r="I337" s="68" t="s">
        <v>1430</v>
      </c>
      <c r="J337" t="s">
        <v>1736</v>
      </c>
      <c r="K337">
        <v>1</v>
      </c>
      <c r="L337">
        <v>1</v>
      </c>
      <c r="M337" t="s">
        <v>1737</v>
      </c>
      <c r="N337">
        <v>2</v>
      </c>
      <c r="O337" t="str">
        <f>IF(J337="","",VLOOKUP(J337,道具表!B:C,2,FALSE))</f>
        <v>ソールメダル(5)</v>
      </c>
      <c r="P337">
        <f t="shared" si="47"/>
        <v>1</v>
      </c>
      <c r="Q337">
        <f t="shared" si="48"/>
        <v>1</v>
      </c>
      <c r="R337" t="str">
        <f>IF(M337="","",VLOOKUP(M337,道具表!B:C,2,FALSE))</f>
        <v>石塊</v>
      </c>
      <c r="S337">
        <f t="shared" si="49"/>
        <v>2</v>
      </c>
    </row>
    <row r="338" spans="9:19">
      <c r="J338" t="s">
        <v>1278</v>
      </c>
      <c r="K338" t="s">
        <v>1278</v>
      </c>
      <c r="L338">
        <v>0.5</v>
      </c>
      <c r="M338" t="s">
        <v>1738</v>
      </c>
      <c r="N338">
        <v>1</v>
      </c>
      <c r="O338" t="str">
        <f>IF(J338="","",VLOOKUP(J338,道具表!B:C,2,FALSE))</f>
        <v/>
      </c>
      <c r="P338" t="str">
        <f t="shared" si="47"/>
        <v/>
      </c>
      <c r="Q338">
        <f t="shared" si="48"/>
        <v>0.5</v>
      </c>
      <c r="R338" t="str">
        <f>IF(M338="","",VLOOKUP(M338,道具表!B:C,2,FALSE))</f>
        <v>気品ある花束</v>
      </c>
      <c r="S338">
        <f t="shared" si="49"/>
        <v>1</v>
      </c>
    </row>
    <row r="339" spans="9:19">
      <c r="J339" t="s">
        <v>1278</v>
      </c>
      <c r="K339" t="s">
        <v>1278</v>
      </c>
      <c r="L339">
        <v>0.5</v>
      </c>
      <c r="M339" t="s">
        <v>1737</v>
      </c>
      <c r="N339">
        <v>1</v>
      </c>
      <c r="O339" t="str">
        <f>IF(J339="","",VLOOKUP(J339,道具表!B:C,2,FALSE))</f>
        <v/>
      </c>
      <c r="P339" t="str">
        <f t="shared" si="47"/>
        <v/>
      </c>
      <c r="Q339">
        <f t="shared" si="48"/>
        <v>0.5</v>
      </c>
      <c r="R339" t="str">
        <f>IF(M339="","",VLOOKUP(M339,道具表!B:C,2,FALSE))</f>
        <v>石塊</v>
      </c>
      <c r="S339">
        <f t="shared" si="49"/>
        <v>1</v>
      </c>
    </row>
    <row r="340" spans="9:19">
      <c r="I340" s="68" t="s">
        <v>1431</v>
      </c>
      <c r="J340" t="s">
        <v>1736</v>
      </c>
      <c r="K340">
        <v>1</v>
      </c>
      <c r="L340">
        <v>1</v>
      </c>
      <c r="M340" t="s">
        <v>1737</v>
      </c>
      <c r="N340">
        <v>2</v>
      </c>
      <c r="O340" t="str">
        <f>IF(J340="","",VLOOKUP(J340,道具表!B:C,2,FALSE))</f>
        <v>ソールメダル(5)</v>
      </c>
      <c r="P340">
        <f t="shared" si="47"/>
        <v>1</v>
      </c>
      <c r="Q340">
        <f t="shared" si="48"/>
        <v>1</v>
      </c>
      <c r="R340" t="str">
        <f>IF(M340="","",VLOOKUP(M340,道具表!B:C,2,FALSE))</f>
        <v>石塊</v>
      </c>
      <c r="S340">
        <f t="shared" si="49"/>
        <v>2</v>
      </c>
    </row>
    <row r="341" spans="9:19">
      <c r="J341" t="s">
        <v>1278</v>
      </c>
      <c r="K341" t="s">
        <v>1278</v>
      </c>
      <c r="L341">
        <v>0.5</v>
      </c>
      <c r="M341" t="s">
        <v>1738</v>
      </c>
      <c r="N341">
        <v>1</v>
      </c>
      <c r="O341" t="str">
        <f>IF(J341="","",VLOOKUP(J341,道具表!B:C,2,FALSE))</f>
        <v/>
      </c>
      <c r="P341" t="str">
        <f t="shared" si="47"/>
        <v/>
      </c>
      <c r="Q341">
        <f t="shared" si="48"/>
        <v>0.5</v>
      </c>
      <c r="R341" t="str">
        <f>IF(M341="","",VLOOKUP(M341,道具表!B:C,2,FALSE))</f>
        <v>気品ある花束</v>
      </c>
      <c r="S341">
        <f t="shared" si="49"/>
        <v>1</v>
      </c>
    </row>
    <row r="342" spans="9:19">
      <c r="J342" t="s">
        <v>1278</v>
      </c>
      <c r="K342" t="s">
        <v>1278</v>
      </c>
      <c r="L342">
        <v>0.5</v>
      </c>
      <c r="M342" t="s">
        <v>1737</v>
      </c>
      <c r="N342">
        <v>1</v>
      </c>
      <c r="O342" t="str">
        <f>IF(J342="","",VLOOKUP(J342,道具表!B:C,2,FALSE))</f>
        <v/>
      </c>
      <c r="P342" t="str">
        <f t="shared" si="47"/>
        <v/>
      </c>
      <c r="Q342">
        <f t="shared" si="48"/>
        <v>0.5</v>
      </c>
      <c r="R342" t="str">
        <f>IF(M342="","",VLOOKUP(M342,道具表!B:C,2,FALSE))</f>
        <v>石塊</v>
      </c>
      <c r="S342">
        <f t="shared" si="49"/>
        <v>1</v>
      </c>
    </row>
    <row r="343" spans="9:19">
      <c r="I343" s="68" t="s">
        <v>1432</v>
      </c>
      <c r="J343" t="s">
        <v>1736</v>
      </c>
      <c r="K343">
        <v>1</v>
      </c>
      <c r="L343">
        <v>1</v>
      </c>
      <c r="M343" t="s">
        <v>1737</v>
      </c>
      <c r="N343">
        <v>2</v>
      </c>
      <c r="O343" t="str">
        <f>IF(J343="","",VLOOKUP(J343,道具表!B:C,2,FALSE))</f>
        <v>ソールメダル(5)</v>
      </c>
      <c r="P343">
        <f t="shared" si="47"/>
        <v>1</v>
      </c>
      <c r="Q343">
        <f t="shared" si="48"/>
        <v>1</v>
      </c>
      <c r="R343" t="str">
        <f>IF(M343="","",VLOOKUP(M343,道具表!B:C,2,FALSE))</f>
        <v>石塊</v>
      </c>
      <c r="S343">
        <f t="shared" si="49"/>
        <v>2</v>
      </c>
    </row>
    <row r="344" spans="9:19">
      <c r="J344" t="s">
        <v>1278</v>
      </c>
      <c r="K344" t="s">
        <v>1278</v>
      </c>
      <c r="L344">
        <v>0.5</v>
      </c>
      <c r="M344" t="s">
        <v>1505</v>
      </c>
      <c r="N344">
        <v>1</v>
      </c>
      <c r="O344" t="str">
        <f>IF(J344="","",VLOOKUP(J344,道具表!B:C,2,FALSE))</f>
        <v/>
      </c>
      <c r="P344" t="str">
        <f t="shared" si="47"/>
        <v/>
      </c>
      <c r="Q344">
        <f t="shared" si="48"/>
        <v>0.5</v>
      </c>
      <c r="R344" t="str">
        <f>IF(M344="","",VLOOKUP(M344,道具表!B:C,2,FALSE))</f>
        <v>82年物の蜂蜜酒</v>
      </c>
      <c r="S344">
        <f t="shared" si="49"/>
        <v>1</v>
      </c>
    </row>
    <row r="345" spans="9:19">
      <c r="J345" t="s">
        <v>1278</v>
      </c>
      <c r="K345" t="s">
        <v>1278</v>
      </c>
      <c r="L345">
        <v>0.5</v>
      </c>
      <c r="M345" t="s">
        <v>1737</v>
      </c>
      <c r="N345">
        <v>1</v>
      </c>
      <c r="O345" t="str">
        <f>IF(J345="","",VLOOKUP(J345,道具表!B:C,2,FALSE))</f>
        <v/>
      </c>
      <c r="P345" t="str">
        <f t="shared" si="47"/>
        <v/>
      </c>
      <c r="Q345">
        <f t="shared" si="48"/>
        <v>0.5</v>
      </c>
      <c r="R345" t="str">
        <f>IF(M345="","",VLOOKUP(M345,道具表!B:C,2,FALSE))</f>
        <v>石塊</v>
      </c>
      <c r="S345">
        <f t="shared" si="49"/>
        <v>1</v>
      </c>
    </row>
    <row r="346" spans="9:19">
      <c r="I346" s="68" t="s">
        <v>1433</v>
      </c>
      <c r="J346" t="s">
        <v>1736</v>
      </c>
      <c r="K346">
        <v>1</v>
      </c>
      <c r="L346">
        <v>1</v>
      </c>
      <c r="M346" t="s">
        <v>1737</v>
      </c>
      <c r="N346">
        <v>2</v>
      </c>
      <c r="O346" t="str">
        <f>IF(J346="","",VLOOKUP(J346,道具表!B:C,2,FALSE))</f>
        <v>ソールメダル(5)</v>
      </c>
      <c r="P346">
        <f t="shared" si="47"/>
        <v>1</v>
      </c>
      <c r="Q346">
        <f t="shared" si="48"/>
        <v>1</v>
      </c>
      <c r="R346" t="str">
        <f>IF(M346="","",VLOOKUP(M346,道具表!B:C,2,FALSE))</f>
        <v>石塊</v>
      </c>
      <c r="S346">
        <f t="shared" si="49"/>
        <v>2</v>
      </c>
    </row>
    <row r="347" spans="9:19">
      <c r="J347" t="s">
        <v>1278</v>
      </c>
      <c r="K347" t="s">
        <v>1278</v>
      </c>
      <c r="L347">
        <v>0.5</v>
      </c>
      <c r="M347" t="s">
        <v>1505</v>
      </c>
      <c r="N347">
        <v>1</v>
      </c>
      <c r="O347" t="str">
        <f>IF(J347="","",VLOOKUP(J347,道具表!B:C,2,FALSE))</f>
        <v/>
      </c>
      <c r="P347" t="str">
        <f t="shared" si="47"/>
        <v/>
      </c>
      <c r="Q347">
        <f t="shared" si="48"/>
        <v>0.5</v>
      </c>
      <c r="R347" t="str">
        <f>IF(M347="","",VLOOKUP(M347,道具表!B:C,2,FALSE))</f>
        <v>82年物の蜂蜜酒</v>
      </c>
      <c r="S347">
        <f t="shared" si="49"/>
        <v>1</v>
      </c>
    </row>
    <row r="348" spans="9:19">
      <c r="J348" t="s">
        <v>1278</v>
      </c>
      <c r="K348" t="s">
        <v>1278</v>
      </c>
      <c r="L348">
        <v>0.5</v>
      </c>
      <c r="M348" t="s">
        <v>1737</v>
      </c>
      <c r="N348">
        <v>1</v>
      </c>
      <c r="O348" t="str">
        <f>IF(J348="","",VLOOKUP(J348,道具表!B:C,2,FALSE))</f>
        <v/>
      </c>
      <c r="P348" t="str">
        <f t="shared" si="47"/>
        <v/>
      </c>
      <c r="Q348">
        <f t="shared" si="48"/>
        <v>0.5</v>
      </c>
      <c r="R348" t="str">
        <f>IF(M348="","",VLOOKUP(M348,道具表!B:C,2,FALSE))</f>
        <v>石塊</v>
      </c>
      <c r="S348">
        <f t="shared" si="49"/>
        <v>1</v>
      </c>
    </row>
    <row r="349" spans="9:19">
      <c r="I349" s="68" t="s">
        <v>1434</v>
      </c>
      <c r="J349" t="s">
        <v>1736</v>
      </c>
      <c r="K349">
        <v>1</v>
      </c>
      <c r="L349">
        <v>1</v>
      </c>
      <c r="M349" t="s">
        <v>1504</v>
      </c>
      <c r="N349">
        <v>8</v>
      </c>
      <c r="O349" t="str">
        <f>IF(J349="","",VLOOKUP(J349,道具表!B:C,2,FALSE))</f>
        <v>ソールメダル(5)</v>
      </c>
      <c r="P349">
        <f t="shared" si="47"/>
        <v>1</v>
      </c>
      <c r="Q349">
        <f t="shared" si="48"/>
        <v>1</v>
      </c>
      <c r="R349" t="str">
        <f>IF(M349="","",VLOOKUP(M349,道具表!B:C,2,FALSE))</f>
        <v>宿命の果実</v>
      </c>
      <c r="S349">
        <f t="shared" si="49"/>
        <v>8</v>
      </c>
    </row>
    <row r="350" spans="9:19">
      <c r="I350" s="68" t="s">
        <v>1435</v>
      </c>
      <c r="J350" t="s">
        <v>1736</v>
      </c>
      <c r="K350">
        <v>1</v>
      </c>
      <c r="L350">
        <v>1</v>
      </c>
      <c r="M350" t="s">
        <v>1742</v>
      </c>
      <c r="N350">
        <v>1</v>
      </c>
      <c r="O350" t="str">
        <f>IF(J350="","",VLOOKUP(J350,道具表!B:C,2,FALSE))</f>
        <v>ソールメダル(5)</v>
      </c>
      <c r="P350">
        <f t="shared" si="47"/>
        <v>1</v>
      </c>
      <c r="Q350">
        <f t="shared" si="48"/>
        <v>1</v>
      </c>
      <c r="R350" t="str">
        <f>IF(M350="","",VLOOKUP(M350,道具表!B:C,2,FALSE))</f>
        <v>銅鉱</v>
      </c>
      <c r="S350">
        <f t="shared" si="49"/>
        <v>1</v>
      </c>
    </row>
    <row r="351" spans="9:19">
      <c r="J351" t="s">
        <v>1278</v>
      </c>
      <c r="K351" t="s">
        <v>1278</v>
      </c>
      <c r="L351">
        <v>0.25</v>
      </c>
      <c r="M351" t="s">
        <v>1742</v>
      </c>
      <c r="N351">
        <v>1</v>
      </c>
      <c r="O351" t="str">
        <f>IF(J351="","",VLOOKUP(J351,道具表!B:C,2,FALSE))</f>
        <v/>
      </c>
      <c r="P351" t="str">
        <f t="shared" si="47"/>
        <v/>
      </c>
      <c r="Q351">
        <f t="shared" si="48"/>
        <v>0.25</v>
      </c>
      <c r="R351" t="str">
        <f>IF(M351="","",VLOOKUP(M351,道具表!B:C,2,FALSE))</f>
        <v>銅鉱</v>
      </c>
      <c r="S351">
        <f t="shared" si="49"/>
        <v>1</v>
      </c>
    </row>
    <row r="352" spans="9:19">
      <c r="I352" s="68" t="s">
        <v>1436</v>
      </c>
      <c r="J352" t="s">
        <v>1736</v>
      </c>
      <c r="K352">
        <v>1</v>
      </c>
      <c r="L352">
        <v>0.2</v>
      </c>
      <c r="M352" t="s">
        <v>2284</v>
      </c>
      <c r="N352">
        <v>1</v>
      </c>
      <c r="O352" t="str">
        <f>IF(J352="","",VLOOKUP(J352,道具表!B:C,2,FALSE))</f>
        <v>ソールメダル(5)</v>
      </c>
      <c r="P352">
        <f t="shared" si="47"/>
        <v>1</v>
      </c>
      <c r="Q352">
        <f t="shared" si="48"/>
        <v>0.2</v>
      </c>
      <c r="R352" t="str">
        <f>IF(M352="","",VLOOKUP(M352,道具表!B:C,2,FALSE))</f>
        <v>混乱の言葉</v>
      </c>
      <c r="S352">
        <f t="shared" si="49"/>
        <v>1</v>
      </c>
    </row>
    <row r="353" spans="9:19">
      <c r="J353" t="s">
        <v>1278</v>
      </c>
      <c r="K353" t="s">
        <v>1278</v>
      </c>
      <c r="L353" t="s">
        <v>1278</v>
      </c>
      <c r="M353" t="s">
        <v>1278</v>
      </c>
      <c r="N353" t="s">
        <v>1278</v>
      </c>
      <c r="O353" t="str">
        <f>IF(J353="","",VLOOKUP(J353,道具表!B:C,2,FALSE))</f>
        <v/>
      </c>
      <c r="P353" t="str">
        <f t="shared" si="47"/>
        <v/>
      </c>
      <c r="Q353" t="str">
        <f t="shared" si="48"/>
        <v/>
      </c>
      <c r="R353" t="str">
        <f>IF(M353="","",VLOOKUP(M353,道具表!B:C,2,FALSE))</f>
        <v/>
      </c>
      <c r="S353" t="str">
        <f t="shared" si="49"/>
        <v/>
      </c>
    </row>
    <row r="354" spans="9:19">
      <c r="I354" s="68" t="s">
        <v>1437</v>
      </c>
      <c r="J354" t="s">
        <v>1736</v>
      </c>
      <c r="K354">
        <v>1</v>
      </c>
      <c r="L354">
        <v>1</v>
      </c>
      <c r="M354" t="s">
        <v>1737</v>
      </c>
      <c r="N354">
        <v>2</v>
      </c>
      <c r="O354" t="str">
        <f>IF(J354="","",VLOOKUP(J354,道具表!B:C,2,FALSE))</f>
        <v>ソールメダル(5)</v>
      </c>
      <c r="P354">
        <f t="shared" si="47"/>
        <v>1</v>
      </c>
      <c r="Q354">
        <f t="shared" si="48"/>
        <v>1</v>
      </c>
      <c r="R354" t="str">
        <f>IF(M354="","",VLOOKUP(M354,道具表!B:C,2,FALSE))</f>
        <v>石塊</v>
      </c>
      <c r="S354">
        <f t="shared" si="49"/>
        <v>2</v>
      </c>
    </row>
    <row r="355" spans="9:19">
      <c r="J355" t="s">
        <v>1278</v>
      </c>
      <c r="K355" t="s">
        <v>1278</v>
      </c>
      <c r="L355">
        <v>0.5</v>
      </c>
      <c r="M355" t="s">
        <v>1738</v>
      </c>
      <c r="N355">
        <v>1</v>
      </c>
      <c r="O355" t="str">
        <f>IF(J355="","",VLOOKUP(J355,道具表!B:C,2,FALSE))</f>
        <v/>
      </c>
      <c r="P355" t="str">
        <f t="shared" si="47"/>
        <v/>
      </c>
      <c r="Q355">
        <f t="shared" si="48"/>
        <v>0.5</v>
      </c>
      <c r="R355" t="str">
        <f>IF(M355="","",VLOOKUP(M355,道具表!B:C,2,FALSE))</f>
        <v>気品ある花束</v>
      </c>
      <c r="S355">
        <f t="shared" si="49"/>
        <v>1</v>
      </c>
    </row>
    <row r="356" spans="9:19">
      <c r="J356" t="s">
        <v>1278</v>
      </c>
      <c r="K356" t="s">
        <v>1278</v>
      </c>
      <c r="L356">
        <v>0.5</v>
      </c>
      <c r="M356" t="s">
        <v>1737</v>
      </c>
      <c r="N356">
        <v>1</v>
      </c>
      <c r="O356" t="str">
        <f>IF(J356="","",VLOOKUP(J356,道具表!B:C,2,FALSE))</f>
        <v/>
      </c>
      <c r="P356" t="str">
        <f t="shared" si="47"/>
        <v/>
      </c>
      <c r="Q356">
        <f t="shared" si="48"/>
        <v>0.5</v>
      </c>
      <c r="R356" t="str">
        <f>IF(M356="","",VLOOKUP(M356,道具表!B:C,2,FALSE))</f>
        <v>石塊</v>
      </c>
      <c r="S356">
        <f t="shared" si="49"/>
        <v>1</v>
      </c>
    </row>
    <row r="357" spans="9:19">
      <c r="I357" s="68" t="s">
        <v>1438</v>
      </c>
      <c r="J357" t="s">
        <v>1736</v>
      </c>
      <c r="K357">
        <v>1</v>
      </c>
      <c r="L357">
        <v>1</v>
      </c>
      <c r="M357" t="s">
        <v>1737</v>
      </c>
      <c r="N357">
        <v>2</v>
      </c>
      <c r="O357" t="str">
        <f>IF(J357="","",VLOOKUP(J357,道具表!B:C,2,FALSE))</f>
        <v>ソールメダル(5)</v>
      </c>
      <c r="P357">
        <f t="shared" si="47"/>
        <v>1</v>
      </c>
      <c r="Q357">
        <f t="shared" si="48"/>
        <v>1</v>
      </c>
      <c r="R357" t="str">
        <f>IF(M357="","",VLOOKUP(M357,道具表!B:C,2,FALSE))</f>
        <v>石塊</v>
      </c>
      <c r="S357">
        <f t="shared" si="49"/>
        <v>2</v>
      </c>
    </row>
    <row r="358" spans="9:19">
      <c r="J358" t="s">
        <v>1278</v>
      </c>
      <c r="K358" t="s">
        <v>1278</v>
      </c>
      <c r="L358">
        <v>0.5</v>
      </c>
      <c r="M358" t="s">
        <v>1738</v>
      </c>
      <c r="N358">
        <v>1</v>
      </c>
      <c r="O358" t="str">
        <f>IF(J358="","",VLOOKUP(J358,道具表!B:C,2,FALSE))</f>
        <v/>
      </c>
      <c r="P358" t="str">
        <f t="shared" si="47"/>
        <v/>
      </c>
      <c r="Q358">
        <f t="shared" si="48"/>
        <v>0.5</v>
      </c>
      <c r="R358" t="str">
        <f>IF(M358="","",VLOOKUP(M358,道具表!B:C,2,FALSE))</f>
        <v>気品ある花束</v>
      </c>
      <c r="S358">
        <f t="shared" si="49"/>
        <v>1</v>
      </c>
    </row>
    <row r="359" spans="9:19">
      <c r="J359" t="s">
        <v>1278</v>
      </c>
      <c r="K359" t="s">
        <v>1278</v>
      </c>
      <c r="L359">
        <v>0.5</v>
      </c>
      <c r="M359" t="s">
        <v>1737</v>
      </c>
      <c r="N359">
        <v>1</v>
      </c>
      <c r="O359" t="str">
        <f>IF(J359="","",VLOOKUP(J359,道具表!B:C,2,FALSE))</f>
        <v/>
      </c>
      <c r="P359" t="str">
        <f t="shared" ref="P359:P422" si="50">IF(K359="","",K359)</f>
        <v/>
      </c>
      <c r="Q359">
        <f t="shared" ref="Q359:Q422" si="51">IF(L359="","",L359)</f>
        <v>0.5</v>
      </c>
      <c r="R359" t="str">
        <f>IF(M359="","",VLOOKUP(M359,道具表!B:C,2,FALSE))</f>
        <v>石塊</v>
      </c>
      <c r="S359">
        <f t="shared" ref="S359:S422" si="52">IF(N359="","",N359)</f>
        <v>1</v>
      </c>
    </row>
    <row r="360" spans="9:19">
      <c r="I360" s="68" t="s">
        <v>1439</v>
      </c>
      <c r="J360" t="s">
        <v>1736</v>
      </c>
      <c r="K360">
        <v>1</v>
      </c>
      <c r="L360">
        <v>1</v>
      </c>
      <c r="M360" t="s">
        <v>1737</v>
      </c>
      <c r="N360">
        <v>2</v>
      </c>
      <c r="O360" t="str">
        <f>IF(J360="","",VLOOKUP(J360,道具表!B:C,2,FALSE))</f>
        <v>ソールメダル(5)</v>
      </c>
      <c r="P360">
        <f t="shared" si="50"/>
        <v>1</v>
      </c>
      <c r="Q360">
        <f t="shared" si="51"/>
        <v>1</v>
      </c>
      <c r="R360" t="str">
        <f>IF(M360="","",VLOOKUP(M360,道具表!B:C,2,FALSE))</f>
        <v>石塊</v>
      </c>
      <c r="S360">
        <f t="shared" si="52"/>
        <v>2</v>
      </c>
    </row>
    <row r="361" spans="9:19">
      <c r="J361" t="s">
        <v>1278</v>
      </c>
      <c r="K361" t="s">
        <v>1278</v>
      </c>
      <c r="L361">
        <v>0.5</v>
      </c>
      <c r="M361" t="s">
        <v>1505</v>
      </c>
      <c r="N361">
        <v>1</v>
      </c>
      <c r="O361" t="str">
        <f>IF(J361="","",VLOOKUP(J361,道具表!B:C,2,FALSE))</f>
        <v/>
      </c>
      <c r="P361" t="str">
        <f t="shared" si="50"/>
        <v/>
      </c>
      <c r="Q361">
        <f t="shared" si="51"/>
        <v>0.5</v>
      </c>
      <c r="R361" t="str">
        <f>IF(M361="","",VLOOKUP(M361,道具表!B:C,2,FALSE))</f>
        <v>82年物の蜂蜜酒</v>
      </c>
      <c r="S361">
        <f t="shared" si="52"/>
        <v>1</v>
      </c>
    </row>
    <row r="362" spans="9:19">
      <c r="J362" t="s">
        <v>1278</v>
      </c>
      <c r="K362" t="s">
        <v>1278</v>
      </c>
      <c r="L362">
        <v>0.5</v>
      </c>
      <c r="M362" t="s">
        <v>1737</v>
      </c>
      <c r="N362">
        <v>1</v>
      </c>
      <c r="O362" t="str">
        <f>IF(J362="","",VLOOKUP(J362,道具表!B:C,2,FALSE))</f>
        <v/>
      </c>
      <c r="P362" t="str">
        <f t="shared" si="50"/>
        <v/>
      </c>
      <c r="Q362">
        <f t="shared" si="51"/>
        <v>0.5</v>
      </c>
      <c r="R362" t="str">
        <f>IF(M362="","",VLOOKUP(M362,道具表!B:C,2,FALSE))</f>
        <v>石塊</v>
      </c>
      <c r="S362">
        <f t="shared" si="52"/>
        <v>1</v>
      </c>
    </row>
    <row r="363" spans="9:19">
      <c r="I363" s="68" t="s">
        <v>1440</v>
      </c>
      <c r="J363" t="s">
        <v>1736</v>
      </c>
      <c r="K363">
        <v>1</v>
      </c>
      <c r="L363">
        <v>1</v>
      </c>
      <c r="M363" t="s">
        <v>1737</v>
      </c>
      <c r="N363">
        <v>2</v>
      </c>
      <c r="O363" t="str">
        <f>IF(J363="","",VLOOKUP(J363,道具表!B:C,2,FALSE))</f>
        <v>ソールメダル(5)</v>
      </c>
      <c r="P363">
        <f t="shared" si="50"/>
        <v>1</v>
      </c>
      <c r="Q363">
        <f t="shared" si="51"/>
        <v>1</v>
      </c>
      <c r="R363" t="str">
        <f>IF(M363="","",VLOOKUP(M363,道具表!B:C,2,FALSE))</f>
        <v>石塊</v>
      </c>
      <c r="S363">
        <f t="shared" si="52"/>
        <v>2</v>
      </c>
    </row>
    <row r="364" spans="9:19">
      <c r="J364" t="s">
        <v>1278</v>
      </c>
      <c r="K364" t="s">
        <v>1278</v>
      </c>
      <c r="L364">
        <v>0.5</v>
      </c>
      <c r="M364" t="s">
        <v>1505</v>
      </c>
      <c r="N364">
        <v>1</v>
      </c>
      <c r="O364" t="str">
        <f>IF(J364="","",VLOOKUP(J364,道具表!B:C,2,FALSE))</f>
        <v/>
      </c>
      <c r="P364" t="str">
        <f t="shared" si="50"/>
        <v/>
      </c>
      <c r="Q364">
        <f t="shared" si="51"/>
        <v>0.5</v>
      </c>
      <c r="R364" t="str">
        <f>IF(M364="","",VLOOKUP(M364,道具表!B:C,2,FALSE))</f>
        <v>82年物の蜂蜜酒</v>
      </c>
      <c r="S364">
        <f t="shared" si="52"/>
        <v>1</v>
      </c>
    </row>
    <row r="365" spans="9:19">
      <c r="J365" t="s">
        <v>1278</v>
      </c>
      <c r="K365" t="s">
        <v>1278</v>
      </c>
      <c r="L365">
        <v>0.5</v>
      </c>
      <c r="M365" t="s">
        <v>1737</v>
      </c>
      <c r="N365">
        <v>1</v>
      </c>
      <c r="O365" t="str">
        <f>IF(J365="","",VLOOKUP(J365,道具表!B:C,2,FALSE))</f>
        <v/>
      </c>
      <c r="P365" t="str">
        <f t="shared" si="50"/>
        <v/>
      </c>
      <c r="Q365">
        <f t="shared" si="51"/>
        <v>0.5</v>
      </c>
      <c r="R365" t="str">
        <f>IF(M365="","",VLOOKUP(M365,道具表!B:C,2,FALSE))</f>
        <v>石塊</v>
      </c>
      <c r="S365">
        <f t="shared" si="52"/>
        <v>1</v>
      </c>
    </row>
    <row r="366" spans="9:19">
      <c r="I366" s="68" t="s">
        <v>1441</v>
      </c>
      <c r="J366" t="s">
        <v>1736</v>
      </c>
      <c r="K366">
        <v>1</v>
      </c>
      <c r="L366">
        <v>1</v>
      </c>
      <c r="M366" t="s">
        <v>1504</v>
      </c>
      <c r="N366">
        <v>8</v>
      </c>
      <c r="O366" t="str">
        <f>IF(J366="","",VLOOKUP(J366,道具表!B:C,2,FALSE))</f>
        <v>ソールメダル(5)</v>
      </c>
      <c r="P366">
        <f t="shared" si="50"/>
        <v>1</v>
      </c>
      <c r="Q366">
        <f t="shared" si="51"/>
        <v>1</v>
      </c>
      <c r="R366" t="str">
        <f>IF(M366="","",VLOOKUP(M366,道具表!B:C,2,FALSE))</f>
        <v>宿命の果実</v>
      </c>
      <c r="S366">
        <f t="shared" si="52"/>
        <v>8</v>
      </c>
    </row>
    <row r="367" spans="9:19">
      <c r="I367" s="68" t="s">
        <v>1442</v>
      </c>
      <c r="J367" t="s">
        <v>1736</v>
      </c>
      <c r="K367">
        <v>1</v>
      </c>
      <c r="L367">
        <v>0.2</v>
      </c>
      <c r="M367" t="s">
        <v>2285</v>
      </c>
      <c r="N367">
        <v>1</v>
      </c>
      <c r="O367" t="str">
        <f>IF(J367="","",VLOOKUP(J367,道具表!B:C,2,FALSE))</f>
        <v>ソールメダル(5)</v>
      </c>
      <c r="P367">
        <f t="shared" si="50"/>
        <v>1</v>
      </c>
      <c r="Q367">
        <f t="shared" si="51"/>
        <v>0.2</v>
      </c>
      <c r="R367" t="str">
        <f>IF(M367="","",VLOOKUP(M367,道具表!B:C,2,FALSE))</f>
        <v>黒精霊の布地</v>
      </c>
      <c r="S367">
        <f t="shared" si="52"/>
        <v>1</v>
      </c>
    </row>
    <row r="368" spans="9:19">
      <c r="I368" s="68" t="s">
        <v>1443</v>
      </c>
      <c r="J368" t="s">
        <v>1736</v>
      </c>
      <c r="K368">
        <v>1</v>
      </c>
      <c r="L368">
        <v>1</v>
      </c>
      <c r="M368" t="s">
        <v>1742</v>
      </c>
      <c r="N368">
        <v>1</v>
      </c>
      <c r="O368" t="str">
        <f>IF(J368="","",VLOOKUP(J368,道具表!B:C,2,FALSE))</f>
        <v>ソールメダル(5)</v>
      </c>
      <c r="P368">
        <f t="shared" si="50"/>
        <v>1</v>
      </c>
      <c r="Q368">
        <f t="shared" si="51"/>
        <v>1</v>
      </c>
      <c r="R368" t="str">
        <f>IF(M368="","",VLOOKUP(M368,道具表!B:C,2,FALSE))</f>
        <v>銅鉱</v>
      </c>
      <c r="S368">
        <f t="shared" si="52"/>
        <v>1</v>
      </c>
    </row>
    <row r="369" spans="9:19">
      <c r="J369" t="s">
        <v>1278</v>
      </c>
      <c r="K369" t="s">
        <v>1278</v>
      </c>
      <c r="L369">
        <v>0.25</v>
      </c>
      <c r="M369" t="s">
        <v>1742</v>
      </c>
      <c r="N369">
        <v>1</v>
      </c>
      <c r="O369" t="str">
        <f>IF(J369="","",VLOOKUP(J369,道具表!B:C,2,FALSE))</f>
        <v/>
      </c>
      <c r="P369" t="str">
        <f t="shared" si="50"/>
        <v/>
      </c>
      <c r="Q369">
        <f t="shared" si="51"/>
        <v>0.25</v>
      </c>
      <c r="R369" t="str">
        <f>IF(M369="","",VLOOKUP(M369,道具表!B:C,2,FALSE))</f>
        <v>銅鉱</v>
      </c>
      <c r="S369">
        <f t="shared" si="52"/>
        <v>1</v>
      </c>
    </row>
    <row r="370" spans="9:19">
      <c r="O370" t="str">
        <f>IF(J370="","",VLOOKUP(J370,道具表!B:C,2,FALSE))</f>
        <v/>
      </c>
      <c r="P370" t="str">
        <f t="shared" si="50"/>
        <v/>
      </c>
      <c r="Q370" t="str">
        <f t="shared" si="51"/>
        <v/>
      </c>
      <c r="R370" t="str">
        <f>IF(M370="","",VLOOKUP(M370,道具表!B:C,2,FALSE))</f>
        <v/>
      </c>
      <c r="S370" t="str">
        <f t="shared" si="52"/>
        <v/>
      </c>
    </row>
    <row r="371" spans="9:19">
      <c r="I371" s="68" t="s">
        <v>1444</v>
      </c>
      <c r="J371" t="s">
        <v>1736</v>
      </c>
      <c r="K371">
        <v>1</v>
      </c>
      <c r="L371">
        <v>1</v>
      </c>
      <c r="M371" t="s">
        <v>1737</v>
      </c>
      <c r="N371">
        <v>2</v>
      </c>
      <c r="O371" t="str">
        <f>IF(J371="","",VLOOKUP(J371,道具表!B:C,2,FALSE))</f>
        <v>ソールメダル(5)</v>
      </c>
      <c r="P371">
        <f t="shared" si="50"/>
        <v>1</v>
      </c>
      <c r="Q371">
        <f t="shared" si="51"/>
        <v>1</v>
      </c>
      <c r="R371" t="str">
        <f>IF(M371="","",VLOOKUP(M371,道具表!B:C,2,FALSE))</f>
        <v>石塊</v>
      </c>
      <c r="S371">
        <f t="shared" si="52"/>
        <v>2</v>
      </c>
    </row>
    <row r="372" spans="9:19">
      <c r="J372" t="s">
        <v>1278</v>
      </c>
      <c r="K372" t="s">
        <v>1278</v>
      </c>
      <c r="L372">
        <v>0.5</v>
      </c>
      <c r="M372" t="s">
        <v>1738</v>
      </c>
      <c r="N372">
        <v>1</v>
      </c>
      <c r="O372" t="str">
        <f>IF(J372="","",VLOOKUP(J372,道具表!B:C,2,FALSE))</f>
        <v/>
      </c>
      <c r="P372" t="str">
        <f t="shared" si="50"/>
        <v/>
      </c>
      <c r="Q372">
        <f t="shared" si="51"/>
        <v>0.5</v>
      </c>
      <c r="R372" t="str">
        <f>IF(M372="","",VLOOKUP(M372,道具表!B:C,2,FALSE))</f>
        <v>気品ある花束</v>
      </c>
      <c r="S372">
        <f t="shared" si="52"/>
        <v>1</v>
      </c>
    </row>
    <row r="373" spans="9:19">
      <c r="J373" t="s">
        <v>1278</v>
      </c>
      <c r="K373" t="s">
        <v>1278</v>
      </c>
      <c r="L373">
        <v>0.5</v>
      </c>
      <c r="M373" t="s">
        <v>1737</v>
      </c>
      <c r="N373">
        <v>1</v>
      </c>
      <c r="O373" t="str">
        <f>IF(J373="","",VLOOKUP(J373,道具表!B:C,2,FALSE))</f>
        <v/>
      </c>
      <c r="P373" t="str">
        <f t="shared" si="50"/>
        <v/>
      </c>
      <c r="Q373">
        <f t="shared" si="51"/>
        <v>0.5</v>
      </c>
      <c r="R373" t="str">
        <f>IF(M373="","",VLOOKUP(M373,道具表!B:C,2,FALSE))</f>
        <v>石塊</v>
      </c>
      <c r="S373">
        <f t="shared" si="52"/>
        <v>1</v>
      </c>
    </row>
    <row r="374" spans="9:19">
      <c r="I374" s="68" t="s">
        <v>1445</v>
      </c>
      <c r="J374" t="s">
        <v>1736</v>
      </c>
      <c r="K374">
        <v>1</v>
      </c>
      <c r="L374">
        <v>1</v>
      </c>
      <c r="M374" t="s">
        <v>1737</v>
      </c>
      <c r="N374">
        <v>2</v>
      </c>
      <c r="O374" t="str">
        <f>IF(J374="","",VLOOKUP(J374,道具表!B:C,2,FALSE))</f>
        <v>ソールメダル(5)</v>
      </c>
      <c r="P374">
        <f t="shared" si="50"/>
        <v>1</v>
      </c>
      <c r="Q374">
        <f t="shared" si="51"/>
        <v>1</v>
      </c>
      <c r="R374" t="str">
        <f>IF(M374="","",VLOOKUP(M374,道具表!B:C,2,FALSE))</f>
        <v>石塊</v>
      </c>
      <c r="S374">
        <f t="shared" si="52"/>
        <v>2</v>
      </c>
    </row>
    <row r="375" spans="9:19">
      <c r="J375" t="s">
        <v>1278</v>
      </c>
      <c r="K375" t="s">
        <v>1278</v>
      </c>
      <c r="L375">
        <v>0.5</v>
      </c>
      <c r="M375" t="s">
        <v>1738</v>
      </c>
      <c r="N375">
        <v>1</v>
      </c>
      <c r="O375" t="str">
        <f>IF(J375="","",VLOOKUP(J375,道具表!B:C,2,FALSE))</f>
        <v/>
      </c>
      <c r="P375" t="str">
        <f t="shared" si="50"/>
        <v/>
      </c>
      <c r="Q375">
        <f t="shared" si="51"/>
        <v>0.5</v>
      </c>
      <c r="R375" t="str">
        <f>IF(M375="","",VLOOKUP(M375,道具表!B:C,2,FALSE))</f>
        <v>気品ある花束</v>
      </c>
      <c r="S375">
        <f t="shared" si="52"/>
        <v>1</v>
      </c>
    </row>
    <row r="376" spans="9:19">
      <c r="J376" t="s">
        <v>1278</v>
      </c>
      <c r="K376" t="s">
        <v>1278</v>
      </c>
      <c r="L376">
        <v>0.5</v>
      </c>
      <c r="M376" t="s">
        <v>1737</v>
      </c>
      <c r="N376">
        <v>1</v>
      </c>
      <c r="O376" t="str">
        <f>IF(J376="","",VLOOKUP(J376,道具表!B:C,2,FALSE))</f>
        <v/>
      </c>
      <c r="P376" t="str">
        <f t="shared" si="50"/>
        <v/>
      </c>
      <c r="Q376">
        <f t="shared" si="51"/>
        <v>0.5</v>
      </c>
      <c r="R376" t="str">
        <f>IF(M376="","",VLOOKUP(M376,道具表!B:C,2,FALSE))</f>
        <v>石塊</v>
      </c>
      <c r="S376">
        <f t="shared" si="52"/>
        <v>1</v>
      </c>
    </row>
    <row r="377" spans="9:19">
      <c r="I377" s="68" t="s">
        <v>1446</v>
      </c>
      <c r="J377" t="s">
        <v>1736</v>
      </c>
      <c r="K377">
        <v>1</v>
      </c>
      <c r="L377">
        <v>1</v>
      </c>
      <c r="M377" t="s">
        <v>1737</v>
      </c>
      <c r="N377">
        <v>2</v>
      </c>
      <c r="O377" t="str">
        <f>IF(J377="","",VLOOKUP(J377,道具表!B:C,2,FALSE))</f>
        <v>ソールメダル(5)</v>
      </c>
      <c r="P377">
        <f t="shared" si="50"/>
        <v>1</v>
      </c>
      <c r="Q377">
        <f t="shared" si="51"/>
        <v>1</v>
      </c>
      <c r="R377" t="str">
        <f>IF(M377="","",VLOOKUP(M377,道具表!B:C,2,FALSE))</f>
        <v>石塊</v>
      </c>
      <c r="S377">
        <f t="shared" si="52"/>
        <v>2</v>
      </c>
    </row>
    <row r="378" spans="9:19">
      <c r="J378" t="s">
        <v>1278</v>
      </c>
      <c r="K378" t="s">
        <v>1278</v>
      </c>
      <c r="L378">
        <v>0.5</v>
      </c>
      <c r="M378" t="s">
        <v>1505</v>
      </c>
      <c r="N378">
        <v>1</v>
      </c>
      <c r="O378" t="str">
        <f>IF(J378="","",VLOOKUP(J378,道具表!B:C,2,FALSE))</f>
        <v/>
      </c>
      <c r="P378" t="str">
        <f t="shared" si="50"/>
        <v/>
      </c>
      <c r="Q378">
        <f t="shared" si="51"/>
        <v>0.5</v>
      </c>
      <c r="R378" t="str">
        <f>IF(M378="","",VLOOKUP(M378,道具表!B:C,2,FALSE))</f>
        <v>82年物の蜂蜜酒</v>
      </c>
      <c r="S378">
        <f t="shared" si="52"/>
        <v>1</v>
      </c>
    </row>
    <row r="379" spans="9:19">
      <c r="J379" t="s">
        <v>1278</v>
      </c>
      <c r="K379" t="s">
        <v>1278</v>
      </c>
      <c r="L379">
        <v>0.5</v>
      </c>
      <c r="M379" t="s">
        <v>1737</v>
      </c>
      <c r="N379">
        <v>1</v>
      </c>
      <c r="O379" t="str">
        <f>IF(J379="","",VLOOKUP(J379,道具表!B:C,2,FALSE))</f>
        <v/>
      </c>
      <c r="P379" t="str">
        <f t="shared" si="50"/>
        <v/>
      </c>
      <c r="Q379">
        <f t="shared" si="51"/>
        <v>0.5</v>
      </c>
      <c r="R379" t="str">
        <f>IF(M379="","",VLOOKUP(M379,道具表!B:C,2,FALSE))</f>
        <v>石塊</v>
      </c>
      <c r="S379">
        <f t="shared" si="52"/>
        <v>1</v>
      </c>
    </row>
    <row r="380" spans="9:19">
      <c r="I380" s="68" t="s">
        <v>1447</v>
      </c>
      <c r="J380" t="s">
        <v>1736</v>
      </c>
      <c r="K380">
        <v>1</v>
      </c>
      <c r="L380">
        <v>1</v>
      </c>
      <c r="M380" t="s">
        <v>1737</v>
      </c>
      <c r="N380">
        <v>2</v>
      </c>
      <c r="O380" t="str">
        <f>IF(J380="","",VLOOKUP(J380,道具表!B:C,2,FALSE))</f>
        <v>ソールメダル(5)</v>
      </c>
      <c r="P380">
        <f t="shared" si="50"/>
        <v>1</v>
      </c>
      <c r="Q380">
        <f t="shared" si="51"/>
        <v>1</v>
      </c>
      <c r="R380" t="str">
        <f>IF(M380="","",VLOOKUP(M380,道具表!B:C,2,FALSE))</f>
        <v>石塊</v>
      </c>
      <c r="S380">
        <f t="shared" si="52"/>
        <v>2</v>
      </c>
    </row>
    <row r="381" spans="9:19">
      <c r="J381" t="s">
        <v>1278</v>
      </c>
      <c r="K381" t="s">
        <v>1278</v>
      </c>
      <c r="L381">
        <v>0.5</v>
      </c>
      <c r="M381" t="s">
        <v>1505</v>
      </c>
      <c r="N381">
        <v>1</v>
      </c>
      <c r="O381" t="str">
        <f>IF(J381="","",VLOOKUP(J381,道具表!B:C,2,FALSE))</f>
        <v/>
      </c>
      <c r="P381" t="str">
        <f t="shared" si="50"/>
        <v/>
      </c>
      <c r="Q381">
        <f t="shared" si="51"/>
        <v>0.5</v>
      </c>
      <c r="R381" t="str">
        <f>IF(M381="","",VLOOKUP(M381,道具表!B:C,2,FALSE))</f>
        <v>82年物の蜂蜜酒</v>
      </c>
      <c r="S381">
        <f t="shared" si="52"/>
        <v>1</v>
      </c>
    </row>
    <row r="382" spans="9:19">
      <c r="J382" t="s">
        <v>1278</v>
      </c>
      <c r="K382" t="s">
        <v>1278</v>
      </c>
      <c r="L382">
        <v>0.5</v>
      </c>
      <c r="M382" t="s">
        <v>1737</v>
      </c>
      <c r="N382">
        <v>1</v>
      </c>
      <c r="O382" t="str">
        <f>IF(J382="","",VLOOKUP(J382,道具表!B:C,2,FALSE))</f>
        <v/>
      </c>
      <c r="P382" t="str">
        <f t="shared" si="50"/>
        <v/>
      </c>
      <c r="Q382">
        <f t="shared" si="51"/>
        <v>0.5</v>
      </c>
      <c r="R382" t="str">
        <f>IF(M382="","",VLOOKUP(M382,道具表!B:C,2,FALSE))</f>
        <v>石塊</v>
      </c>
      <c r="S382">
        <f t="shared" si="52"/>
        <v>1</v>
      </c>
    </row>
    <row r="383" spans="9:19">
      <c r="I383" s="68" t="s">
        <v>1448</v>
      </c>
      <c r="J383" t="s">
        <v>1736</v>
      </c>
      <c r="K383">
        <v>1</v>
      </c>
      <c r="L383">
        <v>1</v>
      </c>
      <c r="M383" t="s">
        <v>1504</v>
      </c>
      <c r="N383">
        <v>8</v>
      </c>
      <c r="O383" t="str">
        <f>IF(J383="","",VLOOKUP(J383,道具表!B:C,2,FALSE))</f>
        <v>ソールメダル(5)</v>
      </c>
      <c r="P383">
        <f t="shared" si="50"/>
        <v>1</v>
      </c>
      <c r="Q383">
        <f t="shared" si="51"/>
        <v>1</v>
      </c>
      <c r="R383" t="str">
        <f>IF(M383="","",VLOOKUP(M383,道具表!B:C,2,FALSE))</f>
        <v>宿命の果実</v>
      </c>
      <c r="S383">
        <f t="shared" si="52"/>
        <v>8</v>
      </c>
    </row>
    <row r="384" spans="9:19">
      <c r="I384" s="68" t="s">
        <v>1449</v>
      </c>
      <c r="J384" t="s">
        <v>1736</v>
      </c>
      <c r="K384">
        <v>1</v>
      </c>
      <c r="L384">
        <v>1</v>
      </c>
      <c r="M384" t="s">
        <v>1742</v>
      </c>
      <c r="N384">
        <v>1</v>
      </c>
      <c r="O384" t="str">
        <f>IF(J384="","",VLOOKUP(J384,道具表!B:C,2,FALSE))</f>
        <v>ソールメダル(5)</v>
      </c>
      <c r="P384">
        <f t="shared" si="50"/>
        <v>1</v>
      </c>
      <c r="Q384">
        <f t="shared" si="51"/>
        <v>1</v>
      </c>
      <c r="R384" t="str">
        <f>IF(M384="","",VLOOKUP(M384,道具表!B:C,2,FALSE))</f>
        <v>銅鉱</v>
      </c>
      <c r="S384">
        <f t="shared" si="52"/>
        <v>1</v>
      </c>
    </row>
    <row r="385" spans="9:19">
      <c r="J385" t="s">
        <v>1278</v>
      </c>
      <c r="K385" t="s">
        <v>1278</v>
      </c>
      <c r="L385">
        <v>0.25</v>
      </c>
      <c r="M385" t="s">
        <v>1742</v>
      </c>
      <c r="N385">
        <v>1</v>
      </c>
      <c r="O385" t="str">
        <f>IF(J385="","",VLOOKUP(J385,道具表!B:C,2,FALSE))</f>
        <v/>
      </c>
      <c r="P385" t="str">
        <f t="shared" si="50"/>
        <v/>
      </c>
      <c r="Q385">
        <f t="shared" si="51"/>
        <v>0.25</v>
      </c>
      <c r="R385" t="str">
        <f>IF(M385="","",VLOOKUP(M385,道具表!B:C,2,FALSE))</f>
        <v>銅鉱</v>
      </c>
      <c r="S385">
        <f t="shared" si="52"/>
        <v>1</v>
      </c>
    </row>
    <row r="386" spans="9:19">
      <c r="I386" s="68" t="s">
        <v>1450</v>
      </c>
      <c r="J386" t="s">
        <v>1736</v>
      </c>
      <c r="K386">
        <v>1</v>
      </c>
      <c r="L386">
        <v>0.2</v>
      </c>
      <c r="M386" t="s">
        <v>2286</v>
      </c>
      <c r="N386">
        <v>1</v>
      </c>
      <c r="O386" t="str">
        <f>IF(J386="","",VLOOKUP(J386,道具表!B:C,2,FALSE))</f>
        <v>ソールメダル(5)</v>
      </c>
      <c r="P386">
        <f t="shared" si="50"/>
        <v>1</v>
      </c>
      <c r="Q386">
        <f t="shared" si="51"/>
        <v>0.2</v>
      </c>
      <c r="R386" t="str">
        <f>IF(M386="","",VLOOKUP(M386,道具表!B:C,2,FALSE))</f>
        <v>ペガサスの血</v>
      </c>
      <c r="S386">
        <f t="shared" si="52"/>
        <v>1</v>
      </c>
    </row>
    <row r="387" spans="9:19">
      <c r="O387" t="str">
        <f>IF(J387="","",VLOOKUP(J387,道具表!B:C,2,FALSE))</f>
        <v/>
      </c>
      <c r="P387" t="str">
        <f t="shared" si="50"/>
        <v/>
      </c>
      <c r="Q387" t="str">
        <f t="shared" si="51"/>
        <v/>
      </c>
      <c r="R387" t="str">
        <f>IF(M387="","",VLOOKUP(M387,道具表!B:C,2,FALSE))</f>
        <v/>
      </c>
      <c r="S387" t="str">
        <f t="shared" si="52"/>
        <v/>
      </c>
    </row>
    <row r="388" spans="9:19">
      <c r="I388" s="68" t="s">
        <v>1451</v>
      </c>
      <c r="J388" t="s">
        <v>1736</v>
      </c>
      <c r="K388">
        <v>1</v>
      </c>
      <c r="L388">
        <v>1</v>
      </c>
      <c r="M388" t="s">
        <v>1737</v>
      </c>
      <c r="N388">
        <v>2</v>
      </c>
      <c r="O388" t="str">
        <f>IF(J388="","",VLOOKUP(J388,道具表!B:C,2,FALSE))</f>
        <v>ソールメダル(5)</v>
      </c>
      <c r="P388">
        <f t="shared" si="50"/>
        <v>1</v>
      </c>
      <c r="Q388">
        <f t="shared" si="51"/>
        <v>1</v>
      </c>
      <c r="R388" t="str">
        <f>IF(M388="","",VLOOKUP(M388,道具表!B:C,2,FALSE))</f>
        <v>石塊</v>
      </c>
      <c r="S388">
        <f t="shared" si="52"/>
        <v>2</v>
      </c>
    </row>
    <row r="389" spans="9:19">
      <c r="J389" t="s">
        <v>1278</v>
      </c>
      <c r="K389" t="s">
        <v>1278</v>
      </c>
      <c r="L389">
        <v>0.5</v>
      </c>
      <c r="M389" t="s">
        <v>1738</v>
      </c>
      <c r="N389">
        <v>1</v>
      </c>
      <c r="O389" t="str">
        <f>IF(J389="","",VLOOKUP(J389,道具表!B:C,2,FALSE))</f>
        <v/>
      </c>
      <c r="P389" t="str">
        <f t="shared" si="50"/>
        <v/>
      </c>
      <c r="Q389">
        <f t="shared" si="51"/>
        <v>0.5</v>
      </c>
      <c r="R389" t="str">
        <f>IF(M389="","",VLOOKUP(M389,道具表!B:C,2,FALSE))</f>
        <v>気品ある花束</v>
      </c>
      <c r="S389">
        <f t="shared" si="52"/>
        <v>1</v>
      </c>
    </row>
    <row r="390" spans="9:19">
      <c r="J390" t="s">
        <v>1278</v>
      </c>
      <c r="K390" t="s">
        <v>1278</v>
      </c>
      <c r="L390">
        <v>0.5</v>
      </c>
      <c r="M390" t="s">
        <v>1737</v>
      </c>
      <c r="N390">
        <v>1</v>
      </c>
      <c r="O390" t="str">
        <f>IF(J390="","",VLOOKUP(J390,道具表!B:C,2,FALSE))</f>
        <v/>
      </c>
      <c r="P390" t="str">
        <f t="shared" si="50"/>
        <v/>
      </c>
      <c r="Q390">
        <f t="shared" si="51"/>
        <v>0.5</v>
      </c>
      <c r="R390" t="str">
        <f>IF(M390="","",VLOOKUP(M390,道具表!B:C,2,FALSE))</f>
        <v>石塊</v>
      </c>
      <c r="S390">
        <f t="shared" si="52"/>
        <v>1</v>
      </c>
    </row>
    <row r="391" spans="9:19">
      <c r="I391" s="68" t="s">
        <v>1452</v>
      </c>
      <c r="J391" t="s">
        <v>1736</v>
      </c>
      <c r="K391">
        <v>1</v>
      </c>
      <c r="L391">
        <v>1</v>
      </c>
      <c r="M391" t="s">
        <v>1737</v>
      </c>
      <c r="N391">
        <v>2</v>
      </c>
      <c r="O391" t="str">
        <f>IF(J391="","",VLOOKUP(J391,道具表!B:C,2,FALSE))</f>
        <v>ソールメダル(5)</v>
      </c>
      <c r="P391">
        <f t="shared" si="50"/>
        <v>1</v>
      </c>
      <c r="Q391">
        <f t="shared" si="51"/>
        <v>1</v>
      </c>
      <c r="R391" t="str">
        <f>IF(M391="","",VLOOKUP(M391,道具表!B:C,2,FALSE))</f>
        <v>石塊</v>
      </c>
      <c r="S391">
        <f t="shared" si="52"/>
        <v>2</v>
      </c>
    </row>
    <row r="392" spans="9:19">
      <c r="J392" t="s">
        <v>1278</v>
      </c>
      <c r="K392" t="s">
        <v>1278</v>
      </c>
      <c r="L392">
        <v>0.5</v>
      </c>
      <c r="M392" t="s">
        <v>1738</v>
      </c>
      <c r="N392">
        <v>1</v>
      </c>
      <c r="O392" t="str">
        <f>IF(J392="","",VLOOKUP(J392,道具表!B:C,2,FALSE))</f>
        <v/>
      </c>
      <c r="P392" t="str">
        <f t="shared" si="50"/>
        <v/>
      </c>
      <c r="Q392">
        <f t="shared" si="51"/>
        <v>0.5</v>
      </c>
      <c r="R392" t="str">
        <f>IF(M392="","",VLOOKUP(M392,道具表!B:C,2,FALSE))</f>
        <v>気品ある花束</v>
      </c>
      <c r="S392">
        <f t="shared" si="52"/>
        <v>1</v>
      </c>
    </row>
    <row r="393" spans="9:19">
      <c r="J393" t="s">
        <v>1278</v>
      </c>
      <c r="K393" t="s">
        <v>1278</v>
      </c>
      <c r="L393">
        <v>0.5</v>
      </c>
      <c r="M393" t="s">
        <v>1737</v>
      </c>
      <c r="N393">
        <v>1</v>
      </c>
      <c r="O393" t="str">
        <f>IF(J393="","",VLOOKUP(J393,道具表!B:C,2,FALSE))</f>
        <v/>
      </c>
      <c r="P393" t="str">
        <f t="shared" si="50"/>
        <v/>
      </c>
      <c r="Q393">
        <f t="shared" si="51"/>
        <v>0.5</v>
      </c>
      <c r="R393" t="str">
        <f>IF(M393="","",VLOOKUP(M393,道具表!B:C,2,FALSE))</f>
        <v>石塊</v>
      </c>
      <c r="S393">
        <f t="shared" si="52"/>
        <v>1</v>
      </c>
    </row>
    <row r="394" spans="9:19">
      <c r="I394" s="68" t="s">
        <v>1453</v>
      </c>
      <c r="J394" t="s">
        <v>1736</v>
      </c>
      <c r="K394">
        <v>1</v>
      </c>
      <c r="L394">
        <v>1</v>
      </c>
      <c r="M394" t="s">
        <v>1737</v>
      </c>
      <c r="N394">
        <v>2</v>
      </c>
      <c r="O394" t="str">
        <f>IF(J394="","",VLOOKUP(J394,道具表!B:C,2,FALSE))</f>
        <v>ソールメダル(5)</v>
      </c>
      <c r="P394">
        <f t="shared" si="50"/>
        <v>1</v>
      </c>
      <c r="Q394">
        <f t="shared" si="51"/>
        <v>1</v>
      </c>
      <c r="R394" t="str">
        <f>IF(M394="","",VLOOKUP(M394,道具表!B:C,2,FALSE))</f>
        <v>石塊</v>
      </c>
      <c r="S394">
        <f t="shared" si="52"/>
        <v>2</v>
      </c>
    </row>
    <row r="395" spans="9:19">
      <c r="J395" t="s">
        <v>1278</v>
      </c>
      <c r="K395" t="s">
        <v>1278</v>
      </c>
      <c r="L395">
        <v>0.5</v>
      </c>
      <c r="M395" t="s">
        <v>1505</v>
      </c>
      <c r="N395">
        <v>1</v>
      </c>
      <c r="O395" t="str">
        <f>IF(J395="","",VLOOKUP(J395,道具表!B:C,2,FALSE))</f>
        <v/>
      </c>
      <c r="P395" t="str">
        <f t="shared" si="50"/>
        <v/>
      </c>
      <c r="Q395">
        <f t="shared" si="51"/>
        <v>0.5</v>
      </c>
      <c r="R395" t="str">
        <f>IF(M395="","",VLOOKUP(M395,道具表!B:C,2,FALSE))</f>
        <v>82年物の蜂蜜酒</v>
      </c>
      <c r="S395">
        <f t="shared" si="52"/>
        <v>1</v>
      </c>
    </row>
    <row r="396" spans="9:19">
      <c r="J396" t="s">
        <v>1278</v>
      </c>
      <c r="K396" t="s">
        <v>1278</v>
      </c>
      <c r="L396">
        <v>0.5</v>
      </c>
      <c r="M396" t="s">
        <v>1737</v>
      </c>
      <c r="N396">
        <v>1</v>
      </c>
      <c r="O396" t="str">
        <f>IF(J396="","",VLOOKUP(J396,道具表!B:C,2,FALSE))</f>
        <v/>
      </c>
      <c r="P396" t="str">
        <f t="shared" si="50"/>
        <v/>
      </c>
      <c r="Q396">
        <f t="shared" si="51"/>
        <v>0.5</v>
      </c>
      <c r="R396" t="str">
        <f>IF(M396="","",VLOOKUP(M396,道具表!B:C,2,FALSE))</f>
        <v>石塊</v>
      </c>
      <c r="S396">
        <f t="shared" si="52"/>
        <v>1</v>
      </c>
    </row>
    <row r="397" spans="9:19">
      <c r="I397" s="68" t="s">
        <v>1454</v>
      </c>
      <c r="J397" t="s">
        <v>1736</v>
      </c>
      <c r="K397">
        <v>1</v>
      </c>
      <c r="L397">
        <v>1</v>
      </c>
      <c r="M397" t="s">
        <v>1737</v>
      </c>
      <c r="N397">
        <v>2</v>
      </c>
      <c r="O397" t="str">
        <f>IF(J397="","",VLOOKUP(J397,道具表!B:C,2,FALSE))</f>
        <v>ソールメダル(5)</v>
      </c>
      <c r="P397">
        <f t="shared" si="50"/>
        <v>1</v>
      </c>
      <c r="Q397">
        <f t="shared" si="51"/>
        <v>1</v>
      </c>
      <c r="R397" t="str">
        <f>IF(M397="","",VLOOKUP(M397,道具表!B:C,2,FALSE))</f>
        <v>石塊</v>
      </c>
      <c r="S397">
        <f t="shared" si="52"/>
        <v>2</v>
      </c>
    </row>
    <row r="398" spans="9:19">
      <c r="J398" t="s">
        <v>1278</v>
      </c>
      <c r="K398" t="s">
        <v>1278</v>
      </c>
      <c r="L398">
        <v>0.5</v>
      </c>
      <c r="M398" t="s">
        <v>1505</v>
      </c>
      <c r="N398">
        <v>1</v>
      </c>
      <c r="O398" t="str">
        <f>IF(J398="","",VLOOKUP(J398,道具表!B:C,2,FALSE))</f>
        <v/>
      </c>
      <c r="P398" t="str">
        <f t="shared" si="50"/>
        <v/>
      </c>
      <c r="Q398">
        <f t="shared" si="51"/>
        <v>0.5</v>
      </c>
      <c r="R398" t="str">
        <f>IF(M398="","",VLOOKUP(M398,道具表!B:C,2,FALSE))</f>
        <v>82年物の蜂蜜酒</v>
      </c>
      <c r="S398">
        <f t="shared" si="52"/>
        <v>1</v>
      </c>
    </row>
    <row r="399" spans="9:19">
      <c r="J399" t="s">
        <v>1278</v>
      </c>
      <c r="K399" t="s">
        <v>1278</v>
      </c>
      <c r="L399">
        <v>0.5</v>
      </c>
      <c r="M399" t="s">
        <v>1737</v>
      </c>
      <c r="N399">
        <v>1</v>
      </c>
      <c r="O399" t="str">
        <f>IF(J399="","",VLOOKUP(J399,道具表!B:C,2,FALSE))</f>
        <v/>
      </c>
      <c r="P399" t="str">
        <f t="shared" si="50"/>
        <v/>
      </c>
      <c r="Q399">
        <f t="shared" si="51"/>
        <v>0.5</v>
      </c>
      <c r="R399" t="str">
        <f>IF(M399="","",VLOOKUP(M399,道具表!B:C,2,FALSE))</f>
        <v>石塊</v>
      </c>
      <c r="S399">
        <f t="shared" si="52"/>
        <v>1</v>
      </c>
    </row>
    <row r="400" spans="9:19">
      <c r="I400" s="68" t="s">
        <v>1455</v>
      </c>
      <c r="J400" t="s">
        <v>1736</v>
      </c>
      <c r="K400">
        <v>1</v>
      </c>
      <c r="L400">
        <v>1</v>
      </c>
      <c r="M400" t="s">
        <v>1504</v>
      </c>
      <c r="N400">
        <v>8</v>
      </c>
      <c r="O400" t="str">
        <f>IF(J400="","",VLOOKUP(J400,道具表!B:C,2,FALSE))</f>
        <v>ソールメダル(5)</v>
      </c>
      <c r="P400">
        <f t="shared" si="50"/>
        <v>1</v>
      </c>
      <c r="Q400">
        <f t="shared" si="51"/>
        <v>1</v>
      </c>
      <c r="R400" t="str">
        <f>IF(M400="","",VLOOKUP(M400,道具表!B:C,2,FALSE))</f>
        <v>宿命の果実</v>
      </c>
      <c r="S400">
        <f t="shared" si="52"/>
        <v>8</v>
      </c>
    </row>
    <row r="401" spans="9:19">
      <c r="I401" s="68" t="s">
        <v>1456</v>
      </c>
      <c r="J401" t="s">
        <v>1736</v>
      </c>
      <c r="K401">
        <v>1</v>
      </c>
      <c r="L401">
        <v>1</v>
      </c>
      <c r="M401" t="s">
        <v>1742</v>
      </c>
      <c r="N401">
        <v>1</v>
      </c>
      <c r="O401" t="str">
        <f>IF(J401="","",VLOOKUP(J401,道具表!B:C,2,FALSE))</f>
        <v>ソールメダル(5)</v>
      </c>
      <c r="P401">
        <f t="shared" si="50"/>
        <v>1</v>
      </c>
      <c r="Q401">
        <f t="shared" si="51"/>
        <v>1</v>
      </c>
      <c r="R401" t="str">
        <f>IF(M401="","",VLOOKUP(M401,道具表!B:C,2,FALSE))</f>
        <v>銅鉱</v>
      </c>
      <c r="S401">
        <f t="shared" si="52"/>
        <v>1</v>
      </c>
    </row>
    <row r="402" spans="9:19">
      <c r="J402" t="s">
        <v>1278</v>
      </c>
      <c r="K402" t="s">
        <v>1278</v>
      </c>
      <c r="L402">
        <v>0.25</v>
      </c>
      <c r="M402" t="s">
        <v>1742</v>
      </c>
      <c r="N402">
        <v>1</v>
      </c>
      <c r="O402" t="str">
        <f>IF(J402="","",VLOOKUP(J402,道具表!B:C,2,FALSE))</f>
        <v/>
      </c>
      <c r="P402" t="str">
        <f t="shared" si="50"/>
        <v/>
      </c>
      <c r="Q402">
        <f t="shared" si="51"/>
        <v>0.25</v>
      </c>
      <c r="R402" t="str">
        <f>IF(M402="","",VLOOKUP(M402,道具表!B:C,2,FALSE))</f>
        <v>銅鉱</v>
      </c>
      <c r="S402">
        <f t="shared" si="52"/>
        <v>1</v>
      </c>
    </row>
    <row r="403" spans="9:19">
      <c r="I403" s="68" t="s">
        <v>1457</v>
      </c>
      <c r="J403" t="s">
        <v>1506</v>
      </c>
      <c r="K403">
        <v>1</v>
      </c>
      <c r="L403">
        <v>0.2</v>
      </c>
      <c r="M403" t="s">
        <v>2287</v>
      </c>
      <c r="N403">
        <v>1</v>
      </c>
      <c r="O403" t="str">
        <f>IF(J403="","",VLOOKUP(J403,道具表!B:C,2,FALSE))</f>
        <v>ソール召喚チケット</v>
      </c>
      <c r="P403">
        <f t="shared" si="50"/>
        <v>1</v>
      </c>
      <c r="Q403">
        <f t="shared" si="51"/>
        <v>0.2</v>
      </c>
      <c r="R403" t="str">
        <f>IF(M403="","",VLOOKUP(M403,道具表!B:C,2,FALSE))</f>
        <v>巨斧のかけら</v>
      </c>
      <c r="S403">
        <f t="shared" si="52"/>
        <v>1</v>
      </c>
    </row>
    <row r="404" spans="9:19">
      <c r="I404" s="69" t="s">
        <v>1458</v>
      </c>
      <c r="O404" t="str">
        <f>IF(J404="","",VLOOKUP(J404,道具表!B:C,2,FALSE))</f>
        <v/>
      </c>
      <c r="P404" t="str">
        <f t="shared" si="50"/>
        <v/>
      </c>
      <c r="Q404" t="str">
        <f t="shared" si="51"/>
        <v/>
      </c>
      <c r="R404" t="str">
        <f>IF(M404="","",VLOOKUP(M404,道具表!B:C,2,FALSE))</f>
        <v/>
      </c>
      <c r="S404" t="str">
        <f t="shared" si="52"/>
        <v/>
      </c>
    </row>
    <row r="405" spans="9:19">
      <c r="I405" s="68" t="s">
        <v>1459</v>
      </c>
      <c r="J405" t="s">
        <v>1736</v>
      </c>
      <c r="K405">
        <v>1</v>
      </c>
      <c r="L405">
        <v>1</v>
      </c>
      <c r="M405" t="s">
        <v>1737</v>
      </c>
      <c r="N405">
        <v>4</v>
      </c>
      <c r="O405" t="str">
        <f>IF(J405="","",VLOOKUP(J405,道具表!B:C,2,FALSE))</f>
        <v>ソールメダル(5)</v>
      </c>
      <c r="P405">
        <f t="shared" si="50"/>
        <v>1</v>
      </c>
      <c r="Q405">
        <f t="shared" si="51"/>
        <v>1</v>
      </c>
      <c r="R405" t="str">
        <f>IF(M405="","",VLOOKUP(M405,道具表!B:C,2,FALSE))</f>
        <v>石塊</v>
      </c>
      <c r="S405">
        <f t="shared" si="52"/>
        <v>4</v>
      </c>
    </row>
    <row r="406" spans="9:19">
      <c r="J406" t="s">
        <v>1278</v>
      </c>
      <c r="K406" t="s">
        <v>1278</v>
      </c>
      <c r="L406">
        <v>0.8</v>
      </c>
      <c r="M406" t="s">
        <v>1738</v>
      </c>
      <c r="N406">
        <v>1</v>
      </c>
      <c r="O406" t="str">
        <f>IF(J406="","",VLOOKUP(J406,道具表!B:C,2,FALSE))</f>
        <v/>
      </c>
      <c r="P406" t="str">
        <f t="shared" si="50"/>
        <v/>
      </c>
      <c r="Q406">
        <f t="shared" si="51"/>
        <v>0.8</v>
      </c>
      <c r="R406" t="str">
        <f>IF(M406="","",VLOOKUP(M406,道具表!B:C,2,FALSE))</f>
        <v>気品ある花束</v>
      </c>
      <c r="S406">
        <f t="shared" si="52"/>
        <v>1</v>
      </c>
    </row>
    <row r="407" spans="9:19">
      <c r="I407" s="68" t="s">
        <v>1460</v>
      </c>
      <c r="J407" t="s">
        <v>1736</v>
      </c>
      <c r="K407">
        <v>1</v>
      </c>
      <c r="L407">
        <v>1</v>
      </c>
      <c r="M407" t="s">
        <v>1737</v>
      </c>
      <c r="N407">
        <v>4</v>
      </c>
      <c r="O407" t="str">
        <f>IF(J407="","",VLOOKUP(J407,道具表!B:C,2,FALSE))</f>
        <v>ソールメダル(5)</v>
      </c>
      <c r="P407">
        <f t="shared" si="50"/>
        <v>1</v>
      </c>
      <c r="Q407">
        <f t="shared" si="51"/>
        <v>1</v>
      </c>
      <c r="R407" t="str">
        <f>IF(M407="","",VLOOKUP(M407,道具表!B:C,2,FALSE))</f>
        <v>石塊</v>
      </c>
      <c r="S407">
        <f t="shared" si="52"/>
        <v>4</v>
      </c>
    </row>
    <row r="408" spans="9:19">
      <c r="J408" t="s">
        <v>1278</v>
      </c>
      <c r="K408" t="s">
        <v>1278</v>
      </c>
      <c r="L408">
        <v>0.8</v>
      </c>
      <c r="M408" t="s">
        <v>1738</v>
      </c>
      <c r="N408">
        <v>1</v>
      </c>
      <c r="O408" t="str">
        <f>IF(J408="","",VLOOKUP(J408,道具表!B:C,2,FALSE))</f>
        <v/>
      </c>
      <c r="P408" t="str">
        <f t="shared" si="50"/>
        <v/>
      </c>
      <c r="Q408">
        <f t="shared" si="51"/>
        <v>0.8</v>
      </c>
      <c r="R408" t="str">
        <f>IF(M408="","",VLOOKUP(M408,道具表!B:C,2,FALSE))</f>
        <v>気品ある花束</v>
      </c>
      <c r="S408">
        <f t="shared" si="52"/>
        <v>1</v>
      </c>
    </row>
    <row r="409" spans="9:19">
      <c r="I409" s="68" t="s">
        <v>1461</v>
      </c>
      <c r="J409" t="s">
        <v>1736</v>
      </c>
      <c r="K409">
        <v>1</v>
      </c>
      <c r="L409">
        <v>1</v>
      </c>
      <c r="M409" t="s">
        <v>1737</v>
      </c>
      <c r="N409">
        <v>4</v>
      </c>
      <c r="O409" t="str">
        <f>IF(J409="","",VLOOKUP(J409,道具表!B:C,2,FALSE))</f>
        <v>ソールメダル(5)</v>
      </c>
      <c r="P409">
        <f t="shared" si="50"/>
        <v>1</v>
      </c>
      <c r="Q409">
        <f t="shared" si="51"/>
        <v>1</v>
      </c>
      <c r="R409" t="str">
        <f>IF(M409="","",VLOOKUP(M409,道具表!B:C,2,FALSE))</f>
        <v>石塊</v>
      </c>
      <c r="S409">
        <f t="shared" si="52"/>
        <v>4</v>
      </c>
    </row>
    <row r="410" spans="9:19">
      <c r="J410" t="s">
        <v>1278</v>
      </c>
      <c r="K410" t="s">
        <v>1278</v>
      </c>
      <c r="L410">
        <v>0.8</v>
      </c>
      <c r="M410" t="s">
        <v>1505</v>
      </c>
      <c r="N410">
        <v>1</v>
      </c>
      <c r="O410" t="str">
        <f>IF(J410="","",VLOOKUP(J410,道具表!B:C,2,FALSE))</f>
        <v/>
      </c>
      <c r="P410" t="str">
        <f t="shared" si="50"/>
        <v/>
      </c>
      <c r="Q410">
        <f t="shared" si="51"/>
        <v>0.8</v>
      </c>
      <c r="R410" t="str">
        <f>IF(M410="","",VLOOKUP(M410,道具表!B:C,2,FALSE))</f>
        <v>82年物の蜂蜜酒</v>
      </c>
      <c r="S410">
        <f t="shared" si="52"/>
        <v>1</v>
      </c>
    </row>
    <row r="411" spans="9:19">
      <c r="I411" s="68" t="s">
        <v>1462</v>
      </c>
      <c r="J411" t="s">
        <v>1736</v>
      </c>
      <c r="K411">
        <v>1</v>
      </c>
      <c r="L411">
        <v>1</v>
      </c>
      <c r="M411" t="s">
        <v>1737</v>
      </c>
      <c r="N411">
        <v>4</v>
      </c>
      <c r="O411" t="str">
        <f>IF(J411="","",VLOOKUP(J411,道具表!B:C,2,FALSE))</f>
        <v>ソールメダル(5)</v>
      </c>
      <c r="P411">
        <f t="shared" si="50"/>
        <v>1</v>
      </c>
      <c r="Q411">
        <f t="shared" si="51"/>
        <v>1</v>
      </c>
      <c r="R411" t="str">
        <f>IF(M411="","",VLOOKUP(M411,道具表!B:C,2,FALSE))</f>
        <v>石塊</v>
      </c>
      <c r="S411">
        <f t="shared" si="52"/>
        <v>4</v>
      </c>
    </row>
    <row r="412" spans="9:19">
      <c r="J412" t="s">
        <v>1278</v>
      </c>
      <c r="K412" t="s">
        <v>1278</v>
      </c>
      <c r="L412">
        <v>0.8</v>
      </c>
      <c r="M412" t="s">
        <v>1505</v>
      </c>
      <c r="N412">
        <v>1</v>
      </c>
      <c r="O412" t="str">
        <f>IF(J412="","",VLOOKUP(J412,道具表!B:C,2,FALSE))</f>
        <v/>
      </c>
      <c r="P412" t="str">
        <f t="shared" si="50"/>
        <v/>
      </c>
      <c r="Q412">
        <f t="shared" si="51"/>
        <v>0.8</v>
      </c>
      <c r="R412" t="str">
        <f>IF(M412="","",VLOOKUP(M412,道具表!B:C,2,FALSE))</f>
        <v>82年物の蜂蜜酒</v>
      </c>
      <c r="S412">
        <f t="shared" si="52"/>
        <v>1</v>
      </c>
    </row>
    <row r="413" spans="9:19">
      <c r="I413" s="68" t="s">
        <v>1463</v>
      </c>
      <c r="J413" t="s">
        <v>1736</v>
      </c>
      <c r="K413">
        <v>1</v>
      </c>
      <c r="L413">
        <v>1</v>
      </c>
      <c r="M413" t="s">
        <v>1504</v>
      </c>
      <c r="N413">
        <v>12</v>
      </c>
      <c r="O413" t="str">
        <f>IF(J413="","",VLOOKUP(J413,道具表!B:C,2,FALSE))</f>
        <v>ソールメダル(5)</v>
      </c>
      <c r="P413">
        <f t="shared" si="50"/>
        <v>1</v>
      </c>
      <c r="Q413">
        <f t="shared" si="51"/>
        <v>1</v>
      </c>
      <c r="R413" t="str">
        <f>IF(M413="","",VLOOKUP(M413,道具表!B:C,2,FALSE))</f>
        <v>宿命の果実</v>
      </c>
      <c r="S413">
        <f t="shared" si="52"/>
        <v>12</v>
      </c>
    </row>
    <row r="414" spans="9:19">
      <c r="I414" s="68" t="s">
        <v>1464</v>
      </c>
      <c r="J414" t="s">
        <v>1736</v>
      </c>
      <c r="K414">
        <v>1</v>
      </c>
      <c r="L414">
        <v>1</v>
      </c>
      <c r="M414" t="s">
        <v>1742</v>
      </c>
      <c r="N414">
        <v>2</v>
      </c>
      <c r="O414" t="str">
        <f>IF(J414="","",VLOOKUP(J414,道具表!B:C,2,FALSE))</f>
        <v>ソールメダル(5)</v>
      </c>
      <c r="P414">
        <f t="shared" si="50"/>
        <v>1</v>
      </c>
      <c r="Q414">
        <f t="shared" si="51"/>
        <v>1</v>
      </c>
      <c r="R414" t="str">
        <f>IF(M414="","",VLOOKUP(M414,道具表!B:C,2,FALSE))</f>
        <v>銅鉱</v>
      </c>
      <c r="S414">
        <f t="shared" si="52"/>
        <v>2</v>
      </c>
    </row>
    <row r="415" spans="9:19">
      <c r="I415" s="68" t="s">
        <v>1465</v>
      </c>
      <c r="J415" t="s">
        <v>1736</v>
      </c>
      <c r="K415">
        <v>1</v>
      </c>
      <c r="L415">
        <v>0.2</v>
      </c>
      <c r="M415" t="s">
        <v>2288</v>
      </c>
      <c r="N415">
        <v>1</v>
      </c>
      <c r="O415" t="str">
        <f>IF(J415="","",VLOOKUP(J415,道具表!B:C,2,FALSE))</f>
        <v>ソールメダル(5)</v>
      </c>
      <c r="P415">
        <f t="shared" si="50"/>
        <v>1</v>
      </c>
      <c r="Q415">
        <f t="shared" si="51"/>
        <v>0.2</v>
      </c>
      <c r="R415" t="str">
        <f>IF(M415="","",VLOOKUP(M415,道具表!B:C,2,FALSE))</f>
        <v>神槌の残骸</v>
      </c>
      <c r="S415">
        <f t="shared" si="52"/>
        <v>1</v>
      </c>
    </row>
    <row r="416" spans="9:19">
      <c r="J416" t="s">
        <v>1278</v>
      </c>
      <c r="K416" t="s">
        <v>1278</v>
      </c>
      <c r="L416" t="s">
        <v>1278</v>
      </c>
      <c r="M416" t="s">
        <v>1278</v>
      </c>
      <c r="N416" t="s">
        <v>1278</v>
      </c>
      <c r="O416" t="str">
        <f>IF(J416="","",VLOOKUP(J416,道具表!B:C,2,FALSE))</f>
        <v/>
      </c>
      <c r="P416" t="str">
        <f t="shared" si="50"/>
        <v/>
      </c>
      <c r="Q416" t="str">
        <f t="shared" si="51"/>
        <v/>
      </c>
      <c r="R416" t="str">
        <f>IF(M416="","",VLOOKUP(M416,道具表!B:C,2,FALSE))</f>
        <v/>
      </c>
      <c r="S416" t="str">
        <f t="shared" si="52"/>
        <v/>
      </c>
    </row>
    <row r="417" spans="9:19">
      <c r="I417" s="68" t="s">
        <v>1466</v>
      </c>
      <c r="J417" t="s">
        <v>1736</v>
      </c>
      <c r="K417">
        <v>1</v>
      </c>
      <c r="L417">
        <v>1</v>
      </c>
      <c r="M417" t="s">
        <v>1737</v>
      </c>
      <c r="N417">
        <v>4</v>
      </c>
      <c r="O417" t="str">
        <f>IF(J417="","",VLOOKUP(J417,道具表!B:C,2,FALSE))</f>
        <v>ソールメダル(5)</v>
      </c>
      <c r="P417">
        <f t="shared" si="50"/>
        <v>1</v>
      </c>
      <c r="Q417">
        <f t="shared" si="51"/>
        <v>1</v>
      </c>
      <c r="R417" t="str">
        <f>IF(M417="","",VLOOKUP(M417,道具表!B:C,2,FALSE))</f>
        <v>石塊</v>
      </c>
      <c r="S417">
        <f t="shared" si="52"/>
        <v>4</v>
      </c>
    </row>
    <row r="418" spans="9:19">
      <c r="J418" t="s">
        <v>1278</v>
      </c>
      <c r="K418" t="s">
        <v>1278</v>
      </c>
      <c r="L418">
        <v>0.8</v>
      </c>
      <c r="M418" t="s">
        <v>1738</v>
      </c>
      <c r="N418">
        <v>1</v>
      </c>
      <c r="O418" t="str">
        <f>IF(J418="","",VLOOKUP(J418,道具表!B:C,2,FALSE))</f>
        <v/>
      </c>
      <c r="P418" t="str">
        <f t="shared" si="50"/>
        <v/>
      </c>
      <c r="Q418">
        <f t="shared" si="51"/>
        <v>0.8</v>
      </c>
      <c r="R418" t="str">
        <f>IF(M418="","",VLOOKUP(M418,道具表!B:C,2,FALSE))</f>
        <v>気品ある花束</v>
      </c>
      <c r="S418">
        <f t="shared" si="52"/>
        <v>1</v>
      </c>
    </row>
    <row r="419" spans="9:19">
      <c r="I419" s="68" t="s">
        <v>1467</v>
      </c>
      <c r="J419" t="s">
        <v>1736</v>
      </c>
      <c r="K419">
        <v>1</v>
      </c>
      <c r="L419">
        <v>1</v>
      </c>
      <c r="M419" t="s">
        <v>1737</v>
      </c>
      <c r="N419">
        <v>4</v>
      </c>
      <c r="O419" t="str">
        <f>IF(J419="","",VLOOKUP(J419,道具表!B:C,2,FALSE))</f>
        <v>ソールメダル(5)</v>
      </c>
      <c r="P419">
        <f t="shared" si="50"/>
        <v>1</v>
      </c>
      <c r="Q419">
        <f t="shared" si="51"/>
        <v>1</v>
      </c>
      <c r="R419" t="str">
        <f>IF(M419="","",VLOOKUP(M419,道具表!B:C,2,FALSE))</f>
        <v>石塊</v>
      </c>
      <c r="S419">
        <f t="shared" si="52"/>
        <v>4</v>
      </c>
    </row>
    <row r="420" spans="9:19">
      <c r="J420" t="s">
        <v>1278</v>
      </c>
      <c r="K420" t="s">
        <v>1278</v>
      </c>
      <c r="L420">
        <v>0.8</v>
      </c>
      <c r="M420" t="s">
        <v>1738</v>
      </c>
      <c r="N420">
        <v>1</v>
      </c>
      <c r="O420" t="str">
        <f>IF(J420="","",VLOOKUP(J420,道具表!B:C,2,FALSE))</f>
        <v/>
      </c>
      <c r="P420" t="str">
        <f t="shared" si="50"/>
        <v/>
      </c>
      <c r="Q420">
        <f t="shared" si="51"/>
        <v>0.8</v>
      </c>
      <c r="R420" t="str">
        <f>IF(M420="","",VLOOKUP(M420,道具表!B:C,2,FALSE))</f>
        <v>気品ある花束</v>
      </c>
      <c r="S420">
        <f t="shared" si="52"/>
        <v>1</v>
      </c>
    </row>
    <row r="421" spans="9:19">
      <c r="I421" s="68" t="s">
        <v>1468</v>
      </c>
      <c r="J421" t="s">
        <v>1736</v>
      </c>
      <c r="K421">
        <v>1</v>
      </c>
      <c r="L421">
        <v>1</v>
      </c>
      <c r="M421" t="s">
        <v>1737</v>
      </c>
      <c r="N421">
        <v>4</v>
      </c>
      <c r="O421" t="str">
        <f>IF(J421="","",VLOOKUP(J421,道具表!B:C,2,FALSE))</f>
        <v>ソールメダル(5)</v>
      </c>
      <c r="P421">
        <f t="shared" si="50"/>
        <v>1</v>
      </c>
      <c r="Q421">
        <f t="shared" si="51"/>
        <v>1</v>
      </c>
      <c r="R421" t="str">
        <f>IF(M421="","",VLOOKUP(M421,道具表!B:C,2,FALSE))</f>
        <v>石塊</v>
      </c>
      <c r="S421">
        <f t="shared" si="52"/>
        <v>4</v>
      </c>
    </row>
    <row r="422" spans="9:19">
      <c r="J422" t="s">
        <v>1278</v>
      </c>
      <c r="K422" t="s">
        <v>1278</v>
      </c>
      <c r="L422">
        <v>0.8</v>
      </c>
      <c r="M422" t="s">
        <v>1505</v>
      </c>
      <c r="N422">
        <v>1</v>
      </c>
      <c r="O422" t="str">
        <f>IF(J422="","",VLOOKUP(J422,道具表!B:C,2,FALSE))</f>
        <v/>
      </c>
      <c r="P422" t="str">
        <f t="shared" si="50"/>
        <v/>
      </c>
      <c r="Q422">
        <f t="shared" si="51"/>
        <v>0.8</v>
      </c>
      <c r="R422" t="str">
        <f>IF(M422="","",VLOOKUP(M422,道具表!B:C,2,FALSE))</f>
        <v>82年物の蜂蜜酒</v>
      </c>
      <c r="S422">
        <f t="shared" si="52"/>
        <v>1</v>
      </c>
    </row>
    <row r="423" spans="9:19">
      <c r="I423" s="68" t="s">
        <v>1469</v>
      </c>
      <c r="J423" t="s">
        <v>1736</v>
      </c>
      <c r="K423">
        <v>1</v>
      </c>
      <c r="L423">
        <v>1</v>
      </c>
      <c r="M423" t="s">
        <v>1737</v>
      </c>
      <c r="N423">
        <v>4</v>
      </c>
      <c r="O423" t="str">
        <f>IF(J423="","",VLOOKUP(J423,道具表!B:C,2,FALSE))</f>
        <v>ソールメダル(5)</v>
      </c>
      <c r="P423">
        <f t="shared" ref="P423:P486" si="53">IF(K423="","",K423)</f>
        <v>1</v>
      </c>
      <c r="Q423">
        <f t="shared" ref="Q423:Q486" si="54">IF(L423="","",L423)</f>
        <v>1</v>
      </c>
      <c r="R423" t="str">
        <f>IF(M423="","",VLOOKUP(M423,道具表!B:C,2,FALSE))</f>
        <v>石塊</v>
      </c>
      <c r="S423">
        <f t="shared" ref="S423:S486" si="55">IF(N423="","",N423)</f>
        <v>4</v>
      </c>
    </row>
    <row r="424" spans="9:19">
      <c r="J424" t="s">
        <v>1278</v>
      </c>
      <c r="K424" t="s">
        <v>1278</v>
      </c>
      <c r="L424">
        <v>0.8</v>
      </c>
      <c r="M424" t="s">
        <v>1505</v>
      </c>
      <c r="N424">
        <v>1</v>
      </c>
      <c r="O424" t="str">
        <f>IF(J424="","",VLOOKUP(J424,道具表!B:C,2,FALSE))</f>
        <v/>
      </c>
      <c r="P424" t="str">
        <f t="shared" si="53"/>
        <v/>
      </c>
      <c r="Q424">
        <f t="shared" si="54"/>
        <v>0.8</v>
      </c>
      <c r="R424" t="str">
        <f>IF(M424="","",VLOOKUP(M424,道具表!B:C,2,FALSE))</f>
        <v>82年物の蜂蜜酒</v>
      </c>
      <c r="S424">
        <f t="shared" si="55"/>
        <v>1</v>
      </c>
    </row>
    <row r="425" spans="9:19">
      <c r="I425" s="68" t="s">
        <v>1470</v>
      </c>
      <c r="J425" t="s">
        <v>1736</v>
      </c>
      <c r="K425">
        <v>1</v>
      </c>
      <c r="L425">
        <v>1</v>
      </c>
      <c r="M425" t="s">
        <v>1504</v>
      </c>
      <c r="N425">
        <v>12</v>
      </c>
      <c r="O425" t="str">
        <f>IF(J425="","",VLOOKUP(J425,道具表!B:C,2,FALSE))</f>
        <v>ソールメダル(5)</v>
      </c>
      <c r="P425">
        <f t="shared" si="53"/>
        <v>1</v>
      </c>
      <c r="Q425">
        <f t="shared" si="54"/>
        <v>1</v>
      </c>
      <c r="R425" t="str">
        <f>IF(M425="","",VLOOKUP(M425,道具表!B:C,2,FALSE))</f>
        <v>宿命の果実</v>
      </c>
      <c r="S425">
        <f t="shared" si="55"/>
        <v>12</v>
      </c>
    </row>
    <row r="426" spans="9:19">
      <c r="I426" s="68" t="s">
        <v>1471</v>
      </c>
      <c r="J426" t="s">
        <v>1736</v>
      </c>
      <c r="K426">
        <v>1</v>
      </c>
      <c r="L426">
        <v>1</v>
      </c>
      <c r="M426" t="s">
        <v>1742</v>
      </c>
      <c r="N426">
        <v>2</v>
      </c>
      <c r="O426" t="str">
        <f>IF(J426="","",VLOOKUP(J426,道具表!B:C,2,FALSE))</f>
        <v>ソールメダル(5)</v>
      </c>
      <c r="P426">
        <f t="shared" si="53"/>
        <v>1</v>
      </c>
      <c r="Q426">
        <f t="shared" si="54"/>
        <v>1</v>
      </c>
      <c r="R426" t="str">
        <f>IF(M426="","",VLOOKUP(M426,道具表!B:C,2,FALSE))</f>
        <v>銅鉱</v>
      </c>
      <c r="S426">
        <f t="shared" si="55"/>
        <v>2</v>
      </c>
    </row>
    <row r="427" spans="9:19">
      <c r="I427" s="68" t="s">
        <v>1472</v>
      </c>
      <c r="J427" t="s">
        <v>1736</v>
      </c>
      <c r="K427">
        <v>1</v>
      </c>
      <c r="L427">
        <v>0.2</v>
      </c>
      <c r="M427" t="s">
        <v>2289</v>
      </c>
      <c r="N427">
        <v>1</v>
      </c>
      <c r="O427" t="str">
        <f>IF(J427="","",VLOOKUP(J427,道具表!B:C,2,FALSE))</f>
        <v>ソールメダル(5)</v>
      </c>
      <c r="P427">
        <f t="shared" si="53"/>
        <v>1</v>
      </c>
      <c r="Q427">
        <f t="shared" si="54"/>
        <v>0.2</v>
      </c>
      <c r="R427" t="str">
        <f>IF(M427="","",VLOOKUP(M427,道具表!B:C,2,FALSE))</f>
        <v>賢者の血</v>
      </c>
      <c r="S427">
        <f t="shared" si="55"/>
        <v>1</v>
      </c>
    </row>
    <row r="428" spans="9:19">
      <c r="O428" t="str">
        <f>IF(J428="","",VLOOKUP(J428,道具表!B:C,2,FALSE))</f>
        <v/>
      </c>
      <c r="P428" t="str">
        <f t="shared" si="53"/>
        <v/>
      </c>
      <c r="Q428" t="str">
        <f t="shared" si="54"/>
        <v/>
      </c>
      <c r="R428" t="str">
        <f>IF(M428="","",VLOOKUP(M428,道具表!B:C,2,FALSE))</f>
        <v/>
      </c>
      <c r="S428" t="str">
        <f t="shared" si="55"/>
        <v/>
      </c>
    </row>
    <row r="429" spans="9:19">
      <c r="I429" s="68" t="s">
        <v>1473</v>
      </c>
      <c r="J429" t="s">
        <v>1736</v>
      </c>
      <c r="K429">
        <v>1</v>
      </c>
      <c r="L429">
        <v>1</v>
      </c>
      <c r="M429" t="s">
        <v>1737</v>
      </c>
      <c r="N429">
        <v>4</v>
      </c>
      <c r="O429" t="str">
        <f>IF(J429="","",VLOOKUP(J429,道具表!B:C,2,FALSE))</f>
        <v>ソールメダル(5)</v>
      </c>
      <c r="P429">
        <f t="shared" si="53"/>
        <v>1</v>
      </c>
      <c r="Q429">
        <f t="shared" si="54"/>
        <v>1</v>
      </c>
      <c r="R429" t="str">
        <f>IF(M429="","",VLOOKUP(M429,道具表!B:C,2,FALSE))</f>
        <v>石塊</v>
      </c>
      <c r="S429">
        <f t="shared" si="55"/>
        <v>4</v>
      </c>
    </row>
    <row r="430" spans="9:19">
      <c r="J430" t="s">
        <v>1278</v>
      </c>
      <c r="K430" t="s">
        <v>1278</v>
      </c>
      <c r="L430">
        <v>0.8</v>
      </c>
      <c r="M430" t="s">
        <v>1738</v>
      </c>
      <c r="N430">
        <v>1</v>
      </c>
      <c r="O430" t="str">
        <f>IF(J430="","",VLOOKUP(J430,道具表!B:C,2,FALSE))</f>
        <v/>
      </c>
      <c r="P430" t="str">
        <f t="shared" si="53"/>
        <v/>
      </c>
      <c r="Q430">
        <f t="shared" si="54"/>
        <v>0.8</v>
      </c>
      <c r="R430" t="str">
        <f>IF(M430="","",VLOOKUP(M430,道具表!B:C,2,FALSE))</f>
        <v>気品ある花束</v>
      </c>
      <c r="S430">
        <f t="shared" si="55"/>
        <v>1</v>
      </c>
    </row>
    <row r="431" spans="9:19">
      <c r="I431" s="68" t="s">
        <v>1474</v>
      </c>
      <c r="J431" t="s">
        <v>1736</v>
      </c>
      <c r="K431">
        <v>1</v>
      </c>
      <c r="L431">
        <v>1</v>
      </c>
      <c r="M431" t="s">
        <v>1737</v>
      </c>
      <c r="N431">
        <v>4</v>
      </c>
      <c r="O431" t="str">
        <f>IF(J431="","",VLOOKUP(J431,道具表!B:C,2,FALSE))</f>
        <v>ソールメダル(5)</v>
      </c>
      <c r="P431">
        <f t="shared" si="53"/>
        <v>1</v>
      </c>
      <c r="Q431">
        <f t="shared" si="54"/>
        <v>1</v>
      </c>
      <c r="R431" t="str">
        <f>IF(M431="","",VLOOKUP(M431,道具表!B:C,2,FALSE))</f>
        <v>石塊</v>
      </c>
      <c r="S431">
        <f t="shared" si="55"/>
        <v>4</v>
      </c>
    </row>
    <row r="432" spans="9:19">
      <c r="J432" t="s">
        <v>1278</v>
      </c>
      <c r="K432" t="s">
        <v>1278</v>
      </c>
      <c r="L432">
        <v>0.8</v>
      </c>
      <c r="M432" t="s">
        <v>1738</v>
      </c>
      <c r="N432">
        <v>1</v>
      </c>
      <c r="O432" t="str">
        <f>IF(J432="","",VLOOKUP(J432,道具表!B:C,2,FALSE))</f>
        <v/>
      </c>
      <c r="P432" t="str">
        <f t="shared" si="53"/>
        <v/>
      </c>
      <c r="Q432">
        <f t="shared" si="54"/>
        <v>0.8</v>
      </c>
      <c r="R432" t="str">
        <f>IF(M432="","",VLOOKUP(M432,道具表!B:C,2,FALSE))</f>
        <v>気品ある花束</v>
      </c>
      <c r="S432">
        <f t="shared" si="55"/>
        <v>1</v>
      </c>
    </row>
    <row r="433" spans="9:19">
      <c r="I433" s="68" t="s">
        <v>1475</v>
      </c>
      <c r="J433" t="s">
        <v>1736</v>
      </c>
      <c r="K433">
        <v>1</v>
      </c>
      <c r="L433">
        <v>1</v>
      </c>
      <c r="M433" t="s">
        <v>1737</v>
      </c>
      <c r="N433">
        <v>4</v>
      </c>
      <c r="O433" t="str">
        <f>IF(J433="","",VLOOKUP(J433,道具表!B:C,2,FALSE))</f>
        <v>ソールメダル(5)</v>
      </c>
      <c r="P433">
        <f t="shared" si="53"/>
        <v>1</v>
      </c>
      <c r="Q433">
        <f t="shared" si="54"/>
        <v>1</v>
      </c>
      <c r="R433" t="str">
        <f>IF(M433="","",VLOOKUP(M433,道具表!B:C,2,FALSE))</f>
        <v>石塊</v>
      </c>
      <c r="S433">
        <f t="shared" si="55"/>
        <v>4</v>
      </c>
    </row>
    <row r="434" spans="9:19">
      <c r="J434" t="s">
        <v>1278</v>
      </c>
      <c r="K434" t="s">
        <v>1278</v>
      </c>
      <c r="L434">
        <v>0.8</v>
      </c>
      <c r="M434" t="s">
        <v>1505</v>
      </c>
      <c r="N434">
        <v>1</v>
      </c>
      <c r="O434" t="str">
        <f>IF(J434="","",VLOOKUP(J434,道具表!B:C,2,FALSE))</f>
        <v/>
      </c>
      <c r="P434" t="str">
        <f t="shared" si="53"/>
        <v/>
      </c>
      <c r="Q434">
        <f t="shared" si="54"/>
        <v>0.8</v>
      </c>
      <c r="R434" t="str">
        <f>IF(M434="","",VLOOKUP(M434,道具表!B:C,2,FALSE))</f>
        <v>82年物の蜂蜜酒</v>
      </c>
      <c r="S434">
        <f t="shared" si="55"/>
        <v>1</v>
      </c>
    </row>
    <row r="435" spans="9:19">
      <c r="I435" s="68" t="s">
        <v>1476</v>
      </c>
      <c r="J435" t="s">
        <v>1736</v>
      </c>
      <c r="K435">
        <v>1</v>
      </c>
      <c r="L435">
        <v>1</v>
      </c>
      <c r="M435" t="s">
        <v>1737</v>
      </c>
      <c r="N435">
        <v>4</v>
      </c>
      <c r="O435" t="str">
        <f>IF(J435="","",VLOOKUP(J435,道具表!B:C,2,FALSE))</f>
        <v>ソールメダル(5)</v>
      </c>
      <c r="P435">
        <f t="shared" si="53"/>
        <v>1</v>
      </c>
      <c r="Q435">
        <f t="shared" si="54"/>
        <v>1</v>
      </c>
      <c r="R435" t="str">
        <f>IF(M435="","",VLOOKUP(M435,道具表!B:C,2,FALSE))</f>
        <v>石塊</v>
      </c>
      <c r="S435">
        <f t="shared" si="55"/>
        <v>4</v>
      </c>
    </row>
    <row r="436" spans="9:19">
      <c r="J436" t="s">
        <v>1278</v>
      </c>
      <c r="K436" t="s">
        <v>1278</v>
      </c>
      <c r="L436">
        <v>0.8</v>
      </c>
      <c r="M436" t="s">
        <v>1505</v>
      </c>
      <c r="N436">
        <v>1</v>
      </c>
      <c r="O436" t="str">
        <f>IF(J436="","",VLOOKUP(J436,道具表!B:C,2,FALSE))</f>
        <v/>
      </c>
      <c r="P436" t="str">
        <f t="shared" si="53"/>
        <v/>
      </c>
      <c r="Q436">
        <f t="shared" si="54"/>
        <v>0.8</v>
      </c>
      <c r="R436" t="str">
        <f>IF(M436="","",VLOOKUP(M436,道具表!B:C,2,FALSE))</f>
        <v>82年物の蜂蜜酒</v>
      </c>
      <c r="S436">
        <f t="shared" si="55"/>
        <v>1</v>
      </c>
    </row>
    <row r="437" spans="9:19">
      <c r="I437" s="68" t="s">
        <v>1477</v>
      </c>
      <c r="J437" t="s">
        <v>1736</v>
      </c>
      <c r="K437">
        <v>1</v>
      </c>
      <c r="L437">
        <v>1</v>
      </c>
      <c r="M437" t="s">
        <v>1504</v>
      </c>
      <c r="N437">
        <v>12</v>
      </c>
      <c r="O437" t="str">
        <f>IF(J437="","",VLOOKUP(J437,道具表!B:C,2,FALSE))</f>
        <v>ソールメダル(5)</v>
      </c>
      <c r="P437">
        <f t="shared" si="53"/>
        <v>1</v>
      </c>
      <c r="Q437">
        <f t="shared" si="54"/>
        <v>1</v>
      </c>
      <c r="R437" t="str">
        <f>IF(M437="","",VLOOKUP(M437,道具表!B:C,2,FALSE))</f>
        <v>宿命の果実</v>
      </c>
      <c r="S437">
        <f t="shared" si="55"/>
        <v>12</v>
      </c>
    </row>
    <row r="438" spans="9:19">
      <c r="I438" s="68" t="s">
        <v>1478</v>
      </c>
      <c r="J438" t="s">
        <v>1736</v>
      </c>
      <c r="K438">
        <v>1</v>
      </c>
      <c r="L438">
        <v>1</v>
      </c>
      <c r="M438" t="s">
        <v>1742</v>
      </c>
      <c r="N438">
        <v>2</v>
      </c>
      <c r="O438" t="str">
        <f>IF(J438="","",VLOOKUP(J438,道具表!B:C,2,FALSE))</f>
        <v>ソールメダル(5)</v>
      </c>
      <c r="P438">
        <f t="shared" si="53"/>
        <v>1</v>
      </c>
      <c r="Q438">
        <f t="shared" si="54"/>
        <v>1</v>
      </c>
      <c r="R438" t="str">
        <f>IF(M438="","",VLOOKUP(M438,道具表!B:C,2,FALSE))</f>
        <v>銅鉱</v>
      </c>
      <c r="S438">
        <f t="shared" si="55"/>
        <v>2</v>
      </c>
    </row>
    <row r="439" spans="9:19">
      <c r="I439" s="68" t="s">
        <v>1479</v>
      </c>
      <c r="J439" t="s">
        <v>1736</v>
      </c>
      <c r="K439">
        <v>1</v>
      </c>
      <c r="L439">
        <v>0.2</v>
      </c>
      <c r="M439" t="s">
        <v>2290</v>
      </c>
      <c r="N439">
        <v>1</v>
      </c>
      <c r="O439" t="str">
        <f>IF(J439="","",VLOOKUP(J439,道具表!B:C,2,FALSE))</f>
        <v>ソールメダル(5)</v>
      </c>
      <c r="P439">
        <f t="shared" si="53"/>
        <v>1</v>
      </c>
      <c r="Q439">
        <f t="shared" si="54"/>
        <v>0.2</v>
      </c>
      <c r="R439" t="str">
        <f>IF(M439="","",VLOOKUP(M439,道具表!B:C,2,FALSE))</f>
        <v>毒龍の鱗</v>
      </c>
      <c r="S439">
        <f t="shared" si="55"/>
        <v>1</v>
      </c>
    </row>
    <row r="440" spans="9:19">
      <c r="O440" t="str">
        <f>IF(J440="","",VLOOKUP(J440,道具表!B:C,2,FALSE))</f>
        <v/>
      </c>
      <c r="P440" t="str">
        <f t="shared" si="53"/>
        <v/>
      </c>
      <c r="Q440" t="str">
        <f t="shared" si="54"/>
        <v/>
      </c>
      <c r="R440" t="str">
        <f>IF(M440="","",VLOOKUP(M440,道具表!B:C,2,FALSE))</f>
        <v/>
      </c>
      <c r="S440" t="str">
        <f t="shared" si="55"/>
        <v/>
      </c>
    </row>
    <row r="441" spans="9:19">
      <c r="I441" s="68" t="s">
        <v>1480</v>
      </c>
      <c r="J441" t="s">
        <v>1736</v>
      </c>
      <c r="K441">
        <v>1</v>
      </c>
      <c r="L441">
        <v>1</v>
      </c>
      <c r="M441" t="s">
        <v>1737</v>
      </c>
      <c r="N441">
        <v>4</v>
      </c>
      <c r="O441" t="str">
        <f>IF(J441="","",VLOOKUP(J441,道具表!B:C,2,FALSE))</f>
        <v>ソールメダル(5)</v>
      </c>
      <c r="P441">
        <f t="shared" si="53"/>
        <v>1</v>
      </c>
      <c r="Q441">
        <f t="shared" si="54"/>
        <v>1</v>
      </c>
      <c r="R441" t="str">
        <f>IF(M441="","",VLOOKUP(M441,道具表!B:C,2,FALSE))</f>
        <v>石塊</v>
      </c>
      <c r="S441">
        <f t="shared" si="55"/>
        <v>4</v>
      </c>
    </row>
    <row r="442" spans="9:19">
      <c r="J442" t="s">
        <v>1278</v>
      </c>
      <c r="K442" t="s">
        <v>1278</v>
      </c>
      <c r="L442">
        <v>0.8</v>
      </c>
      <c r="M442" t="s">
        <v>1738</v>
      </c>
      <c r="N442">
        <v>1</v>
      </c>
      <c r="O442" t="str">
        <f>IF(J442="","",VLOOKUP(J442,道具表!B:C,2,FALSE))</f>
        <v/>
      </c>
      <c r="P442" t="str">
        <f t="shared" si="53"/>
        <v/>
      </c>
      <c r="Q442">
        <f t="shared" si="54"/>
        <v>0.8</v>
      </c>
      <c r="R442" t="str">
        <f>IF(M442="","",VLOOKUP(M442,道具表!B:C,2,FALSE))</f>
        <v>気品ある花束</v>
      </c>
      <c r="S442">
        <f t="shared" si="55"/>
        <v>1</v>
      </c>
    </row>
    <row r="443" spans="9:19">
      <c r="I443" s="68" t="s">
        <v>1481</v>
      </c>
      <c r="J443" t="s">
        <v>1736</v>
      </c>
      <c r="K443">
        <v>1</v>
      </c>
      <c r="L443">
        <v>1</v>
      </c>
      <c r="M443" t="s">
        <v>1737</v>
      </c>
      <c r="N443">
        <v>4</v>
      </c>
      <c r="O443" t="str">
        <f>IF(J443="","",VLOOKUP(J443,道具表!B:C,2,FALSE))</f>
        <v>ソールメダル(5)</v>
      </c>
      <c r="P443">
        <f t="shared" si="53"/>
        <v>1</v>
      </c>
      <c r="Q443">
        <f t="shared" si="54"/>
        <v>1</v>
      </c>
      <c r="R443" t="str">
        <f>IF(M443="","",VLOOKUP(M443,道具表!B:C,2,FALSE))</f>
        <v>石塊</v>
      </c>
      <c r="S443">
        <f t="shared" si="55"/>
        <v>4</v>
      </c>
    </row>
    <row r="444" spans="9:19">
      <c r="J444" t="s">
        <v>1278</v>
      </c>
      <c r="K444" t="s">
        <v>1278</v>
      </c>
      <c r="L444">
        <v>0.8</v>
      </c>
      <c r="M444" t="s">
        <v>1738</v>
      </c>
      <c r="N444">
        <v>1</v>
      </c>
      <c r="O444" t="str">
        <f>IF(J444="","",VLOOKUP(J444,道具表!B:C,2,FALSE))</f>
        <v/>
      </c>
      <c r="P444" t="str">
        <f t="shared" si="53"/>
        <v/>
      </c>
      <c r="Q444">
        <f t="shared" si="54"/>
        <v>0.8</v>
      </c>
      <c r="R444" t="str">
        <f>IF(M444="","",VLOOKUP(M444,道具表!B:C,2,FALSE))</f>
        <v>気品ある花束</v>
      </c>
      <c r="S444">
        <f t="shared" si="55"/>
        <v>1</v>
      </c>
    </row>
    <row r="445" spans="9:19">
      <c r="I445" s="68" t="s">
        <v>1482</v>
      </c>
      <c r="J445" t="s">
        <v>1736</v>
      </c>
      <c r="K445">
        <v>1</v>
      </c>
      <c r="L445">
        <v>1</v>
      </c>
      <c r="M445" t="s">
        <v>1737</v>
      </c>
      <c r="N445">
        <v>4</v>
      </c>
      <c r="O445" t="str">
        <f>IF(J445="","",VLOOKUP(J445,道具表!B:C,2,FALSE))</f>
        <v>ソールメダル(5)</v>
      </c>
      <c r="P445">
        <f t="shared" si="53"/>
        <v>1</v>
      </c>
      <c r="Q445">
        <f t="shared" si="54"/>
        <v>1</v>
      </c>
      <c r="R445" t="str">
        <f>IF(M445="","",VLOOKUP(M445,道具表!B:C,2,FALSE))</f>
        <v>石塊</v>
      </c>
      <c r="S445">
        <f t="shared" si="55"/>
        <v>4</v>
      </c>
    </row>
    <row r="446" spans="9:19">
      <c r="J446" t="s">
        <v>1278</v>
      </c>
      <c r="K446" t="s">
        <v>1278</v>
      </c>
      <c r="L446">
        <v>0.8</v>
      </c>
      <c r="M446" t="s">
        <v>1505</v>
      </c>
      <c r="N446">
        <v>1</v>
      </c>
      <c r="O446" t="str">
        <f>IF(J446="","",VLOOKUP(J446,道具表!B:C,2,FALSE))</f>
        <v/>
      </c>
      <c r="P446" t="str">
        <f t="shared" si="53"/>
        <v/>
      </c>
      <c r="Q446">
        <f t="shared" si="54"/>
        <v>0.8</v>
      </c>
      <c r="R446" t="str">
        <f>IF(M446="","",VLOOKUP(M446,道具表!B:C,2,FALSE))</f>
        <v>82年物の蜂蜜酒</v>
      </c>
      <c r="S446">
        <f t="shared" si="55"/>
        <v>1</v>
      </c>
    </row>
    <row r="447" spans="9:19">
      <c r="I447" s="68" t="s">
        <v>1483</v>
      </c>
      <c r="J447" t="s">
        <v>1736</v>
      </c>
      <c r="K447">
        <v>1</v>
      </c>
      <c r="L447">
        <v>1</v>
      </c>
      <c r="M447" t="s">
        <v>1737</v>
      </c>
      <c r="N447">
        <v>4</v>
      </c>
      <c r="O447" t="str">
        <f>IF(J447="","",VLOOKUP(J447,道具表!B:C,2,FALSE))</f>
        <v>ソールメダル(5)</v>
      </c>
      <c r="P447">
        <f t="shared" si="53"/>
        <v>1</v>
      </c>
      <c r="Q447">
        <f t="shared" si="54"/>
        <v>1</v>
      </c>
      <c r="R447" t="str">
        <f>IF(M447="","",VLOOKUP(M447,道具表!B:C,2,FALSE))</f>
        <v>石塊</v>
      </c>
      <c r="S447">
        <f t="shared" si="55"/>
        <v>4</v>
      </c>
    </row>
    <row r="448" spans="9:19">
      <c r="J448" t="s">
        <v>1278</v>
      </c>
      <c r="K448" t="s">
        <v>1278</v>
      </c>
      <c r="L448">
        <v>0.8</v>
      </c>
      <c r="M448" t="s">
        <v>1505</v>
      </c>
      <c r="N448">
        <v>1</v>
      </c>
      <c r="O448" t="str">
        <f>IF(J448="","",VLOOKUP(J448,道具表!B:C,2,FALSE))</f>
        <v/>
      </c>
      <c r="P448" t="str">
        <f t="shared" si="53"/>
        <v/>
      </c>
      <c r="Q448">
        <f t="shared" si="54"/>
        <v>0.8</v>
      </c>
      <c r="R448" t="str">
        <f>IF(M448="","",VLOOKUP(M448,道具表!B:C,2,FALSE))</f>
        <v>82年物の蜂蜜酒</v>
      </c>
      <c r="S448">
        <f t="shared" si="55"/>
        <v>1</v>
      </c>
    </row>
    <row r="449" spans="9:19">
      <c r="I449" s="68" t="s">
        <v>1484</v>
      </c>
      <c r="J449" t="s">
        <v>1736</v>
      </c>
      <c r="K449">
        <v>1</v>
      </c>
      <c r="L449">
        <v>1</v>
      </c>
      <c r="M449" t="s">
        <v>1504</v>
      </c>
      <c r="N449">
        <v>12</v>
      </c>
      <c r="O449" t="str">
        <f>IF(J449="","",VLOOKUP(J449,道具表!B:C,2,FALSE))</f>
        <v>ソールメダル(5)</v>
      </c>
      <c r="P449">
        <f t="shared" si="53"/>
        <v>1</v>
      </c>
      <c r="Q449">
        <f t="shared" si="54"/>
        <v>1</v>
      </c>
      <c r="R449" t="str">
        <f>IF(M449="","",VLOOKUP(M449,道具表!B:C,2,FALSE))</f>
        <v>宿命の果実</v>
      </c>
      <c r="S449">
        <f t="shared" si="55"/>
        <v>12</v>
      </c>
    </row>
    <row r="450" spans="9:19">
      <c r="I450" s="68" t="s">
        <v>1485</v>
      </c>
      <c r="J450" t="s">
        <v>1736</v>
      </c>
      <c r="K450">
        <v>1</v>
      </c>
      <c r="L450">
        <v>1</v>
      </c>
      <c r="M450" t="s">
        <v>1742</v>
      </c>
      <c r="N450">
        <v>2</v>
      </c>
      <c r="O450" t="str">
        <f>IF(J450="","",VLOOKUP(J450,道具表!B:C,2,FALSE))</f>
        <v>ソールメダル(5)</v>
      </c>
      <c r="P450">
        <f t="shared" si="53"/>
        <v>1</v>
      </c>
      <c r="Q450">
        <f t="shared" si="54"/>
        <v>1</v>
      </c>
      <c r="R450" t="str">
        <f>IF(M450="","",VLOOKUP(M450,道具表!B:C,2,FALSE))</f>
        <v>銅鉱</v>
      </c>
      <c r="S450">
        <f t="shared" si="55"/>
        <v>2</v>
      </c>
    </row>
    <row r="451" spans="9:19">
      <c r="I451" s="68" t="s">
        <v>1486</v>
      </c>
      <c r="J451" t="s">
        <v>1736</v>
      </c>
      <c r="K451">
        <v>1</v>
      </c>
      <c r="L451">
        <v>0.2</v>
      </c>
      <c r="M451" t="s">
        <v>2291</v>
      </c>
      <c r="N451">
        <v>1</v>
      </c>
      <c r="O451" t="str">
        <f>IF(J451="","",VLOOKUP(J451,道具表!B:C,2,FALSE))</f>
        <v>ソールメダル(5)</v>
      </c>
      <c r="P451">
        <f t="shared" si="53"/>
        <v>1</v>
      </c>
      <c r="Q451">
        <f t="shared" si="54"/>
        <v>0.2</v>
      </c>
      <c r="R451" t="str">
        <f>IF(M451="","",VLOOKUP(M451,道具表!B:C,2,FALSE))</f>
        <v>巨狼の骨</v>
      </c>
      <c r="S451">
        <f t="shared" si="55"/>
        <v>1</v>
      </c>
    </row>
    <row r="452" spans="9:19">
      <c r="O452" t="str">
        <f>IF(J452="","",VLOOKUP(J452,道具表!B:C,2,FALSE))</f>
        <v/>
      </c>
      <c r="P452" t="str">
        <f t="shared" si="53"/>
        <v/>
      </c>
      <c r="Q452" t="str">
        <f t="shared" si="54"/>
        <v/>
      </c>
      <c r="R452" t="str">
        <f>IF(M452="","",VLOOKUP(M452,道具表!B:C,2,FALSE))</f>
        <v/>
      </c>
      <c r="S452" t="str">
        <f t="shared" si="55"/>
        <v/>
      </c>
    </row>
    <row r="453" spans="9:19">
      <c r="I453" s="68" t="s">
        <v>1487</v>
      </c>
      <c r="J453" t="s">
        <v>1736</v>
      </c>
      <c r="K453">
        <v>1</v>
      </c>
      <c r="L453">
        <v>1</v>
      </c>
      <c r="M453" t="s">
        <v>1737</v>
      </c>
      <c r="N453">
        <v>4</v>
      </c>
      <c r="O453" t="str">
        <f>IF(J453="","",VLOOKUP(J453,道具表!B:C,2,FALSE))</f>
        <v>ソールメダル(5)</v>
      </c>
      <c r="P453">
        <f t="shared" si="53"/>
        <v>1</v>
      </c>
      <c r="Q453">
        <f t="shared" si="54"/>
        <v>1</v>
      </c>
      <c r="R453" t="str">
        <f>IF(M453="","",VLOOKUP(M453,道具表!B:C,2,FALSE))</f>
        <v>石塊</v>
      </c>
      <c r="S453">
        <f t="shared" si="55"/>
        <v>4</v>
      </c>
    </row>
    <row r="454" spans="9:19">
      <c r="J454" t="s">
        <v>1278</v>
      </c>
      <c r="K454" t="s">
        <v>1278</v>
      </c>
      <c r="L454">
        <v>0.8</v>
      </c>
      <c r="M454" t="s">
        <v>1738</v>
      </c>
      <c r="N454">
        <v>1</v>
      </c>
      <c r="O454" t="str">
        <f>IF(J454="","",VLOOKUP(J454,道具表!B:C,2,FALSE))</f>
        <v/>
      </c>
      <c r="P454" t="str">
        <f t="shared" si="53"/>
        <v/>
      </c>
      <c r="Q454">
        <f t="shared" si="54"/>
        <v>0.8</v>
      </c>
      <c r="R454" t="str">
        <f>IF(M454="","",VLOOKUP(M454,道具表!B:C,2,FALSE))</f>
        <v>気品ある花束</v>
      </c>
      <c r="S454">
        <f t="shared" si="55"/>
        <v>1</v>
      </c>
    </row>
    <row r="455" spans="9:19">
      <c r="I455" s="68" t="s">
        <v>1488</v>
      </c>
      <c r="J455" t="s">
        <v>1736</v>
      </c>
      <c r="K455">
        <v>1</v>
      </c>
      <c r="L455">
        <v>1</v>
      </c>
      <c r="M455" t="s">
        <v>1737</v>
      </c>
      <c r="N455">
        <v>4</v>
      </c>
      <c r="O455" t="str">
        <f>IF(J455="","",VLOOKUP(J455,道具表!B:C,2,FALSE))</f>
        <v>ソールメダル(5)</v>
      </c>
      <c r="P455">
        <f t="shared" si="53"/>
        <v>1</v>
      </c>
      <c r="Q455">
        <f t="shared" si="54"/>
        <v>1</v>
      </c>
      <c r="R455" t="str">
        <f>IF(M455="","",VLOOKUP(M455,道具表!B:C,2,FALSE))</f>
        <v>石塊</v>
      </c>
      <c r="S455">
        <f t="shared" si="55"/>
        <v>4</v>
      </c>
    </row>
    <row r="456" spans="9:19">
      <c r="J456" t="s">
        <v>1278</v>
      </c>
      <c r="K456" t="s">
        <v>1278</v>
      </c>
      <c r="L456">
        <v>0.8</v>
      </c>
      <c r="M456" t="s">
        <v>1738</v>
      </c>
      <c r="N456">
        <v>1</v>
      </c>
      <c r="O456" t="str">
        <f>IF(J456="","",VLOOKUP(J456,道具表!B:C,2,FALSE))</f>
        <v/>
      </c>
      <c r="P456" t="str">
        <f t="shared" si="53"/>
        <v/>
      </c>
      <c r="Q456">
        <f t="shared" si="54"/>
        <v>0.8</v>
      </c>
      <c r="R456" t="str">
        <f>IF(M456="","",VLOOKUP(M456,道具表!B:C,2,FALSE))</f>
        <v>気品ある花束</v>
      </c>
      <c r="S456">
        <f t="shared" si="55"/>
        <v>1</v>
      </c>
    </row>
    <row r="457" spans="9:19">
      <c r="I457" s="68" t="s">
        <v>1489</v>
      </c>
      <c r="J457" t="s">
        <v>1736</v>
      </c>
      <c r="K457">
        <v>1</v>
      </c>
      <c r="L457">
        <v>1</v>
      </c>
      <c r="M457" t="s">
        <v>1737</v>
      </c>
      <c r="N457">
        <v>4</v>
      </c>
      <c r="O457" t="str">
        <f>IF(J457="","",VLOOKUP(J457,道具表!B:C,2,FALSE))</f>
        <v>ソールメダル(5)</v>
      </c>
      <c r="P457">
        <f t="shared" si="53"/>
        <v>1</v>
      </c>
      <c r="Q457">
        <f t="shared" si="54"/>
        <v>1</v>
      </c>
      <c r="R457" t="str">
        <f>IF(M457="","",VLOOKUP(M457,道具表!B:C,2,FALSE))</f>
        <v>石塊</v>
      </c>
      <c r="S457">
        <f t="shared" si="55"/>
        <v>4</v>
      </c>
    </row>
    <row r="458" spans="9:19">
      <c r="J458" t="s">
        <v>1278</v>
      </c>
      <c r="K458" t="s">
        <v>1278</v>
      </c>
      <c r="L458">
        <v>0.8</v>
      </c>
      <c r="M458" t="s">
        <v>1505</v>
      </c>
      <c r="N458">
        <v>1</v>
      </c>
      <c r="O458" t="str">
        <f>IF(J458="","",VLOOKUP(J458,道具表!B:C,2,FALSE))</f>
        <v/>
      </c>
      <c r="P458" t="str">
        <f t="shared" si="53"/>
        <v/>
      </c>
      <c r="Q458">
        <f t="shared" si="54"/>
        <v>0.8</v>
      </c>
      <c r="R458" t="str">
        <f>IF(M458="","",VLOOKUP(M458,道具表!B:C,2,FALSE))</f>
        <v>82年物の蜂蜜酒</v>
      </c>
      <c r="S458">
        <f t="shared" si="55"/>
        <v>1</v>
      </c>
    </row>
    <row r="459" spans="9:19">
      <c r="I459" s="68" t="s">
        <v>1490</v>
      </c>
      <c r="J459" t="s">
        <v>1736</v>
      </c>
      <c r="K459">
        <v>1</v>
      </c>
      <c r="L459">
        <v>1</v>
      </c>
      <c r="M459" t="s">
        <v>1737</v>
      </c>
      <c r="N459">
        <v>4</v>
      </c>
      <c r="O459" t="str">
        <f>IF(J459="","",VLOOKUP(J459,道具表!B:C,2,FALSE))</f>
        <v>ソールメダル(5)</v>
      </c>
      <c r="P459">
        <f t="shared" si="53"/>
        <v>1</v>
      </c>
      <c r="Q459">
        <f t="shared" si="54"/>
        <v>1</v>
      </c>
      <c r="R459" t="str">
        <f>IF(M459="","",VLOOKUP(M459,道具表!B:C,2,FALSE))</f>
        <v>石塊</v>
      </c>
      <c r="S459">
        <f t="shared" si="55"/>
        <v>4</v>
      </c>
    </row>
    <row r="460" spans="9:19">
      <c r="J460" t="s">
        <v>1278</v>
      </c>
      <c r="K460" t="s">
        <v>1278</v>
      </c>
      <c r="L460">
        <v>0.8</v>
      </c>
      <c r="M460" t="s">
        <v>1505</v>
      </c>
      <c r="N460">
        <v>1</v>
      </c>
      <c r="O460" t="str">
        <f>IF(J460="","",VLOOKUP(J460,道具表!B:C,2,FALSE))</f>
        <v/>
      </c>
      <c r="P460" t="str">
        <f t="shared" si="53"/>
        <v/>
      </c>
      <c r="Q460">
        <f t="shared" si="54"/>
        <v>0.8</v>
      </c>
      <c r="R460" t="str">
        <f>IF(M460="","",VLOOKUP(M460,道具表!B:C,2,FALSE))</f>
        <v>82年物の蜂蜜酒</v>
      </c>
      <c r="S460">
        <f t="shared" si="55"/>
        <v>1</v>
      </c>
    </row>
    <row r="461" spans="9:19">
      <c r="I461" s="68" t="s">
        <v>1491</v>
      </c>
      <c r="J461" t="s">
        <v>1736</v>
      </c>
      <c r="K461">
        <v>1</v>
      </c>
      <c r="L461">
        <v>1</v>
      </c>
      <c r="M461" t="s">
        <v>1504</v>
      </c>
      <c r="N461">
        <v>12</v>
      </c>
      <c r="O461" t="str">
        <f>IF(J461="","",VLOOKUP(J461,道具表!B:C,2,FALSE))</f>
        <v>ソールメダル(5)</v>
      </c>
      <c r="P461">
        <f t="shared" si="53"/>
        <v>1</v>
      </c>
      <c r="Q461">
        <f t="shared" si="54"/>
        <v>1</v>
      </c>
      <c r="R461" t="str">
        <f>IF(M461="","",VLOOKUP(M461,道具表!B:C,2,FALSE))</f>
        <v>宿命の果実</v>
      </c>
      <c r="S461">
        <f t="shared" si="55"/>
        <v>12</v>
      </c>
    </row>
    <row r="462" spans="9:19">
      <c r="I462" s="68" t="s">
        <v>1492</v>
      </c>
      <c r="J462" t="s">
        <v>1736</v>
      </c>
      <c r="K462">
        <v>1</v>
      </c>
      <c r="L462">
        <v>1</v>
      </c>
      <c r="M462" t="s">
        <v>1742</v>
      </c>
      <c r="N462">
        <v>2</v>
      </c>
      <c r="O462" t="str">
        <f>IF(J462="","",VLOOKUP(J462,道具表!B:C,2,FALSE))</f>
        <v>ソールメダル(5)</v>
      </c>
      <c r="P462">
        <f t="shared" si="53"/>
        <v>1</v>
      </c>
      <c r="Q462">
        <f t="shared" si="54"/>
        <v>1</v>
      </c>
      <c r="R462" t="str">
        <f>IF(M462="","",VLOOKUP(M462,道具表!B:C,2,FALSE))</f>
        <v>銅鉱</v>
      </c>
      <c r="S462">
        <f t="shared" si="55"/>
        <v>2</v>
      </c>
    </row>
    <row r="463" spans="9:19">
      <c r="I463" s="68" t="s">
        <v>1493</v>
      </c>
      <c r="J463" t="s">
        <v>1736</v>
      </c>
      <c r="K463">
        <v>1</v>
      </c>
      <c r="L463">
        <v>0.2</v>
      </c>
      <c r="M463" t="s">
        <v>2292</v>
      </c>
      <c r="N463">
        <v>1</v>
      </c>
      <c r="O463" t="str">
        <f>IF(J463="","",VLOOKUP(J463,道具表!B:C,2,FALSE))</f>
        <v>ソールメダル(5)</v>
      </c>
      <c r="P463">
        <f t="shared" si="53"/>
        <v>1</v>
      </c>
      <c r="Q463">
        <f t="shared" si="54"/>
        <v>0.2</v>
      </c>
      <c r="R463" t="str">
        <f>IF(M463="","",VLOOKUP(M463,道具表!B:C,2,FALSE))</f>
        <v>巨毒蛇の牙</v>
      </c>
      <c r="S463">
        <f t="shared" si="55"/>
        <v>1</v>
      </c>
    </row>
    <row r="464" spans="9:19">
      <c r="O464" t="str">
        <f>IF(J464="","",VLOOKUP(J464,道具表!B:C,2,FALSE))</f>
        <v/>
      </c>
      <c r="P464" t="str">
        <f t="shared" si="53"/>
        <v/>
      </c>
      <c r="Q464" t="str">
        <f t="shared" si="54"/>
        <v/>
      </c>
      <c r="R464" t="str">
        <f>IF(M464="","",VLOOKUP(M464,道具表!B:C,2,FALSE))</f>
        <v/>
      </c>
      <c r="S464" t="str">
        <f t="shared" si="55"/>
        <v/>
      </c>
    </row>
    <row r="465" spans="9:19">
      <c r="I465" s="68" t="s">
        <v>1494</v>
      </c>
      <c r="J465" t="s">
        <v>1736</v>
      </c>
      <c r="K465">
        <v>1</v>
      </c>
      <c r="L465">
        <v>1</v>
      </c>
      <c r="M465" t="s">
        <v>1737</v>
      </c>
      <c r="N465">
        <v>4</v>
      </c>
      <c r="O465" t="str">
        <f>IF(J465="","",VLOOKUP(J465,道具表!B:C,2,FALSE))</f>
        <v>ソールメダル(5)</v>
      </c>
      <c r="P465">
        <f t="shared" si="53"/>
        <v>1</v>
      </c>
      <c r="Q465">
        <f t="shared" si="54"/>
        <v>1</v>
      </c>
      <c r="R465" t="str">
        <f>IF(M465="","",VLOOKUP(M465,道具表!B:C,2,FALSE))</f>
        <v>石塊</v>
      </c>
      <c r="S465">
        <f t="shared" si="55"/>
        <v>4</v>
      </c>
    </row>
    <row r="466" spans="9:19">
      <c r="J466" t="s">
        <v>1278</v>
      </c>
      <c r="K466" t="s">
        <v>1278</v>
      </c>
      <c r="L466">
        <v>0.8</v>
      </c>
      <c r="M466" t="s">
        <v>1738</v>
      </c>
      <c r="N466">
        <v>1</v>
      </c>
      <c r="O466" t="str">
        <f>IF(J466="","",VLOOKUP(J466,道具表!B:C,2,FALSE))</f>
        <v/>
      </c>
      <c r="P466" t="str">
        <f t="shared" si="53"/>
        <v/>
      </c>
      <c r="Q466">
        <f t="shared" si="54"/>
        <v>0.8</v>
      </c>
      <c r="R466" t="str">
        <f>IF(M466="","",VLOOKUP(M466,道具表!B:C,2,FALSE))</f>
        <v>気品ある花束</v>
      </c>
      <c r="S466">
        <f t="shared" si="55"/>
        <v>1</v>
      </c>
    </row>
    <row r="467" spans="9:19">
      <c r="I467" s="68" t="s">
        <v>1495</v>
      </c>
      <c r="J467" t="s">
        <v>1736</v>
      </c>
      <c r="K467">
        <v>1</v>
      </c>
      <c r="L467">
        <v>1</v>
      </c>
      <c r="M467" t="s">
        <v>1737</v>
      </c>
      <c r="N467">
        <v>4</v>
      </c>
      <c r="O467" t="str">
        <f>IF(J467="","",VLOOKUP(J467,道具表!B:C,2,FALSE))</f>
        <v>ソールメダル(5)</v>
      </c>
      <c r="P467">
        <f t="shared" si="53"/>
        <v>1</v>
      </c>
      <c r="Q467">
        <f t="shared" si="54"/>
        <v>1</v>
      </c>
      <c r="R467" t="str">
        <f>IF(M467="","",VLOOKUP(M467,道具表!B:C,2,FALSE))</f>
        <v>石塊</v>
      </c>
      <c r="S467">
        <f t="shared" si="55"/>
        <v>4</v>
      </c>
    </row>
    <row r="468" spans="9:19">
      <c r="J468" t="s">
        <v>1278</v>
      </c>
      <c r="K468" t="s">
        <v>1278</v>
      </c>
      <c r="L468">
        <v>0.8</v>
      </c>
      <c r="M468" t="s">
        <v>1738</v>
      </c>
      <c r="N468">
        <v>1</v>
      </c>
      <c r="O468" t="str">
        <f>IF(J468="","",VLOOKUP(J468,道具表!B:C,2,FALSE))</f>
        <v/>
      </c>
      <c r="P468" t="str">
        <f t="shared" si="53"/>
        <v/>
      </c>
      <c r="Q468">
        <f t="shared" si="54"/>
        <v>0.8</v>
      </c>
      <c r="R468" t="str">
        <f>IF(M468="","",VLOOKUP(M468,道具表!B:C,2,FALSE))</f>
        <v>気品ある花束</v>
      </c>
      <c r="S468">
        <f t="shared" si="55"/>
        <v>1</v>
      </c>
    </row>
    <row r="469" spans="9:19">
      <c r="I469" s="68" t="s">
        <v>1496</v>
      </c>
      <c r="J469" t="s">
        <v>1736</v>
      </c>
      <c r="K469">
        <v>1</v>
      </c>
      <c r="L469">
        <v>1</v>
      </c>
      <c r="M469" t="s">
        <v>1737</v>
      </c>
      <c r="N469">
        <v>4</v>
      </c>
      <c r="O469" t="str">
        <f>IF(J469="","",VLOOKUP(J469,道具表!B:C,2,FALSE))</f>
        <v>ソールメダル(5)</v>
      </c>
      <c r="P469">
        <f t="shared" si="53"/>
        <v>1</v>
      </c>
      <c r="Q469">
        <f t="shared" si="54"/>
        <v>1</v>
      </c>
      <c r="R469" t="str">
        <f>IF(M469="","",VLOOKUP(M469,道具表!B:C,2,FALSE))</f>
        <v>石塊</v>
      </c>
      <c r="S469">
        <f t="shared" si="55"/>
        <v>4</v>
      </c>
    </row>
    <row r="470" spans="9:19">
      <c r="J470" t="s">
        <v>1278</v>
      </c>
      <c r="K470" t="s">
        <v>1278</v>
      </c>
      <c r="L470">
        <v>0.8</v>
      </c>
      <c r="M470" t="s">
        <v>1505</v>
      </c>
      <c r="N470">
        <v>1</v>
      </c>
      <c r="O470" t="str">
        <f>IF(J470="","",VLOOKUP(J470,道具表!B:C,2,FALSE))</f>
        <v/>
      </c>
      <c r="P470" t="str">
        <f t="shared" si="53"/>
        <v/>
      </c>
      <c r="Q470">
        <f t="shared" si="54"/>
        <v>0.8</v>
      </c>
      <c r="R470" t="str">
        <f>IF(M470="","",VLOOKUP(M470,道具表!B:C,2,FALSE))</f>
        <v>82年物の蜂蜜酒</v>
      </c>
      <c r="S470">
        <f t="shared" si="55"/>
        <v>1</v>
      </c>
    </row>
    <row r="471" spans="9:19">
      <c r="I471" s="68" t="s">
        <v>1497</v>
      </c>
      <c r="J471" t="s">
        <v>1736</v>
      </c>
      <c r="K471">
        <v>1</v>
      </c>
      <c r="L471">
        <v>1</v>
      </c>
      <c r="M471" t="s">
        <v>1737</v>
      </c>
      <c r="N471">
        <v>4</v>
      </c>
      <c r="O471" t="str">
        <f>IF(J471="","",VLOOKUP(J471,道具表!B:C,2,FALSE))</f>
        <v>ソールメダル(5)</v>
      </c>
      <c r="P471">
        <f t="shared" si="53"/>
        <v>1</v>
      </c>
      <c r="Q471">
        <f t="shared" si="54"/>
        <v>1</v>
      </c>
      <c r="R471" t="str">
        <f>IF(M471="","",VLOOKUP(M471,道具表!B:C,2,FALSE))</f>
        <v>石塊</v>
      </c>
      <c r="S471">
        <f t="shared" si="55"/>
        <v>4</v>
      </c>
    </row>
    <row r="472" spans="9:19">
      <c r="J472" t="s">
        <v>1278</v>
      </c>
      <c r="K472" t="s">
        <v>1278</v>
      </c>
      <c r="L472">
        <v>0.8</v>
      </c>
      <c r="M472" t="s">
        <v>1505</v>
      </c>
      <c r="N472">
        <v>1</v>
      </c>
      <c r="O472" t="str">
        <f>IF(J472="","",VLOOKUP(J472,道具表!B:C,2,FALSE))</f>
        <v/>
      </c>
      <c r="P472" t="str">
        <f t="shared" si="53"/>
        <v/>
      </c>
      <c r="Q472">
        <f t="shared" si="54"/>
        <v>0.8</v>
      </c>
      <c r="R472" t="str">
        <f>IF(M472="","",VLOOKUP(M472,道具表!B:C,2,FALSE))</f>
        <v>82年物の蜂蜜酒</v>
      </c>
      <c r="S472">
        <f t="shared" si="55"/>
        <v>1</v>
      </c>
    </row>
    <row r="473" spans="9:19">
      <c r="I473" s="68" t="s">
        <v>1498</v>
      </c>
      <c r="J473" t="s">
        <v>1736</v>
      </c>
      <c r="K473">
        <v>1</v>
      </c>
      <c r="L473">
        <v>1</v>
      </c>
      <c r="M473" t="s">
        <v>1504</v>
      </c>
      <c r="N473">
        <v>12</v>
      </c>
      <c r="O473" t="str">
        <f>IF(J473="","",VLOOKUP(J473,道具表!B:C,2,FALSE))</f>
        <v>ソールメダル(5)</v>
      </c>
      <c r="P473">
        <f t="shared" si="53"/>
        <v>1</v>
      </c>
      <c r="Q473">
        <f t="shared" si="54"/>
        <v>1</v>
      </c>
      <c r="R473" t="str">
        <f>IF(M473="","",VLOOKUP(M473,道具表!B:C,2,FALSE))</f>
        <v>宿命の果実</v>
      </c>
      <c r="S473">
        <f t="shared" si="55"/>
        <v>12</v>
      </c>
    </row>
    <row r="474" spans="9:19">
      <c r="I474" s="68" t="s">
        <v>1499</v>
      </c>
      <c r="J474" t="s">
        <v>1736</v>
      </c>
      <c r="K474">
        <v>1</v>
      </c>
      <c r="L474">
        <v>1</v>
      </c>
      <c r="M474" t="s">
        <v>1742</v>
      </c>
      <c r="N474">
        <v>2</v>
      </c>
      <c r="O474" t="str">
        <f>IF(J474="","",VLOOKUP(J474,道具表!B:C,2,FALSE))</f>
        <v>ソールメダル(5)</v>
      </c>
      <c r="P474">
        <f t="shared" si="53"/>
        <v>1</v>
      </c>
      <c r="Q474">
        <f t="shared" si="54"/>
        <v>1</v>
      </c>
      <c r="R474" t="str">
        <f>IF(M474="","",VLOOKUP(M474,道具表!B:C,2,FALSE))</f>
        <v>銅鉱</v>
      </c>
      <c r="S474">
        <f t="shared" si="55"/>
        <v>2</v>
      </c>
    </row>
    <row r="475" spans="9:19">
      <c r="I475" s="68" t="s">
        <v>1500</v>
      </c>
      <c r="J475" t="s">
        <v>1506</v>
      </c>
      <c r="K475">
        <v>1</v>
      </c>
      <c r="L475">
        <v>0.2</v>
      </c>
      <c r="M475" t="s">
        <v>2293</v>
      </c>
      <c r="N475">
        <v>1</v>
      </c>
      <c r="O475" t="str">
        <f>IF(J475="","",VLOOKUP(J475,道具表!B:C,2,FALSE))</f>
        <v>ソール召喚チケット</v>
      </c>
      <c r="P475">
        <f t="shared" si="53"/>
        <v>1</v>
      </c>
      <c r="Q475">
        <f t="shared" si="54"/>
        <v>0.2</v>
      </c>
      <c r="R475" t="str">
        <f>IF(M475="","",VLOOKUP(M475,道具表!B:C,2,FALSE))</f>
        <v>神を呑む魔狼の牙</v>
      </c>
      <c r="S475">
        <f t="shared" si="55"/>
        <v>1</v>
      </c>
    </row>
    <row r="476" spans="9:19">
      <c r="O476" t="str">
        <f>IF(J476="","",VLOOKUP(J476,道具表!B:C,2,FALSE))</f>
        <v/>
      </c>
      <c r="P476" t="str">
        <f t="shared" si="53"/>
        <v/>
      </c>
      <c r="Q476" t="str">
        <f t="shared" si="54"/>
        <v/>
      </c>
      <c r="R476" t="str">
        <f>IF(M476="","",VLOOKUP(M476,道具表!B:C,2,FALSE))</f>
        <v/>
      </c>
      <c r="S476" t="str">
        <f t="shared" si="55"/>
        <v/>
      </c>
    </row>
    <row r="477" spans="9:19">
      <c r="O477" t="str">
        <f>IF(J477="","",VLOOKUP(J477,道具表!B:C,2,FALSE))</f>
        <v/>
      </c>
      <c r="P477" t="str">
        <f t="shared" si="53"/>
        <v/>
      </c>
      <c r="Q477" t="str">
        <f t="shared" si="54"/>
        <v/>
      </c>
      <c r="R477" t="str">
        <f>IF(M477="","",VLOOKUP(M477,道具表!B:C,2,FALSE))</f>
        <v/>
      </c>
      <c r="S477" t="str">
        <f t="shared" si="55"/>
        <v/>
      </c>
    </row>
    <row r="478" spans="9:19">
      <c r="I478" s="69" t="s">
        <v>2325</v>
      </c>
      <c r="O478" t="str">
        <f>IF(J478="","",VLOOKUP(J478,道具表!B:C,2,FALSE))</f>
        <v/>
      </c>
      <c r="P478" t="str">
        <f t="shared" si="53"/>
        <v/>
      </c>
      <c r="Q478" t="str">
        <f t="shared" si="54"/>
        <v/>
      </c>
      <c r="R478" t="str">
        <f>IF(M478="","",VLOOKUP(M478,道具表!B:C,2,FALSE))</f>
        <v/>
      </c>
      <c r="S478" t="str">
        <f t="shared" si="55"/>
        <v/>
      </c>
    </row>
    <row r="479" spans="9:19">
      <c r="I479" s="79" t="s">
        <v>2326</v>
      </c>
      <c r="O479" t="str">
        <f>IF(J479="","",VLOOKUP(J479,道具表!B:C,2,FALSE))</f>
        <v/>
      </c>
      <c r="P479" t="str">
        <f t="shared" si="53"/>
        <v/>
      </c>
      <c r="Q479" t="str">
        <f t="shared" si="54"/>
        <v/>
      </c>
      <c r="R479" t="str">
        <f>IF(M479="","",VLOOKUP(M479,道具表!B:C,2,FALSE))</f>
        <v/>
      </c>
      <c r="S479" t="str">
        <f t="shared" si="55"/>
        <v/>
      </c>
    </row>
    <row r="480" spans="9:19">
      <c r="I480" s="68" t="s">
        <v>2294</v>
      </c>
      <c r="J480" t="s">
        <v>1736</v>
      </c>
      <c r="K480">
        <v>1</v>
      </c>
      <c r="L480">
        <v>1</v>
      </c>
      <c r="M480" t="s">
        <v>1742</v>
      </c>
      <c r="N480">
        <v>1</v>
      </c>
      <c r="O480" t="str">
        <f>IF(J480="","",VLOOKUP(J480,道具表!B:C,2,FALSE))</f>
        <v>ソールメダル(5)</v>
      </c>
      <c r="P480">
        <f t="shared" si="53"/>
        <v>1</v>
      </c>
      <c r="Q480">
        <f t="shared" si="54"/>
        <v>1</v>
      </c>
      <c r="R480" t="str">
        <f>IF(M480="","",VLOOKUP(M480,道具表!B:C,2,FALSE))</f>
        <v>銅鉱</v>
      </c>
      <c r="S480">
        <f t="shared" si="55"/>
        <v>1</v>
      </c>
    </row>
    <row r="481" spans="9:19">
      <c r="J481" t="s">
        <v>1278</v>
      </c>
      <c r="K481" t="s">
        <v>1278</v>
      </c>
      <c r="L481">
        <v>1</v>
      </c>
      <c r="M481" t="s">
        <v>1737</v>
      </c>
      <c r="N481">
        <v>2</v>
      </c>
      <c r="O481" t="str">
        <f>IF(J481="","",VLOOKUP(J481,道具表!B:C,2,FALSE))</f>
        <v/>
      </c>
      <c r="P481" t="str">
        <f t="shared" si="53"/>
        <v/>
      </c>
      <c r="Q481">
        <f t="shared" si="54"/>
        <v>1</v>
      </c>
      <c r="R481" t="str">
        <f>IF(M481="","",VLOOKUP(M481,道具表!B:C,2,FALSE))</f>
        <v>石塊</v>
      </c>
      <c r="S481">
        <f t="shared" si="55"/>
        <v>2</v>
      </c>
    </row>
    <row r="482" spans="9:19">
      <c r="J482" t="s">
        <v>1278</v>
      </c>
      <c r="K482" t="s">
        <v>1278</v>
      </c>
      <c r="L482">
        <v>0.25</v>
      </c>
      <c r="M482" t="s">
        <v>1742</v>
      </c>
      <c r="N482">
        <v>1</v>
      </c>
      <c r="O482" t="str">
        <f>IF(J482="","",VLOOKUP(J482,道具表!B:C,2,FALSE))</f>
        <v/>
      </c>
      <c r="P482" t="str">
        <f t="shared" si="53"/>
        <v/>
      </c>
      <c r="Q482">
        <f t="shared" si="54"/>
        <v>0.25</v>
      </c>
      <c r="R482" t="str">
        <f>IF(M482="","",VLOOKUP(M482,道具表!B:C,2,FALSE))</f>
        <v>銅鉱</v>
      </c>
      <c r="S482">
        <f t="shared" si="55"/>
        <v>1</v>
      </c>
    </row>
    <row r="483" spans="9:19">
      <c r="J483" t="s">
        <v>1278</v>
      </c>
      <c r="K483" t="s">
        <v>1278</v>
      </c>
      <c r="L483">
        <v>0.5</v>
      </c>
      <c r="M483" t="s">
        <v>1737</v>
      </c>
      <c r="N483">
        <v>1</v>
      </c>
      <c r="O483" t="str">
        <f>IF(J483="","",VLOOKUP(J483,道具表!B:C,2,FALSE))</f>
        <v/>
      </c>
      <c r="P483" t="str">
        <f t="shared" si="53"/>
        <v/>
      </c>
      <c r="Q483">
        <f t="shared" si="54"/>
        <v>0.5</v>
      </c>
      <c r="R483" t="str">
        <f>IF(M483="","",VLOOKUP(M483,道具表!B:C,2,FALSE))</f>
        <v>石塊</v>
      </c>
      <c r="S483">
        <f t="shared" si="55"/>
        <v>1</v>
      </c>
    </row>
    <row r="484" spans="9:19">
      <c r="I484" s="68" t="s">
        <v>2295</v>
      </c>
      <c r="J484" t="s">
        <v>1736</v>
      </c>
      <c r="K484">
        <v>1</v>
      </c>
      <c r="L484">
        <v>1</v>
      </c>
      <c r="M484" t="s">
        <v>1742</v>
      </c>
      <c r="N484">
        <v>2</v>
      </c>
      <c r="O484" t="str">
        <f>IF(J484="","",VLOOKUP(J484,道具表!B:C,2,FALSE))</f>
        <v>ソールメダル(5)</v>
      </c>
      <c r="P484">
        <f t="shared" si="53"/>
        <v>1</v>
      </c>
      <c r="Q484">
        <f t="shared" si="54"/>
        <v>1</v>
      </c>
      <c r="R484" t="str">
        <f>IF(M484="","",VLOOKUP(M484,道具表!B:C,2,FALSE))</f>
        <v>銅鉱</v>
      </c>
      <c r="S484">
        <f t="shared" si="55"/>
        <v>2</v>
      </c>
    </row>
    <row r="485" spans="9:19">
      <c r="J485" t="s">
        <v>1278</v>
      </c>
      <c r="K485" t="s">
        <v>1278</v>
      </c>
      <c r="L485">
        <v>1</v>
      </c>
      <c r="M485" t="s">
        <v>1737</v>
      </c>
      <c r="N485">
        <v>6</v>
      </c>
      <c r="O485" t="str">
        <f>IF(J485="","",VLOOKUP(J485,道具表!B:C,2,FALSE))</f>
        <v/>
      </c>
      <c r="P485" t="str">
        <f t="shared" si="53"/>
        <v/>
      </c>
      <c r="Q485">
        <f t="shared" si="54"/>
        <v>1</v>
      </c>
      <c r="R485" t="str">
        <f>IF(M485="","",VLOOKUP(M485,道具表!B:C,2,FALSE))</f>
        <v>石塊</v>
      </c>
      <c r="S485">
        <f t="shared" si="55"/>
        <v>6</v>
      </c>
    </row>
    <row r="486" spans="9:19">
      <c r="J486" t="s">
        <v>1278</v>
      </c>
      <c r="K486" t="s">
        <v>1278</v>
      </c>
      <c r="L486">
        <v>0.75</v>
      </c>
      <c r="M486" t="s">
        <v>1742</v>
      </c>
      <c r="N486">
        <v>1</v>
      </c>
      <c r="O486" t="str">
        <f>IF(J486="","",VLOOKUP(J486,道具表!B:C,2,FALSE))</f>
        <v/>
      </c>
      <c r="P486" t="str">
        <f t="shared" si="53"/>
        <v/>
      </c>
      <c r="Q486">
        <f t="shared" si="54"/>
        <v>0.75</v>
      </c>
      <c r="R486" t="str">
        <f>IF(M486="","",VLOOKUP(M486,道具表!B:C,2,FALSE))</f>
        <v>銅鉱</v>
      </c>
      <c r="S486">
        <f t="shared" si="55"/>
        <v>1</v>
      </c>
    </row>
    <row r="487" spans="9:19">
      <c r="I487" s="68" t="s">
        <v>2296</v>
      </c>
      <c r="J487" t="s">
        <v>1736</v>
      </c>
      <c r="K487">
        <v>1</v>
      </c>
      <c r="L487">
        <v>1</v>
      </c>
      <c r="M487" t="s">
        <v>1742</v>
      </c>
      <c r="N487">
        <v>4</v>
      </c>
      <c r="O487" t="str">
        <f>IF(J487="","",VLOOKUP(J487,道具表!B:C,2,FALSE))</f>
        <v>ソールメダル(5)</v>
      </c>
      <c r="P487">
        <f t="shared" ref="P487:P542" si="56">IF(K487="","",K487)</f>
        <v>1</v>
      </c>
      <c r="Q487">
        <f t="shared" ref="Q487:Q542" si="57">IF(L487="","",L487)</f>
        <v>1</v>
      </c>
      <c r="R487" t="str">
        <f>IF(M487="","",VLOOKUP(M487,道具表!B:C,2,FALSE))</f>
        <v>銅鉱</v>
      </c>
      <c r="S487">
        <f t="shared" ref="S487:S542" si="58">IF(N487="","",N487)</f>
        <v>4</v>
      </c>
    </row>
    <row r="488" spans="9:19">
      <c r="J488" t="s">
        <v>1278</v>
      </c>
      <c r="K488" t="s">
        <v>1278</v>
      </c>
      <c r="L488">
        <v>1</v>
      </c>
      <c r="M488" t="s">
        <v>1737</v>
      </c>
      <c r="N488">
        <v>10</v>
      </c>
      <c r="O488" t="str">
        <f>IF(J488="","",VLOOKUP(J488,道具表!B:C,2,FALSE))</f>
        <v/>
      </c>
      <c r="P488" t="str">
        <f t="shared" si="56"/>
        <v/>
      </c>
      <c r="Q488">
        <f t="shared" si="57"/>
        <v>1</v>
      </c>
      <c r="R488" t="str">
        <f>IF(M488="","",VLOOKUP(M488,道具表!B:C,2,FALSE))</f>
        <v>石塊</v>
      </c>
      <c r="S488">
        <f t="shared" si="58"/>
        <v>10</v>
      </c>
    </row>
    <row r="489" spans="9:19">
      <c r="J489" t="s">
        <v>1278</v>
      </c>
      <c r="K489" t="s">
        <v>1278</v>
      </c>
      <c r="L489">
        <v>0.25</v>
      </c>
      <c r="M489" t="s">
        <v>1742</v>
      </c>
      <c r="N489">
        <v>1</v>
      </c>
      <c r="O489" t="str">
        <f>IF(J489="","",VLOOKUP(J489,道具表!B:C,2,FALSE))</f>
        <v/>
      </c>
      <c r="P489" t="str">
        <f t="shared" si="56"/>
        <v/>
      </c>
      <c r="Q489">
        <f t="shared" si="57"/>
        <v>0.25</v>
      </c>
      <c r="R489" t="str">
        <f>IF(M489="","",VLOOKUP(M489,道具表!B:C,2,FALSE))</f>
        <v>銅鉱</v>
      </c>
      <c r="S489">
        <f t="shared" si="58"/>
        <v>1</v>
      </c>
    </row>
    <row r="490" spans="9:19">
      <c r="I490" s="79" t="s">
        <v>2297</v>
      </c>
      <c r="O490" t="str">
        <f>IF(J490="","",VLOOKUP(J490,道具表!B:C,2,FALSE))</f>
        <v/>
      </c>
      <c r="P490" t="str">
        <f t="shared" si="56"/>
        <v/>
      </c>
      <c r="Q490" t="str">
        <f t="shared" si="57"/>
        <v/>
      </c>
      <c r="R490" t="str">
        <f>IF(M490="","",VLOOKUP(M490,道具表!B:C,2,FALSE))</f>
        <v/>
      </c>
      <c r="S490" t="str">
        <f t="shared" si="58"/>
        <v/>
      </c>
    </row>
    <row r="491" spans="9:19">
      <c r="I491" s="68" t="s">
        <v>2298</v>
      </c>
      <c r="J491" t="s">
        <v>1736</v>
      </c>
      <c r="K491">
        <v>1</v>
      </c>
      <c r="L491">
        <v>1</v>
      </c>
      <c r="M491" t="s">
        <v>1738</v>
      </c>
      <c r="N491">
        <v>1</v>
      </c>
      <c r="O491" t="str">
        <f>IF(J491="","",VLOOKUP(J491,道具表!B:C,2,FALSE))</f>
        <v>ソールメダル(5)</v>
      </c>
      <c r="P491">
        <f t="shared" si="56"/>
        <v>1</v>
      </c>
      <c r="Q491">
        <f t="shared" si="57"/>
        <v>1</v>
      </c>
      <c r="R491" t="str">
        <f>IF(M491="","",VLOOKUP(M491,道具表!B:C,2,FALSE))</f>
        <v>気品ある花束</v>
      </c>
      <c r="S491">
        <f t="shared" si="58"/>
        <v>1</v>
      </c>
    </row>
    <row r="492" spans="9:19">
      <c r="J492" t="s">
        <v>1278</v>
      </c>
      <c r="K492" t="s">
        <v>1278</v>
      </c>
      <c r="L492">
        <v>0.5</v>
      </c>
      <c r="M492" t="s">
        <v>1738</v>
      </c>
      <c r="N492">
        <v>1</v>
      </c>
      <c r="O492" t="str">
        <f>IF(J492="","",VLOOKUP(J492,道具表!B:C,2,FALSE))</f>
        <v/>
      </c>
      <c r="P492" t="str">
        <f t="shared" si="56"/>
        <v/>
      </c>
      <c r="Q492">
        <f t="shared" si="57"/>
        <v>0.5</v>
      </c>
      <c r="R492" t="str">
        <f>IF(M492="","",VLOOKUP(M492,道具表!B:C,2,FALSE))</f>
        <v>気品ある花束</v>
      </c>
      <c r="S492">
        <f t="shared" si="58"/>
        <v>1</v>
      </c>
    </row>
    <row r="493" spans="9:19">
      <c r="I493" s="68" t="s">
        <v>2299</v>
      </c>
      <c r="J493" t="s">
        <v>1736</v>
      </c>
      <c r="K493">
        <v>1</v>
      </c>
      <c r="L493">
        <v>1</v>
      </c>
      <c r="M493" t="s">
        <v>1738</v>
      </c>
      <c r="N493">
        <v>3</v>
      </c>
      <c r="O493" t="str">
        <f>IF(J493="","",VLOOKUP(J493,道具表!B:C,2,FALSE))</f>
        <v>ソールメダル(5)</v>
      </c>
      <c r="P493">
        <f t="shared" si="56"/>
        <v>1</v>
      </c>
      <c r="Q493">
        <f t="shared" si="57"/>
        <v>1</v>
      </c>
      <c r="R493" t="str">
        <f>IF(M493="","",VLOOKUP(M493,道具表!B:C,2,FALSE))</f>
        <v>気品ある花束</v>
      </c>
      <c r="S493">
        <f t="shared" si="58"/>
        <v>3</v>
      </c>
    </row>
    <row r="494" spans="9:19">
      <c r="J494" t="s">
        <v>1278</v>
      </c>
      <c r="K494" t="s">
        <v>1278</v>
      </c>
      <c r="L494">
        <v>0.5</v>
      </c>
      <c r="M494" t="s">
        <v>1738</v>
      </c>
      <c r="N494">
        <v>1</v>
      </c>
      <c r="O494" t="str">
        <f>IF(J494="","",VLOOKUP(J494,道具表!B:C,2,FALSE))</f>
        <v/>
      </c>
      <c r="P494" t="str">
        <f t="shared" si="56"/>
        <v/>
      </c>
      <c r="Q494">
        <f t="shared" si="57"/>
        <v>0.5</v>
      </c>
      <c r="R494" t="str">
        <f>IF(M494="","",VLOOKUP(M494,道具表!B:C,2,FALSE))</f>
        <v>気品ある花束</v>
      </c>
      <c r="S494">
        <f t="shared" si="58"/>
        <v>1</v>
      </c>
    </row>
    <row r="495" spans="9:19">
      <c r="I495" s="68" t="s">
        <v>2300</v>
      </c>
      <c r="J495" t="s">
        <v>1736</v>
      </c>
      <c r="K495">
        <v>1</v>
      </c>
      <c r="L495">
        <v>1</v>
      </c>
      <c r="M495" t="s">
        <v>2327</v>
      </c>
      <c r="N495">
        <v>1</v>
      </c>
      <c r="O495" t="str">
        <f>IF(J495="","",VLOOKUP(J495,道具表!B:C,2,FALSE))</f>
        <v>ソールメダル(5)</v>
      </c>
      <c r="P495">
        <f t="shared" si="56"/>
        <v>1</v>
      </c>
      <c r="Q495">
        <f t="shared" si="57"/>
        <v>1</v>
      </c>
      <c r="R495" t="str">
        <f>IF(M495="","",VLOOKUP(M495,道具表!B:C,2,FALSE))</f>
        <v>大輪の花束</v>
      </c>
      <c r="S495">
        <f t="shared" si="58"/>
        <v>1</v>
      </c>
    </row>
    <row r="496" spans="9:19">
      <c r="J496" t="s">
        <v>1278</v>
      </c>
      <c r="K496" t="s">
        <v>1278</v>
      </c>
      <c r="L496">
        <v>1</v>
      </c>
      <c r="M496" t="s">
        <v>1738</v>
      </c>
      <c r="N496">
        <v>2</v>
      </c>
      <c r="O496" t="str">
        <f>IF(J496="","",VLOOKUP(J496,道具表!B:C,2,FALSE))</f>
        <v/>
      </c>
      <c r="P496" t="str">
        <f t="shared" si="56"/>
        <v/>
      </c>
      <c r="Q496">
        <f t="shared" si="57"/>
        <v>1</v>
      </c>
      <c r="R496" t="str">
        <f>IF(M496="","",VLOOKUP(M496,道具表!B:C,2,FALSE))</f>
        <v>気品ある花束</v>
      </c>
      <c r="S496">
        <f t="shared" si="58"/>
        <v>2</v>
      </c>
    </row>
    <row r="497" spans="9:19">
      <c r="I497" s="79" t="s">
        <v>2301</v>
      </c>
      <c r="O497" t="str">
        <f>IF(J497="","",VLOOKUP(J497,道具表!B:C,2,FALSE))</f>
        <v/>
      </c>
      <c r="P497" t="str">
        <f t="shared" si="56"/>
        <v/>
      </c>
      <c r="Q497" t="str">
        <f t="shared" si="57"/>
        <v/>
      </c>
      <c r="R497" t="str">
        <f>IF(M497="","",VLOOKUP(M497,道具表!B:C,2,FALSE))</f>
        <v/>
      </c>
      <c r="S497" t="str">
        <f t="shared" si="58"/>
        <v/>
      </c>
    </row>
    <row r="498" spans="9:19">
      <c r="I498" s="68" t="s">
        <v>2302</v>
      </c>
      <c r="J498" t="s">
        <v>1736</v>
      </c>
      <c r="K498">
        <v>1</v>
      </c>
      <c r="L498">
        <v>0.25</v>
      </c>
      <c r="M498" t="s">
        <v>2328</v>
      </c>
      <c r="N498">
        <v>1</v>
      </c>
      <c r="O498" t="str">
        <f>IF(J498="","",VLOOKUP(J498,道具表!B:C,2,FALSE))</f>
        <v>ソールメダル(5)</v>
      </c>
      <c r="P498">
        <f t="shared" si="56"/>
        <v>1</v>
      </c>
      <c r="Q498">
        <f t="shared" si="57"/>
        <v>0.25</v>
      </c>
      <c r="R498" t="str">
        <f>IF(M498="","",VLOOKUP(M498,道具表!B:C,2,FALSE))</f>
        <v>ポテンシャルストーンIII</v>
      </c>
      <c r="S498">
        <f t="shared" si="58"/>
        <v>1</v>
      </c>
    </row>
    <row r="499" spans="9:19">
      <c r="J499" t="s">
        <v>1278</v>
      </c>
      <c r="K499" t="s">
        <v>1278</v>
      </c>
      <c r="L499">
        <v>1</v>
      </c>
      <c r="M499" t="s">
        <v>2329</v>
      </c>
      <c r="N499">
        <v>1</v>
      </c>
      <c r="O499" t="str">
        <f>IF(J499="","",VLOOKUP(J499,道具表!B:C,2,FALSE))</f>
        <v/>
      </c>
      <c r="P499" t="str">
        <f t="shared" si="56"/>
        <v/>
      </c>
      <c r="Q499">
        <f t="shared" si="57"/>
        <v>1</v>
      </c>
      <c r="R499" t="str">
        <f>IF(M499="","",VLOOKUP(M499,道具表!B:C,2,FALSE))</f>
        <v>ポテンシャルストーンII</v>
      </c>
      <c r="S499">
        <f t="shared" si="58"/>
        <v>1</v>
      </c>
    </row>
    <row r="500" spans="9:19">
      <c r="J500" t="s">
        <v>1278</v>
      </c>
      <c r="K500" t="s">
        <v>1278</v>
      </c>
      <c r="L500">
        <v>1</v>
      </c>
      <c r="M500" t="s">
        <v>2330</v>
      </c>
      <c r="N500">
        <v>5</v>
      </c>
      <c r="O500" t="str">
        <f>IF(J500="","",VLOOKUP(J500,道具表!B:C,2,FALSE))</f>
        <v/>
      </c>
      <c r="P500" t="str">
        <f t="shared" si="56"/>
        <v/>
      </c>
      <c r="Q500">
        <f t="shared" si="57"/>
        <v>1</v>
      </c>
      <c r="R500" t="str">
        <f>IF(M500="","",VLOOKUP(M500,道具表!B:C,2,FALSE))</f>
        <v>ポテンシャルストーンI</v>
      </c>
      <c r="S500">
        <f t="shared" si="58"/>
        <v>5</v>
      </c>
    </row>
    <row r="501" spans="9:19">
      <c r="I501" s="68" t="s">
        <v>2303</v>
      </c>
      <c r="J501" t="s">
        <v>1736</v>
      </c>
      <c r="K501">
        <v>1</v>
      </c>
      <c r="L501">
        <v>0.5</v>
      </c>
      <c r="M501" t="s">
        <v>2328</v>
      </c>
      <c r="N501">
        <v>1</v>
      </c>
      <c r="O501" t="str">
        <f>IF(J501="","",VLOOKUP(J501,道具表!B:C,2,FALSE))</f>
        <v>ソールメダル(5)</v>
      </c>
      <c r="P501">
        <f t="shared" si="56"/>
        <v>1</v>
      </c>
      <c r="Q501">
        <f t="shared" si="57"/>
        <v>0.5</v>
      </c>
      <c r="R501" t="str">
        <f>IF(M501="","",VLOOKUP(M501,道具表!B:C,2,FALSE))</f>
        <v>ポテンシャルストーンIII</v>
      </c>
      <c r="S501">
        <f t="shared" si="58"/>
        <v>1</v>
      </c>
    </row>
    <row r="502" spans="9:19">
      <c r="J502" t="s">
        <v>1278</v>
      </c>
      <c r="K502" t="s">
        <v>1278</v>
      </c>
      <c r="L502">
        <v>1</v>
      </c>
      <c r="M502" t="s">
        <v>2329</v>
      </c>
      <c r="N502">
        <v>2</v>
      </c>
      <c r="O502" t="str">
        <f>IF(J502="","",VLOOKUP(J502,道具表!B:C,2,FALSE))</f>
        <v/>
      </c>
      <c r="P502" t="str">
        <f t="shared" si="56"/>
        <v/>
      </c>
      <c r="Q502">
        <f t="shared" si="57"/>
        <v>1</v>
      </c>
      <c r="R502" t="str">
        <f>IF(M502="","",VLOOKUP(M502,道具表!B:C,2,FALSE))</f>
        <v>ポテンシャルストーンII</v>
      </c>
      <c r="S502">
        <f t="shared" si="58"/>
        <v>2</v>
      </c>
    </row>
    <row r="503" spans="9:19">
      <c r="J503" t="s">
        <v>1278</v>
      </c>
      <c r="K503" t="s">
        <v>1278</v>
      </c>
      <c r="L503">
        <v>1</v>
      </c>
      <c r="M503" t="s">
        <v>2330</v>
      </c>
      <c r="N503">
        <v>10</v>
      </c>
      <c r="O503" t="str">
        <f>IF(J503="","",VLOOKUP(J503,道具表!B:C,2,FALSE))</f>
        <v/>
      </c>
      <c r="P503" t="str">
        <f t="shared" si="56"/>
        <v/>
      </c>
      <c r="Q503">
        <f t="shared" si="57"/>
        <v>1</v>
      </c>
      <c r="R503" t="str">
        <f>IF(M503="","",VLOOKUP(M503,道具表!B:C,2,FALSE))</f>
        <v>ポテンシャルストーンI</v>
      </c>
      <c r="S503">
        <f t="shared" si="58"/>
        <v>10</v>
      </c>
    </row>
    <row r="504" spans="9:19">
      <c r="I504" s="68" t="s">
        <v>2304</v>
      </c>
      <c r="J504" t="s">
        <v>1736</v>
      </c>
      <c r="K504">
        <v>1</v>
      </c>
      <c r="L504">
        <v>1</v>
      </c>
      <c r="M504" t="s">
        <v>2328</v>
      </c>
      <c r="N504">
        <v>1</v>
      </c>
      <c r="O504" t="str">
        <f>IF(J504="","",VLOOKUP(J504,道具表!B:C,2,FALSE))</f>
        <v>ソールメダル(5)</v>
      </c>
      <c r="P504">
        <f t="shared" si="56"/>
        <v>1</v>
      </c>
      <c r="Q504">
        <f t="shared" si="57"/>
        <v>1</v>
      </c>
      <c r="R504" t="str">
        <f>IF(M504="","",VLOOKUP(M504,道具表!B:C,2,FALSE))</f>
        <v>ポテンシャルストーンIII</v>
      </c>
      <c r="S504">
        <f t="shared" si="58"/>
        <v>1</v>
      </c>
    </row>
    <row r="505" spans="9:19">
      <c r="J505" t="s">
        <v>1278</v>
      </c>
      <c r="K505" t="s">
        <v>1278</v>
      </c>
      <c r="L505">
        <v>1</v>
      </c>
      <c r="M505" t="s">
        <v>2329</v>
      </c>
      <c r="N505">
        <v>3</v>
      </c>
      <c r="O505" t="str">
        <f>IF(J505="","",VLOOKUP(J505,道具表!B:C,2,FALSE))</f>
        <v/>
      </c>
      <c r="P505" t="str">
        <f t="shared" si="56"/>
        <v/>
      </c>
      <c r="Q505">
        <f t="shared" si="57"/>
        <v>1</v>
      </c>
      <c r="R505" t="str">
        <f>IF(M505="","",VLOOKUP(M505,道具表!B:C,2,FALSE))</f>
        <v>ポテンシャルストーンII</v>
      </c>
      <c r="S505">
        <f t="shared" si="58"/>
        <v>3</v>
      </c>
    </row>
    <row r="506" spans="9:19">
      <c r="J506" t="s">
        <v>1278</v>
      </c>
      <c r="K506" t="s">
        <v>1278</v>
      </c>
      <c r="L506">
        <v>1</v>
      </c>
      <c r="M506" t="s">
        <v>2330</v>
      </c>
      <c r="N506">
        <v>20</v>
      </c>
      <c r="O506" t="str">
        <f>IF(J506="","",VLOOKUP(J506,道具表!B:C,2,FALSE))</f>
        <v/>
      </c>
      <c r="P506" t="str">
        <f t="shared" si="56"/>
        <v/>
      </c>
      <c r="Q506">
        <f t="shared" si="57"/>
        <v>1</v>
      </c>
      <c r="R506" t="str">
        <f>IF(M506="","",VLOOKUP(M506,道具表!B:C,2,FALSE))</f>
        <v>ポテンシャルストーンI</v>
      </c>
      <c r="S506">
        <f t="shared" si="58"/>
        <v>20</v>
      </c>
    </row>
    <row r="507" spans="9:19">
      <c r="I507" s="79" t="s">
        <v>2305</v>
      </c>
      <c r="O507" t="str">
        <f>IF(J507="","",VLOOKUP(J507,道具表!B:C,2,FALSE))</f>
        <v/>
      </c>
      <c r="P507" t="str">
        <f t="shared" si="56"/>
        <v/>
      </c>
      <c r="Q507" t="str">
        <f t="shared" si="57"/>
        <v/>
      </c>
      <c r="R507" t="str">
        <f>IF(M507="","",VLOOKUP(M507,道具表!B:C,2,FALSE))</f>
        <v/>
      </c>
      <c r="S507" t="str">
        <f t="shared" si="58"/>
        <v/>
      </c>
    </row>
    <row r="508" spans="9:19">
      <c r="I508" s="68" t="s">
        <v>2306</v>
      </c>
      <c r="J508" t="s">
        <v>1736</v>
      </c>
      <c r="K508">
        <v>1</v>
      </c>
      <c r="L508">
        <v>1</v>
      </c>
      <c r="M508" t="s">
        <v>1504</v>
      </c>
      <c r="N508">
        <v>10</v>
      </c>
      <c r="O508" t="str">
        <f>IF(J508="","",VLOOKUP(J508,道具表!B:C,2,FALSE))</f>
        <v>ソールメダル(5)</v>
      </c>
      <c r="P508">
        <f t="shared" si="56"/>
        <v>1</v>
      </c>
      <c r="Q508">
        <f t="shared" si="57"/>
        <v>1</v>
      </c>
      <c r="R508" t="str">
        <f>IF(M508="","",VLOOKUP(M508,道具表!B:C,2,FALSE))</f>
        <v>宿命の果実</v>
      </c>
      <c r="S508">
        <f t="shared" si="58"/>
        <v>10</v>
      </c>
    </row>
    <row r="509" spans="9:19">
      <c r="I509" s="68" t="s">
        <v>2307</v>
      </c>
      <c r="J509" t="s">
        <v>1736</v>
      </c>
      <c r="K509">
        <v>1</v>
      </c>
      <c r="L509">
        <v>1</v>
      </c>
      <c r="M509" t="s">
        <v>1504</v>
      </c>
      <c r="N509">
        <v>25</v>
      </c>
      <c r="O509" t="str">
        <f>IF(J509="","",VLOOKUP(J509,道具表!B:C,2,FALSE))</f>
        <v>ソールメダル(5)</v>
      </c>
      <c r="P509">
        <f t="shared" si="56"/>
        <v>1</v>
      </c>
      <c r="Q509">
        <f t="shared" si="57"/>
        <v>1</v>
      </c>
      <c r="R509" t="str">
        <f>IF(M509="","",VLOOKUP(M509,道具表!B:C,2,FALSE))</f>
        <v>宿命の果実</v>
      </c>
      <c r="S509">
        <f t="shared" si="58"/>
        <v>25</v>
      </c>
    </row>
    <row r="510" spans="9:19">
      <c r="I510" s="68" t="s">
        <v>2308</v>
      </c>
      <c r="J510" t="s">
        <v>1736</v>
      </c>
      <c r="K510">
        <v>1</v>
      </c>
      <c r="L510">
        <v>1</v>
      </c>
      <c r="M510" t="s">
        <v>1504</v>
      </c>
      <c r="N510">
        <v>40</v>
      </c>
      <c r="O510" t="str">
        <f>IF(J510="","",VLOOKUP(J510,道具表!B:C,2,FALSE))</f>
        <v>ソールメダル(5)</v>
      </c>
      <c r="P510">
        <f t="shared" si="56"/>
        <v>1</v>
      </c>
      <c r="Q510">
        <f t="shared" si="57"/>
        <v>1</v>
      </c>
      <c r="R510" t="str">
        <f>IF(M510="","",VLOOKUP(M510,道具表!B:C,2,FALSE))</f>
        <v>宿命の果実</v>
      </c>
      <c r="S510">
        <f t="shared" si="58"/>
        <v>40</v>
      </c>
    </row>
    <row r="511" spans="9:19">
      <c r="I511" s="79" t="s">
        <v>2309</v>
      </c>
      <c r="O511" t="str">
        <f>IF(J511="","",VLOOKUP(J511,道具表!B:C,2,FALSE))</f>
        <v/>
      </c>
      <c r="P511" t="str">
        <f t="shared" si="56"/>
        <v/>
      </c>
      <c r="Q511" t="str">
        <f t="shared" si="57"/>
        <v/>
      </c>
      <c r="R511" t="str">
        <f>IF(M511="","",VLOOKUP(M511,道具表!B:C,2,FALSE))</f>
        <v/>
      </c>
      <c r="S511" t="str">
        <f t="shared" si="58"/>
        <v/>
      </c>
    </row>
    <row r="512" spans="9:19">
      <c r="I512" s="68" t="s">
        <v>2310</v>
      </c>
      <c r="J512" t="s">
        <v>1736</v>
      </c>
      <c r="K512">
        <v>1</v>
      </c>
      <c r="L512">
        <v>1</v>
      </c>
      <c r="M512" t="s">
        <v>2331</v>
      </c>
      <c r="N512">
        <v>1</v>
      </c>
      <c r="O512" t="str">
        <f>IF(J512="","",VLOOKUP(J512,道具表!B:C,2,FALSE))</f>
        <v>ソールメダル(5)</v>
      </c>
      <c r="P512">
        <f t="shared" si="56"/>
        <v>1</v>
      </c>
      <c r="Q512">
        <f t="shared" si="57"/>
        <v>1</v>
      </c>
      <c r="R512" t="str">
        <f>IF(M512="","",VLOOKUP(M512,道具表!B:C,2,FALSE))</f>
        <v>曼陀蘿的交涉權(N)</v>
      </c>
      <c r="S512">
        <f t="shared" si="58"/>
        <v>1</v>
      </c>
    </row>
    <row r="513" spans="9:19">
      <c r="I513" s="68" t="s">
        <v>2311</v>
      </c>
      <c r="J513" t="s">
        <v>1736</v>
      </c>
      <c r="K513">
        <v>1</v>
      </c>
      <c r="L513">
        <v>1</v>
      </c>
      <c r="M513" t="s">
        <v>2332</v>
      </c>
      <c r="N513">
        <v>1</v>
      </c>
      <c r="O513" t="str">
        <f>IF(J513="","",VLOOKUP(J513,道具表!B:C,2,FALSE))</f>
        <v>ソールメダル(5)</v>
      </c>
      <c r="P513">
        <f t="shared" si="56"/>
        <v>1</v>
      </c>
      <c r="Q513">
        <f t="shared" si="57"/>
        <v>1</v>
      </c>
      <c r="R513" t="str">
        <f>IF(M513="","",VLOOKUP(M513,道具表!B:C,2,FALSE))</f>
        <v>曼陀蘿的交涉權(R)</v>
      </c>
      <c r="S513">
        <f t="shared" si="58"/>
        <v>1</v>
      </c>
    </row>
    <row r="514" spans="9:19">
      <c r="I514" s="68" t="s">
        <v>2312</v>
      </c>
      <c r="J514" t="s">
        <v>1736</v>
      </c>
      <c r="K514">
        <v>1</v>
      </c>
      <c r="L514">
        <v>1</v>
      </c>
      <c r="M514" t="s">
        <v>2332</v>
      </c>
      <c r="N514">
        <v>2</v>
      </c>
      <c r="O514" t="str">
        <f>IF(J514="","",VLOOKUP(J514,道具表!B:C,2,FALSE))</f>
        <v>ソールメダル(5)</v>
      </c>
      <c r="P514">
        <f t="shared" si="56"/>
        <v>1</v>
      </c>
      <c r="Q514">
        <f t="shared" si="57"/>
        <v>1</v>
      </c>
      <c r="R514" t="str">
        <f>IF(M514="","",VLOOKUP(M514,道具表!B:C,2,FALSE))</f>
        <v>曼陀蘿的交涉權(R)</v>
      </c>
      <c r="S514">
        <f t="shared" si="58"/>
        <v>2</v>
      </c>
    </row>
    <row r="515" spans="9:19">
      <c r="I515" s="79" t="s">
        <v>2313</v>
      </c>
      <c r="O515" t="str">
        <f>IF(J515="","",VLOOKUP(J515,道具表!B:C,2,FALSE))</f>
        <v/>
      </c>
      <c r="P515" t="str">
        <f t="shared" si="56"/>
        <v/>
      </c>
      <c r="Q515" t="str">
        <f t="shared" si="57"/>
        <v/>
      </c>
      <c r="R515" t="str">
        <f>IF(M515="","",VLOOKUP(M515,道具表!B:C,2,FALSE))</f>
        <v/>
      </c>
      <c r="S515" t="str">
        <f t="shared" si="58"/>
        <v/>
      </c>
    </row>
    <row r="516" spans="9:19">
      <c r="I516" s="68" t="s">
        <v>2314</v>
      </c>
      <c r="J516" t="s">
        <v>1736</v>
      </c>
      <c r="K516">
        <v>1</v>
      </c>
      <c r="M516" t="s">
        <v>2333</v>
      </c>
      <c r="O516" t="str">
        <f>IF(J516="","",VLOOKUP(J516,道具表!B:C,2,FALSE))</f>
        <v>ソールメダル(5)</v>
      </c>
      <c r="P516">
        <f t="shared" si="56"/>
        <v>1</v>
      </c>
      <c r="Q516" t="str">
        <f t="shared" si="57"/>
        <v/>
      </c>
      <c r="R516" t="e">
        <f>IF(M516="","",VLOOKUP(M516,道具表!B:C,2,FALSE))</f>
        <v>#N/A</v>
      </c>
      <c r="S516" t="str">
        <f t="shared" si="58"/>
        <v/>
      </c>
    </row>
    <row r="517" spans="9:19">
      <c r="I517" s="68" t="s">
        <v>2315</v>
      </c>
      <c r="J517" t="s">
        <v>1736</v>
      </c>
      <c r="K517">
        <v>1</v>
      </c>
      <c r="M517" t="s">
        <v>2334</v>
      </c>
      <c r="O517" t="str">
        <f>IF(J517="","",VLOOKUP(J517,道具表!B:C,2,FALSE))</f>
        <v>ソールメダル(5)</v>
      </c>
      <c r="P517">
        <f t="shared" si="56"/>
        <v>1</v>
      </c>
      <c r="Q517" t="str">
        <f t="shared" si="57"/>
        <v/>
      </c>
      <c r="R517" t="e">
        <f>IF(M517="","",VLOOKUP(M517,道具表!B:C,2,FALSE))</f>
        <v>#N/A</v>
      </c>
      <c r="S517" t="str">
        <f t="shared" si="58"/>
        <v/>
      </c>
    </row>
    <row r="518" spans="9:19">
      <c r="I518" s="68" t="s">
        <v>2316</v>
      </c>
      <c r="J518" t="s">
        <v>1736</v>
      </c>
      <c r="K518">
        <v>1</v>
      </c>
      <c r="M518" t="s">
        <v>2335</v>
      </c>
      <c r="O518" t="str">
        <f>IF(J518="","",VLOOKUP(J518,道具表!B:C,2,FALSE))</f>
        <v>ソールメダル(5)</v>
      </c>
      <c r="P518">
        <f t="shared" si="56"/>
        <v>1</v>
      </c>
      <c r="Q518" t="str">
        <f t="shared" si="57"/>
        <v/>
      </c>
      <c r="R518" t="e">
        <f>IF(M518="","",VLOOKUP(M518,道具表!B:C,2,FALSE))</f>
        <v>#N/A</v>
      </c>
      <c r="S518" t="str">
        <f t="shared" si="58"/>
        <v/>
      </c>
    </row>
    <row r="519" spans="9:19">
      <c r="I519" s="79" t="s">
        <v>2317</v>
      </c>
      <c r="O519" t="str">
        <f>IF(J519="","",VLOOKUP(J519,道具表!B:C,2,FALSE))</f>
        <v/>
      </c>
      <c r="P519" t="str">
        <f t="shared" si="56"/>
        <v/>
      </c>
      <c r="Q519" t="str">
        <f t="shared" si="57"/>
        <v/>
      </c>
      <c r="R519" t="str">
        <f>IF(M519="","",VLOOKUP(M519,道具表!B:C,2,FALSE))</f>
        <v/>
      </c>
      <c r="S519" t="str">
        <f t="shared" si="58"/>
        <v/>
      </c>
    </row>
    <row r="520" spans="9:19">
      <c r="I520" s="68" t="s">
        <v>2318</v>
      </c>
      <c r="J520" t="s">
        <v>1736</v>
      </c>
      <c r="K520">
        <v>1</v>
      </c>
      <c r="L520">
        <v>1</v>
      </c>
      <c r="M520" t="s">
        <v>1505</v>
      </c>
      <c r="N520">
        <v>1</v>
      </c>
      <c r="O520" t="str">
        <f>IF(J520="","",VLOOKUP(J520,道具表!B:C,2,FALSE))</f>
        <v>ソールメダル(5)</v>
      </c>
      <c r="P520">
        <f t="shared" si="56"/>
        <v>1</v>
      </c>
      <c r="Q520">
        <f t="shared" si="57"/>
        <v>1</v>
      </c>
      <c r="R520" t="str">
        <f>IF(M520="","",VLOOKUP(M520,道具表!B:C,2,FALSE))</f>
        <v>82年物の蜂蜜酒</v>
      </c>
      <c r="S520">
        <f t="shared" si="58"/>
        <v>1</v>
      </c>
    </row>
    <row r="521" spans="9:19">
      <c r="J521" t="s">
        <v>1278</v>
      </c>
      <c r="K521" t="s">
        <v>1278</v>
      </c>
      <c r="L521">
        <v>0.5</v>
      </c>
      <c r="M521" t="s">
        <v>1505</v>
      </c>
      <c r="N521">
        <v>1</v>
      </c>
      <c r="O521" t="str">
        <f>IF(J521="","",VLOOKUP(J521,道具表!B:C,2,FALSE))</f>
        <v/>
      </c>
      <c r="P521" t="str">
        <f t="shared" si="56"/>
        <v/>
      </c>
      <c r="Q521">
        <f t="shared" si="57"/>
        <v>0.5</v>
      </c>
      <c r="R521" t="str">
        <f>IF(M521="","",VLOOKUP(M521,道具表!B:C,2,FALSE))</f>
        <v>82年物の蜂蜜酒</v>
      </c>
      <c r="S521">
        <f t="shared" si="58"/>
        <v>1</v>
      </c>
    </row>
    <row r="522" spans="9:19">
      <c r="I522" s="68" t="s">
        <v>2319</v>
      </c>
      <c r="J522" t="s">
        <v>1736</v>
      </c>
      <c r="K522">
        <v>1</v>
      </c>
      <c r="L522">
        <v>1</v>
      </c>
      <c r="M522" t="s">
        <v>1505</v>
      </c>
      <c r="N522">
        <v>3</v>
      </c>
      <c r="O522" t="str">
        <f>IF(J522="","",VLOOKUP(J522,道具表!B:C,2,FALSE))</f>
        <v>ソールメダル(5)</v>
      </c>
      <c r="P522">
        <f t="shared" si="56"/>
        <v>1</v>
      </c>
      <c r="Q522">
        <f t="shared" si="57"/>
        <v>1</v>
      </c>
      <c r="R522" t="str">
        <f>IF(M522="","",VLOOKUP(M522,道具表!B:C,2,FALSE))</f>
        <v>82年物の蜂蜜酒</v>
      </c>
      <c r="S522">
        <f t="shared" si="58"/>
        <v>3</v>
      </c>
    </row>
    <row r="523" spans="9:19">
      <c r="J523" t="s">
        <v>1278</v>
      </c>
      <c r="K523" t="s">
        <v>1278</v>
      </c>
      <c r="L523">
        <v>0.5</v>
      </c>
      <c r="M523" t="s">
        <v>1505</v>
      </c>
      <c r="N523">
        <v>1</v>
      </c>
      <c r="O523" t="str">
        <f>IF(J523="","",VLOOKUP(J523,道具表!B:C,2,FALSE))</f>
        <v/>
      </c>
      <c r="P523" t="str">
        <f t="shared" si="56"/>
        <v/>
      </c>
      <c r="Q523">
        <f t="shared" si="57"/>
        <v>0.5</v>
      </c>
      <c r="R523" t="str">
        <f>IF(M523="","",VLOOKUP(M523,道具表!B:C,2,FALSE))</f>
        <v>82年物の蜂蜜酒</v>
      </c>
      <c r="S523">
        <f t="shared" si="58"/>
        <v>1</v>
      </c>
    </row>
    <row r="524" spans="9:19">
      <c r="I524" s="68" t="s">
        <v>2320</v>
      </c>
      <c r="J524" t="s">
        <v>1736</v>
      </c>
      <c r="K524">
        <v>1</v>
      </c>
      <c r="L524">
        <v>1</v>
      </c>
      <c r="M524" t="s">
        <v>2336</v>
      </c>
      <c r="N524">
        <v>1</v>
      </c>
      <c r="O524" t="str">
        <f>IF(J524="","",VLOOKUP(J524,道具表!B:C,2,FALSE))</f>
        <v>ソールメダル(5)</v>
      </c>
      <c r="P524">
        <f t="shared" si="56"/>
        <v>1</v>
      </c>
      <c r="Q524">
        <f t="shared" si="57"/>
        <v>1</v>
      </c>
      <c r="R524" t="str">
        <f>IF(M524="","",VLOOKUP(M524,道具表!B:C,2,FALSE))</f>
        <v>信頼の宝船</v>
      </c>
      <c r="S524">
        <f t="shared" si="58"/>
        <v>1</v>
      </c>
    </row>
    <row r="525" spans="9:19">
      <c r="J525" t="s">
        <v>1278</v>
      </c>
      <c r="K525" t="s">
        <v>1278</v>
      </c>
      <c r="L525">
        <v>1</v>
      </c>
      <c r="M525" t="s">
        <v>1505</v>
      </c>
      <c r="N525">
        <v>2</v>
      </c>
      <c r="O525" t="str">
        <f>IF(J525="","",VLOOKUP(J525,道具表!B:C,2,FALSE))</f>
        <v/>
      </c>
      <c r="P525" t="str">
        <f t="shared" si="56"/>
        <v/>
      </c>
      <c r="Q525">
        <f t="shared" si="57"/>
        <v>1</v>
      </c>
      <c r="R525" t="str">
        <f>IF(M525="","",VLOOKUP(M525,道具表!B:C,2,FALSE))</f>
        <v>82年物の蜂蜜酒</v>
      </c>
      <c r="S525">
        <f t="shared" si="58"/>
        <v>2</v>
      </c>
    </row>
    <row r="526" spans="9:19">
      <c r="I526" s="79" t="s">
        <v>2321</v>
      </c>
      <c r="J526" t="s">
        <v>1278</v>
      </c>
      <c r="K526" t="s">
        <v>1278</v>
      </c>
      <c r="L526" t="s">
        <v>1278</v>
      </c>
      <c r="M526" t="s">
        <v>1278</v>
      </c>
      <c r="N526" t="s">
        <v>1278</v>
      </c>
      <c r="O526" t="str">
        <f>IF(J526="","",VLOOKUP(J526,道具表!B:C,2,FALSE))</f>
        <v/>
      </c>
      <c r="P526" t="str">
        <f t="shared" si="56"/>
        <v/>
      </c>
      <c r="Q526" t="str">
        <f t="shared" si="57"/>
        <v/>
      </c>
      <c r="R526" t="str">
        <f>IF(M526="","",VLOOKUP(M526,道具表!B:C,2,FALSE))</f>
        <v/>
      </c>
      <c r="S526" t="str">
        <f t="shared" si="58"/>
        <v/>
      </c>
    </row>
    <row r="527" spans="9:19">
      <c r="I527" s="68" t="s">
        <v>2322</v>
      </c>
      <c r="J527" t="s">
        <v>1736</v>
      </c>
      <c r="K527">
        <v>1</v>
      </c>
      <c r="M527" t="s">
        <v>2337</v>
      </c>
      <c r="O527" t="str">
        <f>IF(J527="","",VLOOKUP(J527,道具表!B:C,2,FALSE))</f>
        <v>ソールメダル(5)</v>
      </c>
      <c r="P527">
        <f t="shared" si="56"/>
        <v>1</v>
      </c>
      <c r="Q527" t="str">
        <f t="shared" si="57"/>
        <v/>
      </c>
      <c r="R527" t="e">
        <f>IF(M527="","",VLOOKUP(M527,道具表!B:C,2,FALSE))</f>
        <v>#N/A</v>
      </c>
      <c r="S527" t="str">
        <f t="shared" si="58"/>
        <v/>
      </c>
    </row>
    <row r="528" spans="9:19">
      <c r="I528" s="68" t="s">
        <v>2323</v>
      </c>
      <c r="J528" t="s">
        <v>1736</v>
      </c>
      <c r="K528">
        <v>1</v>
      </c>
      <c r="M528" t="s">
        <v>2338</v>
      </c>
      <c r="O528" t="str">
        <f>IF(J528="","",VLOOKUP(J528,道具表!B:C,2,FALSE))</f>
        <v>ソールメダル(5)</v>
      </c>
      <c r="P528">
        <f t="shared" si="56"/>
        <v>1</v>
      </c>
      <c r="Q528" t="str">
        <f t="shared" si="57"/>
        <v/>
      </c>
      <c r="R528" t="e">
        <f>IF(M528="","",VLOOKUP(M528,道具表!B:C,2,FALSE))</f>
        <v>#N/A</v>
      </c>
      <c r="S528" t="str">
        <f t="shared" si="58"/>
        <v/>
      </c>
    </row>
    <row r="529" spans="9:19">
      <c r="I529" s="68" t="s">
        <v>2324</v>
      </c>
      <c r="J529" t="s">
        <v>1736</v>
      </c>
      <c r="K529">
        <v>1</v>
      </c>
      <c r="M529" t="s">
        <v>2339</v>
      </c>
      <c r="O529" t="str">
        <f>IF(J529="","",VLOOKUP(J529,道具表!B:C,2,FALSE))</f>
        <v>ソールメダル(5)</v>
      </c>
      <c r="P529">
        <f t="shared" si="56"/>
        <v>1</v>
      </c>
      <c r="Q529" t="str">
        <f t="shared" si="57"/>
        <v/>
      </c>
      <c r="R529" t="e">
        <f>IF(M529="","",VLOOKUP(M529,道具表!B:C,2,FALSE))</f>
        <v>#N/A</v>
      </c>
      <c r="S529" t="str">
        <f t="shared" si="58"/>
        <v/>
      </c>
    </row>
    <row r="530" spans="9:19">
      <c r="O530" t="str">
        <f>IF(J530="","",VLOOKUP(J530,道具表!B:C,2,FALSE))</f>
        <v/>
      </c>
      <c r="P530" t="str">
        <f t="shared" si="56"/>
        <v/>
      </c>
      <c r="Q530" t="str">
        <f t="shared" si="57"/>
        <v/>
      </c>
      <c r="R530" t="str">
        <f>IF(M530="","",VLOOKUP(M530,道具表!B:C,2,FALSE))</f>
        <v/>
      </c>
      <c r="S530" t="str">
        <f t="shared" si="58"/>
        <v/>
      </c>
    </row>
    <row r="531" spans="9:19">
      <c r="I531" s="69" t="s">
        <v>636</v>
      </c>
      <c r="L531">
        <v>0.5</v>
      </c>
      <c r="M531" t="s">
        <v>2328</v>
      </c>
      <c r="N531">
        <v>1</v>
      </c>
      <c r="O531" t="str">
        <f>IF(J531="","",VLOOKUP(J531,道具表!B:C,2,FALSE))</f>
        <v/>
      </c>
      <c r="P531" t="str">
        <f t="shared" si="56"/>
        <v/>
      </c>
      <c r="Q531">
        <f t="shared" si="57"/>
        <v>0.5</v>
      </c>
      <c r="R531" t="str">
        <f>IF(M531="","",VLOOKUP(M531,道具表!B:C,2,FALSE))</f>
        <v>ポテンシャルストーンIII</v>
      </c>
      <c r="S531">
        <f t="shared" si="58"/>
        <v>1</v>
      </c>
    </row>
    <row r="532" spans="9:19">
      <c r="L532">
        <v>1</v>
      </c>
      <c r="M532" t="s">
        <v>2329</v>
      </c>
      <c r="N532">
        <v>2</v>
      </c>
      <c r="O532" t="str">
        <f>IF(J532="","",VLOOKUP(J532,道具表!B:C,2,FALSE))</f>
        <v/>
      </c>
      <c r="P532" t="str">
        <f t="shared" si="56"/>
        <v/>
      </c>
      <c r="Q532">
        <f t="shared" si="57"/>
        <v>1</v>
      </c>
      <c r="R532" t="str">
        <f>IF(M532="","",VLOOKUP(M532,道具表!B:C,2,FALSE))</f>
        <v>ポテンシャルストーンII</v>
      </c>
      <c r="S532">
        <f t="shared" si="58"/>
        <v>2</v>
      </c>
    </row>
    <row r="533" spans="9:19">
      <c r="L533">
        <v>1</v>
      </c>
      <c r="M533" t="s">
        <v>2330</v>
      </c>
      <c r="N533">
        <v>8</v>
      </c>
      <c r="O533" t="str">
        <f>IF(J533="","",VLOOKUP(J533,道具表!B:C,2,FALSE))</f>
        <v/>
      </c>
      <c r="P533" t="str">
        <f t="shared" si="56"/>
        <v/>
      </c>
      <c r="Q533">
        <f t="shared" si="57"/>
        <v>1</v>
      </c>
      <c r="R533" t="str">
        <f>IF(M533="","",VLOOKUP(M533,道具表!B:C,2,FALSE))</f>
        <v>ポテンシャルストーンI</v>
      </c>
      <c r="S533">
        <f t="shared" si="58"/>
        <v>8</v>
      </c>
    </row>
    <row r="534" spans="9:19">
      <c r="I534" s="69" t="s">
        <v>2340</v>
      </c>
      <c r="O534" t="str">
        <f>IF(J534="","",VLOOKUP(J534,道具表!B:C,2,FALSE))</f>
        <v/>
      </c>
      <c r="P534" t="str">
        <f t="shared" si="56"/>
        <v/>
      </c>
      <c r="Q534" t="str">
        <f t="shared" si="57"/>
        <v/>
      </c>
      <c r="R534" t="str">
        <f>IF(M534="","",VLOOKUP(M534,道具表!B:C,2,FALSE))</f>
        <v/>
      </c>
      <c r="S534" t="str">
        <f t="shared" si="58"/>
        <v/>
      </c>
    </row>
    <row r="535" spans="9:19">
      <c r="I535" s="80" t="s">
        <v>2341</v>
      </c>
      <c r="L535">
        <v>1</v>
      </c>
      <c r="M535" t="s">
        <v>2342</v>
      </c>
      <c r="N535">
        <v>1</v>
      </c>
      <c r="O535" t="str">
        <f>IF(J535="","",VLOOKUP(J535,道具表!B:C,2,FALSE))</f>
        <v/>
      </c>
      <c r="P535" t="str">
        <f t="shared" si="56"/>
        <v/>
      </c>
      <c r="Q535">
        <f t="shared" si="57"/>
        <v>1</v>
      </c>
      <c r="R535" t="str">
        <f>IF(M535="","",VLOOKUP(M535,道具表!B:C,2,FALSE))</f>
        <v>レイモンド的交涉權(N)</v>
      </c>
      <c r="S535">
        <f t="shared" si="58"/>
        <v>1</v>
      </c>
    </row>
    <row r="536" spans="9:19">
      <c r="L536">
        <v>1</v>
      </c>
      <c r="M536" t="s">
        <v>2343</v>
      </c>
      <c r="N536">
        <v>1</v>
      </c>
      <c r="O536" t="str">
        <f>IF(J536="","",VLOOKUP(J536,道具表!B:C,2,FALSE))</f>
        <v/>
      </c>
      <c r="P536" t="str">
        <f t="shared" si="56"/>
        <v/>
      </c>
      <c r="Q536">
        <f t="shared" si="57"/>
        <v>1</v>
      </c>
      <c r="R536" t="str">
        <f>IF(M536="","",VLOOKUP(M536,道具表!B:C,2,FALSE))</f>
        <v>運命の宝箱I</v>
      </c>
      <c r="S536">
        <f t="shared" si="58"/>
        <v>1</v>
      </c>
    </row>
    <row r="537" spans="9:19">
      <c r="I537" s="80" t="s">
        <v>2341</v>
      </c>
      <c r="L537">
        <v>1</v>
      </c>
      <c r="M537" t="s">
        <v>2344</v>
      </c>
      <c r="N537">
        <v>1</v>
      </c>
      <c r="O537" t="str">
        <f>IF(J537="","",VLOOKUP(J537,道具表!B:C,2,FALSE))</f>
        <v/>
      </c>
      <c r="P537" t="str">
        <f t="shared" si="56"/>
        <v/>
      </c>
      <c r="Q537">
        <f t="shared" si="57"/>
        <v>1</v>
      </c>
      <c r="R537" t="str">
        <f>IF(M537="","",VLOOKUP(M537,道具表!B:C,2,FALSE))</f>
        <v>レイモンド的交涉權(R)</v>
      </c>
      <c r="S537">
        <f t="shared" si="58"/>
        <v>1</v>
      </c>
    </row>
    <row r="538" spans="9:19">
      <c r="L538">
        <v>1</v>
      </c>
      <c r="M538" t="s">
        <v>2343</v>
      </c>
      <c r="N538">
        <v>1</v>
      </c>
      <c r="O538" t="str">
        <f>IF(J538="","",VLOOKUP(J538,道具表!B:C,2,FALSE))</f>
        <v/>
      </c>
      <c r="P538" t="str">
        <f t="shared" si="56"/>
        <v/>
      </c>
      <c r="Q538">
        <f t="shared" si="57"/>
        <v>1</v>
      </c>
      <c r="R538" t="str">
        <f>IF(M538="","",VLOOKUP(M538,道具表!B:C,2,FALSE))</f>
        <v>運命の宝箱I</v>
      </c>
      <c r="S538">
        <f t="shared" si="58"/>
        <v>1</v>
      </c>
    </row>
    <row r="539" spans="9:19">
      <c r="I539" s="80" t="s">
        <v>2341</v>
      </c>
      <c r="L539">
        <v>1</v>
      </c>
      <c r="M539" t="s">
        <v>1733</v>
      </c>
      <c r="N539">
        <v>1</v>
      </c>
      <c r="O539" t="str">
        <f>IF(J539="","",VLOOKUP(J539,道具表!B:C,2,FALSE))</f>
        <v/>
      </c>
      <c r="P539" t="str">
        <f t="shared" si="56"/>
        <v/>
      </c>
      <c r="Q539">
        <f t="shared" si="57"/>
        <v>1</v>
      </c>
      <c r="R539" t="str">
        <f>IF(M539="","",VLOOKUP(M539,道具表!B:C,2,FALSE))</f>
        <v>レイモンド的交涉權(SR)</v>
      </c>
      <c r="S539">
        <f t="shared" si="58"/>
        <v>1</v>
      </c>
    </row>
    <row r="540" spans="9:19">
      <c r="L540">
        <v>1</v>
      </c>
      <c r="M540" t="s">
        <v>2343</v>
      </c>
      <c r="N540">
        <v>1</v>
      </c>
      <c r="O540" t="str">
        <f>IF(J540="","",VLOOKUP(J540,道具表!B:C,2,FALSE))</f>
        <v/>
      </c>
      <c r="P540" t="str">
        <f t="shared" si="56"/>
        <v/>
      </c>
      <c r="Q540">
        <f t="shared" si="57"/>
        <v>1</v>
      </c>
      <c r="R540" t="str">
        <f>IF(M540="","",VLOOKUP(M540,道具表!B:C,2,FALSE))</f>
        <v>運命の宝箱I</v>
      </c>
      <c r="S540">
        <f t="shared" si="58"/>
        <v>1</v>
      </c>
    </row>
    <row r="541" spans="9:19">
      <c r="O541" t="str">
        <f>IF(J541="","",VLOOKUP(J541,道具表!B:C,2,FALSE))</f>
        <v/>
      </c>
      <c r="P541" t="str">
        <f t="shared" si="56"/>
        <v/>
      </c>
      <c r="Q541" t="str">
        <f t="shared" si="57"/>
        <v/>
      </c>
      <c r="R541" t="str">
        <f>IF(M541="","",VLOOKUP(M541,道具表!B:C,2,FALSE))</f>
        <v/>
      </c>
      <c r="S541" t="str">
        <f t="shared" si="58"/>
        <v/>
      </c>
    </row>
    <row r="542" spans="9:19">
      <c r="O542" t="str">
        <f>IF(J542="","",VLOOKUP(J542,道具表!B:C,2,FALSE))</f>
        <v/>
      </c>
      <c r="P542" t="str">
        <f t="shared" si="56"/>
        <v/>
      </c>
      <c r="Q542" t="str">
        <f t="shared" si="57"/>
        <v/>
      </c>
      <c r="R542" t="str">
        <f>IF(M542="","",VLOOKUP(M542,道具表!B:C,2,FALSE))</f>
        <v/>
      </c>
      <c r="S542" t="str">
        <f t="shared" si="58"/>
        <v/>
      </c>
    </row>
  </sheetData>
  <mergeCells count="10">
    <mergeCell ref="D5:E5"/>
    <mergeCell ref="F5:H5"/>
    <mergeCell ref="I5:K5"/>
    <mergeCell ref="L5:N5"/>
    <mergeCell ref="O5:Q5"/>
    <mergeCell ref="D20:E20"/>
    <mergeCell ref="F20:H20"/>
    <mergeCell ref="I20:K20"/>
    <mergeCell ref="L20:N20"/>
    <mergeCell ref="O20:Q20"/>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4"/>
  <dimension ref="A5:W190"/>
  <sheetViews>
    <sheetView workbookViewId="0">
      <selection activeCell="I11" sqref="I11"/>
    </sheetView>
  </sheetViews>
  <sheetFormatPr defaultRowHeight="16.5"/>
  <cols>
    <col min="1" max="1" width="18.75" customWidth="1"/>
    <col min="2" max="2" width="15.25" customWidth="1"/>
    <col min="3" max="3" width="12.625" customWidth="1"/>
    <col min="4" max="4" width="10.125" customWidth="1"/>
    <col min="5" max="8" width="9" customWidth="1"/>
    <col min="9" max="9" width="9.75" customWidth="1"/>
    <col min="10" max="13" width="9" customWidth="1"/>
    <col min="14" max="14" width="35" customWidth="1"/>
    <col min="15" max="16" width="28.5" customWidth="1"/>
    <col min="17" max="23" width="23.875" customWidth="1"/>
  </cols>
  <sheetData>
    <row r="5" spans="1:23">
      <c r="A5" s="12" t="s">
        <v>1180</v>
      </c>
      <c r="B5" s="12" t="s">
        <v>1179</v>
      </c>
      <c r="C5" s="12" t="s">
        <v>991</v>
      </c>
      <c r="D5" s="12" t="s">
        <v>1010</v>
      </c>
      <c r="E5" s="12" t="s">
        <v>993</v>
      </c>
      <c r="F5" s="12" t="s">
        <v>994</v>
      </c>
      <c r="G5" s="12" t="s">
        <v>995</v>
      </c>
      <c r="H5" s="12" t="s">
        <v>996</v>
      </c>
      <c r="I5" s="12" t="s">
        <v>997</v>
      </c>
      <c r="J5" s="12" t="s">
        <v>998</v>
      </c>
      <c r="K5" s="12" t="s">
        <v>999</v>
      </c>
      <c r="L5" s="12" t="s">
        <v>1000</v>
      </c>
      <c r="M5" s="12" t="s">
        <v>1001</v>
      </c>
      <c r="N5" s="12" t="s">
        <v>1011</v>
      </c>
      <c r="O5" s="12" t="s">
        <v>992</v>
      </c>
      <c r="P5" s="12" t="s">
        <v>1002</v>
      </c>
      <c r="Q5" s="12" t="s">
        <v>1003</v>
      </c>
      <c r="R5" s="12" t="s">
        <v>1004</v>
      </c>
      <c r="S5" s="12" t="s">
        <v>1005</v>
      </c>
      <c r="T5" s="12" t="s">
        <v>1006</v>
      </c>
      <c r="U5" s="12" t="s">
        <v>1007</v>
      </c>
      <c r="V5" s="12" t="s">
        <v>1008</v>
      </c>
      <c r="W5" s="12" t="s">
        <v>1009</v>
      </c>
    </row>
    <row r="6" spans="1:23">
      <c r="A6" t="s">
        <v>3462</v>
      </c>
      <c r="B6" s="65"/>
      <c r="C6" t="s">
        <v>3462</v>
      </c>
      <c r="D6">
        <v>802</v>
      </c>
      <c r="E6">
        <v>882</v>
      </c>
      <c r="F6">
        <v>872</v>
      </c>
      <c r="G6">
        <v>843</v>
      </c>
      <c r="H6">
        <v>943</v>
      </c>
      <c r="N6" t="str">
        <f>IF(ISNA(VLOOKUP(D6,技能表!$A:$B,2,FALSE)),"",VLOOKUP(D6,技能表!$A:$B,2,FALSE))</f>
        <v>30%除水抗性</v>
      </c>
      <c r="O6" t="str">
        <f>IF(ISNA(VLOOKUP(E6,技能表!$A:$B,2,FALSE)),"",VLOOKUP(E6,技能表!$A:$B,2,FALSE))</f>
        <v>流血抗性95%</v>
      </c>
      <c r="P6" t="str">
        <f>IF(ISNA(VLOOKUP(F6,技能表!$A:$B,2,FALSE)),"",VLOOKUP(F6,技能表!$A:$B,2,FALSE))</f>
        <v>抓取抗性100%</v>
      </c>
      <c r="Q6" t="str">
        <f>IF(ISNA(VLOOKUP(G6,技能表!$A:$B,2,FALSE)),"",VLOOKUP(G6,技能表!$A:$B,2,FALSE))</f>
        <v>負面時間減免50%</v>
      </c>
      <c r="R6" t="str">
        <f>IF(ISNA(VLOOKUP(H6,技能表!$A:$B,2,FALSE)),"",VLOOKUP(H6,技能表!$A:$B,2,FALSE))</f>
        <v>無法回血</v>
      </c>
      <c r="S6" t="str">
        <f>IF(ISNA(VLOOKUP(I6,技能表!$A:$B,2,FALSE)),"",VLOOKUP(I6,技能表!$A:$B,2,FALSE))</f>
        <v/>
      </c>
      <c r="T6" t="str">
        <f>IF(ISNA(VLOOKUP(J6,技能表!$A:$B,2,FALSE)),"",VLOOKUP(J6,技能表!$A:$B,2,FALSE))</f>
        <v/>
      </c>
      <c r="U6" t="str">
        <f>IF(ISNA(VLOOKUP(K6,技能表!$A:$B,2,FALSE)),"",VLOOKUP(K6,技能表!$A:$B,2,FALSE))</f>
        <v/>
      </c>
      <c r="V6" t="str">
        <f>IF(ISNA(VLOOKUP(L6,技能表!$A:$B,2,FALSE)),"",VLOOKUP(L6,技能表!$A:$B,2,FALSE))</f>
        <v/>
      </c>
      <c r="W6" t="str">
        <f>IF(ISNA(VLOOKUP(M6,技能表!$A:$B,2,FALSE)),"",VLOOKUP(M6,技能表!$A:$B,2,FALSE))</f>
        <v/>
      </c>
    </row>
    <row r="7" spans="1:23">
      <c r="B7" s="65"/>
      <c r="C7" s="64"/>
      <c r="N7" t="str">
        <f>IF(ISNA(VLOOKUP(D7,技能表!$A:$B,2,FALSE)),"",VLOOKUP(D7,技能表!$A:$B,2,FALSE))</f>
        <v/>
      </c>
      <c r="O7" t="str">
        <f>IF(ISNA(VLOOKUP(E7,技能表!$A:$B,2,FALSE)),"",VLOOKUP(E7,技能表!$A:$B,2,FALSE))</f>
        <v/>
      </c>
      <c r="P7" t="str">
        <f>IF(ISNA(VLOOKUP(F7,技能表!$A:$B,2,FALSE)),"",VLOOKUP(F7,技能表!$A:$B,2,FALSE))</f>
        <v/>
      </c>
      <c r="Q7" t="str">
        <f>IF(ISNA(VLOOKUP(G7,技能表!$A:$B,2,FALSE)),"",VLOOKUP(G7,技能表!$A:$B,2,FALSE))</f>
        <v/>
      </c>
      <c r="R7" t="str">
        <f>IF(ISNA(VLOOKUP(H7,技能表!$A:$B,2,FALSE)),"",VLOOKUP(H7,技能表!$A:$B,2,FALSE))</f>
        <v/>
      </c>
      <c r="S7" t="str">
        <f>IF(ISNA(VLOOKUP(I7,技能表!$A:$B,2,FALSE)),"",VLOOKUP(I7,技能表!$A:$B,2,FALSE))</f>
        <v/>
      </c>
      <c r="T7" t="str">
        <f>IF(ISNA(VLOOKUP(J7,技能表!$A:$B,2,FALSE)),"",VLOOKUP(J7,技能表!$A:$B,2,FALSE))</f>
        <v/>
      </c>
      <c r="U7" t="str">
        <f>IF(ISNA(VLOOKUP(K7,技能表!$A:$B,2,FALSE)),"",VLOOKUP(K7,技能表!$A:$B,2,FALSE))</f>
        <v/>
      </c>
      <c r="V7" t="str">
        <f>IF(ISNA(VLOOKUP(L7,技能表!$A:$B,2,FALSE)),"",VLOOKUP(L7,技能表!$A:$B,2,FALSE))</f>
        <v/>
      </c>
      <c r="W7" t="str">
        <f>IF(ISNA(VLOOKUP(M7,技能表!$A:$B,2,FALSE)),"",VLOOKUP(M7,技能表!$A:$B,2,FALSE))</f>
        <v/>
      </c>
    </row>
    <row r="8" spans="1:23">
      <c r="B8" s="65"/>
      <c r="C8" s="64"/>
      <c r="N8" t="str">
        <f>IF(ISNA(VLOOKUP(D8,技能表!$A:$B,2,FALSE)),"",VLOOKUP(D8,技能表!$A:$B,2,FALSE))</f>
        <v/>
      </c>
      <c r="O8" t="str">
        <f>IF(ISNA(VLOOKUP(E8,技能表!$A:$B,2,FALSE)),"",VLOOKUP(E8,技能表!$A:$B,2,FALSE))</f>
        <v/>
      </c>
      <c r="P8" t="str">
        <f>IF(ISNA(VLOOKUP(F8,技能表!$A:$B,2,FALSE)),"",VLOOKUP(F8,技能表!$A:$B,2,FALSE))</f>
        <v/>
      </c>
      <c r="Q8" t="str">
        <f>IF(ISNA(VLOOKUP(G8,技能表!$A:$B,2,FALSE)),"",VLOOKUP(G8,技能表!$A:$B,2,FALSE))</f>
        <v/>
      </c>
      <c r="R8" t="str">
        <f>IF(ISNA(VLOOKUP(H8,技能表!$A:$B,2,FALSE)),"",VLOOKUP(H8,技能表!$A:$B,2,FALSE))</f>
        <v/>
      </c>
      <c r="S8" t="str">
        <f>IF(ISNA(VLOOKUP(I8,技能表!$A:$B,2,FALSE)),"",VLOOKUP(I8,技能表!$A:$B,2,FALSE))</f>
        <v/>
      </c>
      <c r="T8" t="str">
        <f>IF(ISNA(VLOOKUP(J8,技能表!$A:$B,2,FALSE)),"",VLOOKUP(J8,技能表!$A:$B,2,FALSE))</f>
        <v/>
      </c>
      <c r="U8" t="str">
        <f>IF(ISNA(VLOOKUP(K8,技能表!$A:$B,2,FALSE)),"",VLOOKUP(K8,技能表!$A:$B,2,FALSE))</f>
        <v/>
      </c>
      <c r="V8" t="str">
        <f>IF(ISNA(VLOOKUP(L8,技能表!$A:$B,2,FALSE)),"",VLOOKUP(L8,技能表!$A:$B,2,FALSE))</f>
        <v/>
      </c>
      <c r="W8" t="str">
        <f>IF(ISNA(VLOOKUP(M8,技能表!$A:$B,2,FALSE)),"",VLOOKUP(M8,技能表!$A:$B,2,FALSE))</f>
        <v/>
      </c>
    </row>
    <row r="9" spans="1:23">
      <c r="B9" s="65"/>
      <c r="C9" s="64"/>
      <c r="N9" t="str">
        <f>IF(ISNA(VLOOKUP(D9,技能表!$A:$B,2,FALSE)),"",VLOOKUP(D9,技能表!$A:$B,2,FALSE))</f>
        <v/>
      </c>
      <c r="O9" t="str">
        <f>IF(ISNA(VLOOKUP(E9,技能表!$A:$B,2,FALSE)),"",VLOOKUP(E9,技能表!$A:$B,2,FALSE))</f>
        <v/>
      </c>
      <c r="P9" t="str">
        <f>IF(ISNA(VLOOKUP(F9,技能表!$A:$B,2,FALSE)),"",VLOOKUP(F9,技能表!$A:$B,2,FALSE))</f>
        <v/>
      </c>
      <c r="Q9" t="str">
        <f>IF(ISNA(VLOOKUP(G9,技能表!$A:$B,2,FALSE)),"",VLOOKUP(G9,技能表!$A:$B,2,FALSE))</f>
        <v/>
      </c>
      <c r="R9" t="str">
        <f>IF(ISNA(VLOOKUP(H9,技能表!$A:$B,2,FALSE)),"",VLOOKUP(H9,技能表!$A:$B,2,FALSE))</f>
        <v/>
      </c>
      <c r="S9" t="str">
        <f>IF(ISNA(VLOOKUP(I9,技能表!$A:$B,2,FALSE)),"",VLOOKUP(I9,技能表!$A:$B,2,FALSE))</f>
        <v/>
      </c>
      <c r="T9" t="str">
        <f>IF(ISNA(VLOOKUP(J9,技能表!$A:$B,2,FALSE)),"",VLOOKUP(J9,技能表!$A:$B,2,FALSE))</f>
        <v/>
      </c>
      <c r="U9" t="str">
        <f>IF(ISNA(VLOOKUP(K9,技能表!$A:$B,2,FALSE)),"",VLOOKUP(K9,技能表!$A:$B,2,FALSE))</f>
        <v/>
      </c>
      <c r="V9" t="str">
        <f>IF(ISNA(VLOOKUP(L9,技能表!$A:$B,2,FALSE)),"",VLOOKUP(L9,技能表!$A:$B,2,FALSE))</f>
        <v/>
      </c>
      <c r="W9" t="str">
        <f>IF(ISNA(VLOOKUP(M9,技能表!$A:$B,2,FALSE)),"",VLOOKUP(M9,技能表!$A:$B,2,FALSE))</f>
        <v/>
      </c>
    </row>
    <row r="10" spans="1:23">
      <c r="B10" s="65"/>
      <c r="C10" s="64"/>
      <c r="N10" t="str">
        <f>IF(ISNA(VLOOKUP(D10,技能表!$A:$B,2,FALSE)),"",VLOOKUP(D10,技能表!$A:$B,2,FALSE))</f>
        <v/>
      </c>
      <c r="O10" t="str">
        <f>IF(ISNA(VLOOKUP(E10,技能表!$A:$B,2,FALSE)),"",VLOOKUP(E10,技能表!$A:$B,2,FALSE))</f>
        <v/>
      </c>
      <c r="P10" t="str">
        <f>IF(ISNA(VLOOKUP(F10,技能表!$A:$B,2,FALSE)),"",VLOOKUP(F10,技能表!$A:$B,2,FALSE))</f>
        <v/>
      </c>
      <c r="Q10" t="str">
        <f>IF(ISNA(VLOOKUP(G10,技能表!$A:$B,2,FALSE)),"",VLOOKUP(G10,技能表!$A:$B,2,FALSE))</f>
        <v/>
      </c>
      <c r="R10" t="str">
        <f>IF(ISNA(VLOOKUP(H10,技能表!$A:$B,2,FALSE)),"",VLOOKUP(H10,技能表!$A:$B,2,FALSE))</f>
        <v/>
      </c>
      <c r="S10" t="str">
        <f>IF(ISNA(VLOOKUP(I10,技能表!$A:$B,2,FALSE)),"",VLOOKUP(I10,技能表!$A:$B,2,FALSE))</f>
        <v/>
      </c>
      <c r="T10" t="str">
        <f>IF(ISNA(VLOOKUP(J10,技能表!$A:$B,2,FALSE)),"",VLOOKUP(J10,技能表!$A:$B,2,FALSE))</f>
        <v/>
      </c>
      <c r="U10" t="str">
        <f>IF(ISNA(VLOOKUP(K10,技能表!$A:$B,2,FALSE)),"",VLOOKUP(K10,技能表!$A:$B,2,FALSE))</f>
        <v/>
      </c>
      <c r="V10" t="str">
        <f>IF(ISNA(VLOOKUP(L10,技能表!$A:$B,2,FALSE)),"",VLOOKUP(L10,技能表!$A:$B,2,FALSE))</f>
        <v/>
      </c>
      <c r="W10" t="str">
        <f>IF(ISNA(VLOOKUP(M10,技能表!$A:$B,2,FALSE)),"",VLOOKUP(M10,技能表!$A:$B,2,FALSE))</f>
        <v/>
      </c>
    </row>
    <row r="11" spans="1:23">
      <c r="B11" s="65"/>
      <c r="C11" s="64"/>
      <c r="N11" t="str">
        <f>IF(ISNA(VLOOKUP(D11,技能表!$A:$B,2,FALSE)),"",VLOOKUP(D11,技能表!$A:$B,2,FALSE))</f>
        <v/>
      </c>
      <c r="O11" t="str">
        <f>IF(ISNA(VLOOKUP(E11,技能表!$A:$B,2,FALSE)),"",VLOOKUP(E11,技能表!$A:$B,2,FALSE))</f>
        <v/>
      </c>
      <c r="P11" t="str">
        <f>IF(ISNA(VLOOKUP(F11,技能表!$A:$B,2,FALSE)),"",VLOOKUP(F11,技能表!$A:$B,2,FALSE))</f>
        <v/>
      </c>
      <c r="Q11" t="str">
        <f>IF(ISNA(VLOOKUP(G11,技能表!$A:$B,2,FALSE)),"",VLOOKUP(G11,技能表!$A:$B,2,FALSE))</f>
        <v/>
      </c>
      <c r="R11" t="str">
        <f>IF(ISNA(VLOOKUP(H11,技能表!$A:$B,2,FALSE)),"",VLOOKUP(H11,技能表!$A:$B,2,FALSE))</f>
        <v/>
      </c>
      <c r="S11" t="str">
        <f>IF(ISNA(VLOOKUP(I11,技能表!$A:$B,2,FALSE)),"",VLOOKUP(I11,技能表!$A:$B,2,FALSE))</f>
        <v/>
      </c>
      <c r="T11" t="str">
        <f>IF(ISNA(VLOOKUP(J11,技能表!$A:$B,2,FALSE)),"",VLOOKUP(J11,技能表!$A:$B,2,FALSE))</f>
        <v/>
      </c>
      <c r="U11" t="str">
        <f>IF(ISNA(VLOOKUP(K11,技能表!$A:$B,2,FALSE)),"",VLOOKUP(K11,技能表!$A:$B,2,FALSE))</f>
        <v/>
      </c>
      <c r="V11" t="str">
        <f>IF(ISNA(VLOOKUP(L11,技能表!$A:$B,2,FALSE)),"",VLOOKUP(L11,技能表!$A:$B,2,FALSE))</f>
        <v/>
      </c>
      <c r="W11" t="str">
        <f>IF(ISNA(VLOOKUP(M11,技能表!$A:$B,2,FALSE)),"",VLOOKUP(M11,技能表!$A:$B,2,FALSE))</f>
        <v/>
      </c>
    </row>
    <row r="12" spans="1:23">
      <c r="B12" s="65"/>
      <c r="C12" s="64"/>
      <c r="N12" t="str">
        <f>IF(ISNA(VLOOKUP(D12,技能表!$A:$B,2,FALSE)),"",VLOOKUP(D12,技能表!$A:$B,2,FALSE))</f>
        <v/>
      </c>
      <c r="O12" t="str">
        <f>IF(ISNA(VLOOKUP(E12,技能表!$A:$B,2,FALSE)),"",VLOOKUP(E12,技能表!$A:$B,2,FALSE))</f>
        <v/>
      </c>
      <c r="P12" t="str">
        <f>IF(ISNA(VLOOKUP(F12,技能表!$A:$B,2,FALSE)),"",VLOOKUP(F12,技能表!$A:$B,2,FALSE))</f>
        <v/>
      </c>
      <c r="Q12" t="str">
        <f>IF(ISNA(VLOOKUP(G12,技能表!$A:$B,2,FALSE)),"",VLOOKUP(G12,技能表!$A:$B,2,FALSE))</f>
        <v/>
      </c>
      <c r="R12" t="str">
        <f>IF(ISNA(VLOOKUP(H12,技能表!$A:$B,2,FALSE)),"",VLOOKUP(H12,技能表!$A:$B,2,FALSE))</f>
        <v/>
      </c>
      <c r="S12" t="str">
        <f>IF(ISNA(VLOOKUP(I12,技能表!$A:$B,2,FALSE)),"",VLOOKUP(I12,技能表!$A:$B,2,FALSE))</f>
        <v/>
      </c>
      <c r="T12" t="str">
        <f>IF(ISNA(VLOOKUP(J12,技能表!$A:$B,2,FALSE)),"",VLOOKUP(J12,技能表!$A:$B,2,FALSE))</f>
        <v/>
      </c>
      <c r="U12" t="str">
        <f>IF(ISNA(VLOOKUP(K12,技能表!$A:$B,2,FALSE)),"",VLOOKUP(K12,技能表!$A:$B,2,FALSE))</f>
        <v/>
      </c>
      <c r="V12" t="str">
        <f>IF(ISNA(VLOOKUP(L12,技能表!$A:$B,2,FALSE)),"",VLOOKUP(L12,技能表!$A:$B,2,FALSE))</f>
        <v/>
      </c>
      <c r="W12" t="str">
        <f>IF(ISNA(VLOOKUP(M12,技能表!$A:$B,2,FALSE)),"",VLOOKUP(M12,技能表!$A:$B,2,FALSE))</f>
        <v/>
      </c>
    </row>
    <row r="13" spans="1:23">
      <c r="B13" s="65"/>
      <c r="C13" s="64"/>
      <c r="N13" t="str">
        <f>IF(ISNA(VLOOKUP(D13,技能表!$A:$B,2,FALSE)),"",VLOOKUP(D13,技能表!$A:$B,2,FALSE))</f>
        <v/>
      </c>
      <c r="O13" t="str">
        <f>IF(ISNA(VLOOKUP(E13,技能表!$A:$B,2,FALSE)),"",VLOOKUP(E13,技能表!$A:$B,2,FALSE))</f>
        <v/>
      </c>
      <c r="P13" t="str">
        <f>IF(ISNA(VLOOKUP(F13,技能表!$A:$B,2,FALSE)),"",VLOOKUP(F13,技能表!$A:$B,2,FALSE))</f>
        <v/>
      </c>
      <c r="Q13" t="str">
        <f>IF(ISNA(VLOOKUP(G13,技能表!$A:$B,2,FALSE)),"",VLOOKUP(G13,技能表!$A:$B,2,FALSE))</f>
        <v/>
      </c>
      <c r="R13" t="str">
        <f>IF(ISNA(VLOOKUP(H13,技能表!$A:$B,2,FALSE)),"",VLOOKUP(H13,技能表!$A:$B,2,FALSE))</f>
        <v/>
      </c>
      <c r="S13" t="str">
        <f>IF(ISNA(VLOOKUP(I13,技能表!$A:$B,2,FALSE)),"",VLOOKUP(I13,技能表!$A:$B,2,FALSE))</f>
        <v/>
      </c>
      <c r="T13" t="str">
        <f>IF(ISNA(VLOOKUP(J13,技能表!$A:$B,2,FALSE)),"",VLOOKUP(J13,技能表!$A:$B,2,FALSE))</f>
        <v/>
      </c>
      <c r="U13" t="str">
        <f>IF(ISNA(VLOOKUP(K13,技能表!$A:$B,2,FALSE)),"",VLOOKUP(K13,技能表!$A:$B,2,FALSE))</f>
        <v/>
      </c>
      <c r="V13" t="str">
        <f>IF(ISNA(VLOOKUP(L13,技能表!$A:$B,2,FALSE)),"",VLOOKUP(L13,技能表!$A:$B,2,FALSE))</f>
        <v/>
      </c>
      <c r="W13" t="str">
        <f>IF(ISNA(VLOOKUP(M13,技能表!$A:$B,2,FALSE)),"",VLOOKUP(M13,技能表!$A:$B,2,FALSE))</f>
        <v/>
      </c>
    </row>
    <row r="14" spans="1:23">
      <c r="B14" s="65"/>
      <c r="C14" s="64"/>
      <c r="N14" t="str">
        <f>IF(ISNA(VLOOKUP(D14,技能表!$A:$B,2,FALSE)),"",VLOOKUP(D14,技能表!$A:$B,2,FALSE))</f>
        <v/>
      </c>
      <c r="O14" t="str">
        <f>IF(ISNA(VLOOKUP(E14,技能表!$A:$B,2,FALSE)),"",VLOOKUP(E14,技能表!$A:$B,2,FALSE))</f>
        <v/>
      </c>
      <c r="P14" t="str">
        <f>IF(ISNA(VLOOKUP(F14,技能表!$A:$B,2,FALSE)),"",VLOOKUP(F14,技能表!$A:$B,2,FALSE))</f>
        <v/>
      </c>
      <c r="Q14" t="str">
        <f>IF(ISNA(VLOOKUP(G14,技能表!$A:$B,2,FALSE)),"",VLOOKUP(G14,技能表!$A:$B,2,FALSE))</f>
        <v/>
      </c>
      <c r="R14" t="str">
        <f>IF(ISNA(VLOOKUP(H14,技能表!$A:$B,2,FALSE)),"",VLOOKUP(H14,技能表!$A:$B,2,FALSE))</f>
        <v/>
      </c>
      <c r="S14" t="str">
        <f>IF(ISNA(VLOOKUP(I14,技能表!$A:$B,2,FALSE)),"",VLOOKUP(I14,技能表!$A:$B,2,FALSE))</f>
        <v/>
      </c>
      <c r="T14" t="str">
        <f>IF(ISNA(VLOOKUP(J14,技能表!$A:$B,2,FALSE)),"",VLOOKUP(J14,技能表!$A:$B,2,FALSE))</f>
        <v/>
      </c>
      <c r="U14" t="str">
        <f>IF(ISNA(VLOOKUP(K14,技能表!$A:$B,2,FALSE)),"",VLOOKUP(K14,技能表!$A:$B,2,FALSE))</f>
        <v/>
      </c>
      <c r="V14" t="str">
        <f>IF(ISNA(VLOOKUP(L14,技能表!$A:$B,2,FALSE)),"",VLOOKUP(L14,技能表!$A:$B,2,FALSE))</f>
        <v/>
      </c>
      <c r="W14" t="str">
        <f>IF(ISNA(VLOOKUP(M14,技能表!$A:$B,2,FALSE)),"",VLOOKUP(M14,技能表!$A:$B,2,FALSE))</f>
        <v/>
      </c>
    </row>
    <row r="15" spans="1:23">
      <c r="B15" s="66"/>
      <c r="C15" s="64"/>
      <c r="N15" t="str">
        <f>IF(ISNA(VLOOKUP(D15,技能表!$A:$B,2,FALSE)),"",VLOOKUP(D15,技能表!$A:$B,2,FALSE))</f>
        <v/>
      </c>
      <c r="O15" t="str">
        <f>IF(ISNA(VLOOKUP(E15,技能表!$A:$B,2,FALSE)),"",VLOOKUP(E15,技能表!$A:$B,2,FALSE))</f>
        <v/>
      </c>
      <c r="P15" t="str">
        <f>IF(ISNA(VLOOKUP(F15,技能表!$A:$B,2,FALSE)),"",VLOOKUP(F15,技能表!$A:$B,2,FALSE))</f>
        <v/>
      </c>
      <c r="Q15" t="str">
        <f>IF(ISNA(VLOOKUP(G15,技能表!$A:$B,2,FALSE)),"",VLOOKUP(G15,技能表!$A:$B,2,FALSE))</f>
        <v/>
      </c>
      <c r="R15" t="str">
        <f>IF(ISNA(VLOOKUP(H15,技能表!$A:$B,2,FALSE)),"",VLOOKUP(H15,技能表!$A:$B,2,FALSE))</f>
        <v/>
      </c>
      <c r="S15" t="str">
        <f>IF(ISNA(VLOOKUP(I15,技能表!$A:$B,2,FALSE)),"",VLOOKUP(I15,技能表!$A:$B,2,FALSE))</f>
        <v/>
      </c>
      <c r="T15" t="str">
        <f>IF(ISNA(VLOOKUP(J15,技能表!$A:$B,2,FALSE)),"",VLOOKUP(J15,技能表!$A:$B,2,FALSE))</f>
        <v/>
      </c>
      <c r="U15" t="str">
        <f>IF(ISNA(VLOOKUP(K15,技能表!$A:$B,2,FALSE)),"",VLOOKUP(K15,技能表!$A:$B,2,FALSE))</f>
        <v/>
      </c>
      <c r="V15" t="str">
        <f>IF(ISNA(VLOOKUP(L15,技能表!$A:$B,2,FALSE)),"",VLOOKUP(L15,技能表!$A:$B,2,FALSE))</f>
        <v/>
      </c>
      <c r="W15" t="str">
        <f>IF(ISNA(VLOOKUP(M15,技能表!$A:$B,2,FALSE)),"",VLOOKUP(M15,技能表!$A:$B,2,FALSE))</f>
        <v/>
      </c>
    </row>
    <row r="16" spans="1:23">
      <c r="B16" s="66"/>
      <c r="C16" s="64"/>
      <c r="N16" t="str">
        <f>IF(ISNA(VLOOKUP(D16,技能表!$A:$B,2,FALSE)),"",VLOOKUP(D16,技能表!$A:$B,2,FALSE))</f>
        <v/>
      </c>
      <c r="O16" t="str">
        <f>IF(ISNA(VLOOKUP(E16,技能表!$A:$B,2,FALSE)),"",VLOOKUP(E16,技能表!$A:$B,2,FALSE))</f>
        <v/>
      </c>
      <c r="P16" t="str">
        <f>IF(ISNA(VLOOKUP(F16,技能表!$A:$B,2,FALSE)),"",VLOOKUP(F16,技能表!$A:$B,2,FALSE))</f>
        <v/>
      </c>
      <c r="Q16" t="str">
        <f>IF(ISNA(VLOOKUP(G16,技能表!$A:$B,2,FALSE)),"",VLOOKUP(G16,技能表!$A:$B,2,FALSE))</f>
        <v/>
      </c>
      <c r="R16" t="str">
        <f>IF(ISNA(VLOOKUP(H16,技能表!$A:$B,2,FALSE)),"",VLOOKUP(H16,技能表!$A:$B,2,FALSE))</f>
        <v/>
      </c>
      <c r="S16" t="str">
        <f>IF(ISNA(VLOOKUP(I16,技能表!$A:$B,2,FALSE)),"",VLOOKUP(I16,技能表!$A:$B,2,FALSE))</f>
        <v/>
      </c>
      <c r="T16" t="str">
        <f>IF(ISNA(VLOOKUP(J16,技能表!$A:$B,2,FALSE)),"",VLOOKUP(J16,技能表!$A:$B,2,FALSE))</f>
        <v/>
      </c>
      <c r="U16" t="str">
        <f>IF(ISNA(VLOOKUP(K16,技能表!$A:$B,2,FALSE)),"",VLOOKUP(K16,技能表!$A:$B,2,FALSE))</f>
        <v/>
      </c>
      <c r="V16" t="str">
        <f>IF(ISNA(VLOOKUP(L16,技能表!$A:$B,2,FALSE)),"",VLOOKUP(L16,技能表!$A:$B,2,FALSE))</f>
        <v/>
      </c>
      <c r="W16" t="str">
        <f>IF(ISNA(VLOOKUP(M16,技能表!$A:$B,2,FALSE)),"",VLOOKUP(M16,技能表!$A:$B,2,FALSE))</f>
        <v/>
      </c>
    </row>
    <row r="17" spans="1:23">
      <c r="B17" s="65"/>
      <c r="C17" s="64"/>
      <c r="N17" t="str">
        <f>IF(ISNA(VLOOKUP(D17,技能表!$A:$B,2,FALSE)),"",VLOOKUP(D17,技能表!$A:$B,2,FALSE))</f>
        <v/>
      </c>
      <c r="O17" t="str">
        <f>IF(ISNA(VLOOKUP(E17,技能表!$A:$B,2,FALSE)),"",VLOOKUP(E17,技能表!$A:$B,2,FALSE))</f>
        <v/>
      </c>
      <c r="P17" t="str">
        <f>IF(ISNA(VLOOKUP(F17,技能表!$A:$B,2,FALSE)),"",VLOOKUP(F17,技能表!$A:$B,2,FALSE))</f>
        <v/>
      </c>
      <c r="Q17" t="str">
        <f>IF(ISNA(VLOOKUP(G17,技能表!$A:$B,2,FALSE)),"",VLOOKUP(G17,技能表!$A:$B,2,FALSE))</f>
        <v/>
      </c>
      <c r="R17" t="str">
        <f>IF(ISNA(VLOOKUP(H17,技能表!$A:$B,2,FALSE)),"",VLOOKUP(H17,技能表!$A:$B,2,FALSE))</f>
        <v/>
      </c>
      <c r="S17" t="str">
        <f>IF(ISNA(VLOOKUP(I17,技能表!$A:$B,2,FALSE)),"",VLOOKUP(I17,技能表!$A:$B,2,FALSE))</f>
        <v/>
      </c>
      <c r="T17" t="str">
        <f>IF(ISNA(VLOOKUP(J17,技能表!$A:$B,2,FALSE)),"",VLOOKUP(J17,技能表!$A:$B,2,FALSE))</f>
        <v/>
      </c>
      <c r="U17" t="str">
        <f>IF(ISNA(VLOOKUP(K17,技能表!$A:$B,2,FALSE)),"",VLOOKUP(K17,技能表!$A:$B,2,FALSE))</f>
        <v/>
      </c>
      <c r="V17" t="str">
        <f>IF(ISNA(VLOOKUP(L17,技能表!$A:$B,2,FALSE)),"",VLOOKUP(L17,技能表!$A:$B,2,FALSE))</f>
        <v/>
      </c>
      <c r="W17" t="str">
        <f>IF(ISNA(VLOOKUP(M17,技能表!$A:$B,2,FALSE)),"",VLOOKUP(M17,技能表!$A:$B,2,FALSE))</f>
        <v/>
      </c>
    </row>
    <row r="18" spans="1:23">
      <c r="B18" s="66"/>
      <c r="C18" s="64"/>
      <c r="N18" t="str">
        <f>IF(ISNA(VLOOKUP(D18,技能表!$A:$B,2,FALSE)),"",VLOOKUP(D18,技能表!$A:$B,2,FALSE))</f>
        <v/>
      </c>
      <c r="O18" t="str">
        <f>IF(ISNA(VLOOKUP(E18,技能表!$A:$B,2,FALSE)),"",VLOOKUP(E18,技能表!$A:$B,2,FALSE))</f>
        <v/>
      </c>
      <c r="P18" t="str">
        <f>IF(ISNA(VLOOKUP(F18,技能表!$A:$B,2,FALSE)),"",VLOOKUP(F18,技能表!$A:$B,2,FALSE))</f>
        <v/>
      </c>
      <c r="Q18" t="str">
        <f>IF(ISNA(VLOOKUP(G18,技能表!$A:$B,2,FALSE)),"",VLOOKUP(G18,技能表!$A:$B,2,FALSE))</f>
        <v/>
      </c>
      <c r="R18" t="str">
        <f>IF(ISNA(VLOOKUP(H18,技能表!$A:$B,2,FALSE)),"",VLOOKUP(H18,技能表!$A:$B,2,FALSE))</f>
        <v/>
      </c>
      <c r="S18" t="str">
        <f>IF(ISNA(VLOOKUP(I18,技能表!$A:$B,2,FALSE)),"",VLOOKUP(I18,技能表!$A:$B,2,FALSE))</f>
        <v/>
      </c>
      <c r="T18" t="str">
        <f>IF(ISNA(VLOOKUP(J18,技能表!$A:$B,2,FALSE)),"",VLOOKUP(J18,技能表!$A:$B,2,FALSE))</f>
        <v/>
      </c>
      <c r="U18" t="str">
        <f>IF(ISNA(VLOOKUP(K18,技能表!$A:$B,2,FALSE)),"",VLOOKUP(K18,技能表!$A:$B,2,FALSE))</f>
        <v/>
      </c>
      <c r="V18" t="str">
        <f>IF(ISNA(VLOOKUP(L18,技能表!$A:$B,2,FALSE)),"",VLOOKUP(L18,技能表!$A:$B,2,FALSE))</f>
        <v/>
      </c>
      <c r="W18" t="str">
        <f>IF(ISNA(VLOOKUP(M18,技能表!$A:$B,2,FALSE)),"",VLOOKUP(M18,技能表!$A:$B,2,FALSE))</f>
        <v/>
      </c>
    </row>
    <row r="19" spans="1:23">
      <c r="B19" s="66"/>
      <c r="C19" s="64"/>
      <c r="N19" t="str">
        <f>IF(ISNA(VLOOKUP(D19,技能表!$A:$B,2,FALSE)),"",VLOOKUP(D19,技能表!$A:$B,2,FALSE))</f>
        <v/>
      </c>
      <c r="O19" t="str">
        <f>IF(ISNA(VLOOKUP(E19,技能表!$A:$B,2,FALSE)),"",VLOOKUP(E19,技能表!$A:$B,2,FALSE))</f>
        <v/>
      </c>
      <c r="P19" t="str">
        <f>IF(ISNA(VLOOKUP(F19,技能表!$A:$B,2,FALSE)),"",VLOOKUP(F19,技能表!$A:$B,2,FALSE))</f>
        <v/>
      </c>
      <c r="Q19" t="str">
        <f>IF(ISNA(VLOOKUP(G19,技能表!$A:$B,2,FALSE)),"",VLOOKUP(G19,技能表!$A:$B,2,FALSE))</f>
        <v/>
      </c>
      <c r="R19" t="str">
        <f>IF(ISNA(VLOOKUP(H19,技能表!$A:$B,2,FALSE)),"",VLOOKUP(H19,技能表!$A:$B,2,FALSE))</f>
        <v/>
      </c>
      <c r="S19" t="str">
        <f>IF(ISNA(VLOOKUP(I19,技能表!$A:$B,2,FALSE)),"",VLOOKUP(I19,技能表!$A:$B,2,FALSE))</f>
        <v/>
      </c>
      <c r="T19" t="str">
        <f>IF(ISNA(VLOOKUP(J19,技能表!$A:$B,2,FALSE)),"",VLOOKUP(J19,技能表!$A:$B,2,FALSE))</f>
        <v/>
      </c>
      <c r="U19" t="str">
        <f>IF(ISNA(VLOOKUP(K19,技能表!$A:$B,2,FALSE)),"",VLOOKUP(K19,技能表!$A:$B,2,FALSE))</f>
        <v/>
      </c>
      <c r="V19" t="str">
        <f>IF(ISNA(VLOOKUP(L19,技能表!$A:$B,2,FALSE)),"",VLOOKUP(L19,技能表!$A:$B,2,FALSE))</f>
        <v/>
      </c>
      <c r="W19" t="str">
        <f>IF(ISNA(VLOOKUP(M19,技能表!$A:$B,2,FALSE)),"",VLOOKUP(M19,技能表!$A:$B,2,FALSE))</f>
        <v/>
      </c>
    </row>
    <row r="20" spans="1:23">
      <c r="B20" s="66"/>
      <c r="C20" s="64"/>
      <c r="N20" t="str">
        <f>IF(ISNA(VLOOKUP(D20,技能表!$A:$B,2,FALSE)),"",VLOOKUP(D20,技能表!$A:$B,2,FALSE))</f>
        <v/>
      </c>
      <c r="O20" t="str">
        <f>IF(ISNA(VLOOKUP(E20,技能表!$A:$B,2,FALSE)),"",VLOOKUP(E20,技能表!$A:$B,2,FALSE))</f>
        <v/>
      </c>
      <c r="P20" t="str">
        <f>IF(ISNA(VLOOKUP(F20,技能表!$A:$B,2,FALSE)),"",VLOOKUP(F20,技能表!$A:$B,2,FALSE))</f>
        <v/>
      </c>
      <c r="Q20" t="str">
        <f>IF(ISNA(VLOOKUP(G20,技能表!$A:$B,2,FALSE)),"",VLOOKUP(G20,技能表!$A:$B,2,FALSE))</f>
        <v/>
      </c>
      <c r="R20" t="str">
        <f>IF(ISNA(VLOOKUP(H20,技能表!$A:$B,2,FALSE)),"",VLOOKUP(H20,技能表!$A:$B,2,FALSE))</f>
        <v/>
      </c>
      <c r="S20" t="str">
        <f>IF(ISNA(VLOOKUP(I20,技能表!$A:$B,2,FALSE)),"",VLOOKUP(I20,技能表!$A:$B,2,FALSE))</f>
        <v/>
      </c>
      <c r="T20" t="str">
        <f>IF(ISNA(VLOOKUP(J20,技能表!$A:$B,2,FALSE)),"",VLOOKUP(J20,技能表!$A:$B,2,FALSE))</f>
        <v/>
      </c>
      <c r="U20" t="str">
        <f>IF(ISNA(VLOOKUP(K20,技能表!$A:$B,2,FALSE)),"",VLOOKUP(K20,技能表!$A:$B,2,FALSE))</f>
        <v/>
      </c>
      <c r="V20" t="str">
        <f>IF(ISNA(VLOOKUP(L20,技能表!$A:$B,2,FALSE)),"",VLOOKUP(L20,技能表!$A:$B,2,FALSE))</f>
        <v/>
      </c>
      <c r="W20" t="str">
        <f>IF(ISNA(VLOOKUP(M20,技能表!$A:$B,2,FALSE)),"",VLOOKUP(M20,技能表!$A:$B,2,FALSE))</f>
        <v/>
      </c>
    </row>
    <row r="21" spans="1:23">
      <c r="B21" s="66"/>
      <c r="C21" s="64"/>
      <c r="N21" t="str">
        <f>IF(ISNA(VLOOKUP(D21,技能表!$A:$B,2,FALSE)),"",VLOOKUP(D21,技能表!$A:$B,2,FALSE))</f>
        <v/>
      </c>
      <c r="O21" t="str">
        <f>IF(ISNA(VLOOKUP(E21,技能表!$A:$B,2,FALSE)),"",VLOOKUP(E21,技能表!$A:$B,2,FALSE))</f>
        <v/>
      </c>
      <c r="P21" t="str">
        <f>IF(ISNA(VLOOKUP(F21,技能表!$A:$B,2,FALSE)),"",VLOOKUP(F21,技能表!$A:$B,2,FALSE))</f>
        <v/>
      </c>
      <c r="Q21" t="str">
        <f>IF(ISNA(VLOOKUP(G21,技能表!$A:$B,2,FALSE)),"",VLOOKUP(G21,技能表!$A:$B,2,FALSE))</f>
        <v/>
      </c>
      <c r="R21" t="str">
        <f>IF(ISNA(VLOOKUP(H21,技能表!$A:$B,2,FALSE)),"",VLOOKUP(H21,技能表!$A:$B,2,FALSE))</f>
        <v/>
      </c>
      <c r="S21" t="str">
        <f>IF(ISNA(VLOOKUP(I21,技能表!$A:$B,2,FALSE)),"",VLOOKUP(I21,技能表!$A:$B,2,FALSE))</f>
        <v/>
      </c>
      <c r="T21" t="str">
        <f>IF(ISNA(VLOOKUP(J21,技能表!$A:$B,2,FALSE)),"",VLOOKUP(J21,技能表!$A:$B,2,FALSE))</f>
        <v/>
      </c>
      <c r="U21" t="str">
        <f>IF(ISNA(VLOOKUP(K21,技能表!$A:$B,2,FALSE)),"",VLOOKUP(K21,技能表!$A:$B,2,FALSE))</f>
        <v/>
      </c>
      <c r="V21" t="str">
        <f>IF(ISNA(VLOOKUP(L21,技能表!$A:$B,2,FALSE)),"",VLOOKUP(L21,技能表!$A:$B,2,FALSE))</f>
        <v/>
      </c>
      <c r="W21" t="str">
        <f>IF(ISNA(VLOOKUP(M21,技能表!$A:$B,2,FALSE)),"",VLOOKUP(M21,技能表!$A:$B,2,FALSE))</f>
        <v/>
      </c>
    </row>
    <row r="22" spans="1:23">
      <c r="B22" s="66"/>
      <c r="C22" s="64"/>
      <c r="N22" t="str">
        <f>IF(ISNA(VLOOKUP(D22,技能表!$A:$B,2,FALSE)),"",VLOOKUP(D22,技能表!$A:$B,2,FALSE))</f>
        <v/>
      </c>
      <c r="O22" t="str">
        <f>IF(ISNA(VLOOKUP(E22,技能表!$A:$B,2,FALSE)),"",VLOOKUP(E22,技能表!$A:$B,2,FALSE))</f>
        <v/>
      </c>
      <c r="P22" t="str">
        <f>IF(ISNA(VLOOKUP(F22,技能表!$A:$B,2,FALSE)),"",VLOOKUP(F22,技能表!$A:$B,2,FALSE))</f>
        <v/>
      </c>
      <c r="Q22" t="str">
        <f>IF(ISNA(VLOOKUP(G22,技能表!$A:$B,2,FALSE)),"",VLOOKUP(G22,技能表!$A:$B,2,FALSE))</f>
        <v/>
      </c>
      <c r="R22" t="str">
        <f>IF(ISNA(VLOOKUP(H22,技能表!$A:$B,2,FALSE)),"",VLOOKUP(H22,技能表!$A:$B,2,FALSE))</f>
        <v/>
      </c>
      <c r="S22" t="str">
        <f>IF(ISNA(VLOOKUP(I22,技能表!$A:$B,2,FALSE)),"",VLOOKUP(I22,技能表!$A:$B,2,FALSE))</f>
        <v/>
      </c>
      <c r="T22" t="str">
        <f>IF(ISNA(VLOOKUP(J22,技能表!$A:$B,2,FALSE)),"",VLOOKUP(J22,技能表!$A:$B,2,FALSE))</f>
        <v/>
      </c>
      <c r="U22" t="str">
        <f>IF(ISNA(VLOOKUP(K22,技能表!$A:$B,2,FALSE)),"",VLOOKUP(K22,技能表!$A:$B,2,FALSE))</f>
        <v/>
      </c>
      <c r="V22" t="str">
        <f>IF(ISNA(VLOOKUP(L22,技能表!$A:$B,2,FALSE)),"",VLOOKUP(L22,技能表!$A:$B,2,FALSE))</f>
        <v/>
      </c>
      <c r="W22" t="str">
        <f>IF(ISNA(VLOOKUP(M22,技能表!$A:$B,2,FALSE)),"",VLOOKUP(M22,技能表!$A:$B,2,FALSE))</f>
        <v/>
      </c>
    </row>
    <row r="23" spans="1:23">
      <c r="B23" s="66"/>
      <c r="C23" s="64"/>
      <c r="N23" t="str">
        <f>IF(ISNA(VLOOKUP(D23,技能表!$A:$B,2,FALSE)),"",VLOOKUP(D23,技能表!$A:$B,2,FALSE))</f>
        <v/>
      </c>
      <c r="O23" t="str">
        <f>IF(ISNA(VLOOKUP(E23,技能表!$A:$B,2,FALSE)),"",VLOOKUP(E23,技能表!$A:$B,2,FALSE))</f>
        <v/>
      </c>
      <c r="P23" t="str">
        <f>IF(ISNA(VLOOKUP(F23,技能表!$A:$B,2,FALSE)),"",VLOOKUP(F23,技能表!$A:$B,2,FALSE))</f>
        <v/>
      </c>
      <c r="Q23" t="str">
        <f>IF(ISNA(VLOOKUP(G23,技能表!$A:$B,2,FALSE)),"",VLOOKUP(G23,技能表!$A:$B,2,FALSE))</f>
        <v/>
      </c>
      <c r="R23" t="str">
        <f>IF(ISNA(VLOOKUP(H23,技能表!$A:$B,2,FALSE)),"",VLOOKUP(H23,技能表!$A:$B,2,FALSE))</f>
        <v/>
      </c>
      <c r="S23" t="str">
        <f>IF(ISNA(VLOOKUP(I23,技能表!$A:$B,2,FALSE)),"",VLOOKUP(I23,技能表!$A:$B,2,FALSE))</f>
        <v/>
      </c>
      <c r="T23" t="str">
        <f>IF(ISNA(VLOOKUP(J23,技能表!$A:$B,2,FALSE)),"",VLOOKUP(J23,技能表!$A:$B,2,FALSE))</f>
        <v/>
      </c>
      <c r="U23" t="str">
        <f>IF(ISNA(VLOOKUP(K23,技能表!$A:$B,2,FALSE)),"",VLOOKUP(K23,技能表!$A:$B,2,FALSE))</f>
        <v/>
      </c>
      <c r="V23" t="str">
        <f>IF(ISNA(VLOOKUP(L23,技能表!$A:$B,2,FALSE)),"",VLOOKUP(L23,技能表!$A:$B,2,FALSE))</f>
        <v/>
      </c>
      <c r="W23" t="str">
        <f>IF(ISNA(VLOOKUP(M23,技能表!$A:$B,2,FALSE)),"",VLOOKUP(M23,技能表!$A:$B,2,FALSE))</f>
        <v/>
      </c>
    </row>
    <row r="24" spans="1:23">
      <c r="B24" s="66"/>
      <c r="C24" s="64"/>
      <c r="N24" t="str">
        <f>IF(ISNA(VLOOKUP(D24,技能表!$A:$B,2,FALSE)),"",VLOOKUP(D24,技能表!$A:$B,2,FALSE))</f>
        <v/>
      </c>
      <c r="O24" t="str">
        <f>IF(ISNA(VLOOKUP(E24,技能表!$A:$B,2,FALSE)),"",VLOOKUP(E24,技能表!$A:$B,2,FALSE))</f>
        <v/>
      </c>
      <c r="P24" t="str">
        <f>IF(ISNA(VLOOKUP(F24,技能表!$A:$B,2,FALSE)),"",VLOOKUP(F24,技能表!$A:$B,2,FALSE))</f>
        <v/>
      </c>
      <c r="Q24" t="str">
        <f>IF(ISNA(VLOOKUP(G24,技能表!$A:$B,2,FALSE)),"",VLOOKUP(G24,技能表!$A:$B,2,FALSE))</f>
        <v/>
      </c>
      <c r="R24" t="str">
        <f>IF(ISNA(VLOOKUP(H24,技能表!$A:$B,2,FALSE)),"",VLOOKUP(H24,技能表!$A:$B,2,FALSE))</f>
        <v/>
      </c>
      <c r="S24" t="str">
        <f>IF(ISNA(VLOOKUP(I24,技能表!$A:$B,2,FALSE)),"",VLOOKUP(I24,技能表!$A:$B,2,FALSE))</f>
        <v/>
      </c>
      <c r="T24" t="str">
        <f>IF(ISNA(VLOOKUP(J24,技能表!$A:$B,2,FALSE)),"",VLOOKUP(J24,技能表!$A:$B,2,FALSE))</f>
        <v/>
      </c>
      <c r="U24" t="str">
        <f>IF(ISNA(VLOOKUP(K24,技能表!$A:$B,2,FALSE)),"",VLOOKUP(K24,技能表!$A:$B,2,FALSE))</f>
        <v/>
      </c>
      <c r="V24" t="str">
        <f>IF(ISNA(VLOOKUP(L24,技能表!$A:$B,2,FALSE)),"",VLOOKUP(L24,技能表!$A:$B,2,FALSE))</f>
        <v/>
      </c>
      <c r="W24" t="str">
        <f>IF(ISNA(VLOOKUP(M24,技能表!$A:$B,2,FALSE)),"",VLOOKUP(M24,技能表!$A:$B,2,FALSE))</f>
        <v/>
      </c>
    </row>
    <row r="25" spans="1:23">
      <c r="B25" s="66"/>
      <c r="C25" s="64"/>
      <c r="N25" t="str">
        <f>IF(ISNA(VLOOKUP(D25,技能表!$A:$B,2,FALSE)),"",VLOOKUP(D25,技能表!$A:$B,2,FALSE))</f>
        <v/>
      </c>
      <c r="O25" t="str">
        <f>IF(ISNA(VLOOKUP(E25,技能表!$A:$B,2,FALSE)),"",VLOOKUP(E25,技能表!$A:$B,2,FALSE))</f>
        <v/>
      </c>
      <c r="P25" t="str">
        <f>IF(ISNA(VLOOKUP(F25,技能表!$A:$B,2,FALSE)),"",VLOOKUP(F25,技能表!$A:$B,2,FALSE))</f>
        <v/>
      </c>
      <c r="Q25" t="str">
        <f>IF(ISNA(VLOOKUP(G25,技能表!$A:$B,2,FALSE)),"",VLOOKUP(G25,技能表!$A:$B,2,FALSE))</f>
        <v/>
      </c>
      <c r="R25" t="str">
        <f>IF(ISNA(VLOOKUP(H25,技能表!$A:$B,2,FALSE)),"",VLOOKUP(H25,技能表!$A:$B,2,FALSE))</f>
        <v/>
      </c>
      <c r="S25" t="str">
        <f>IF(ISNA(VLOOKUP(I25,技能表!$A:$B,2,FALSE)),"",VLOOKUP(I25,技能表!$A:$B,2,FALSE))</f>
        <v/>
      </c>
      <c r="T25" t="str">
        <f>IF(ISNA(VLOOKUP(J25,技能表!$A:$B,2,FALSE)),"",VLOOKUP(J25,技能表!$A:$B,2,FALSE))</f>
        <v/>
      </c>
      <c r="U25" t="str">
        <f>IF(ISNA(VLOOKUP(K25,技能表!$A:$B,2,FALSE)),"",VLOOKUP(K25,技能表!$A:$B,2,FALSE))</f>
        <v/>
      </c>
      <c r="V25" t="str">
        <f>IF(ISNA(VLOOKUP(L25,技能表!$A:$B,2,FALSE)),"",VLOOKUP(L25,技能表!$A:$B,2,FALSE))</f>
        <v/>
      </c>
      <c r="W25" t="str">
        <f>IF(ISNA(VLOOKUP(M25,技能表!$A:$B,2,FALSE)),"",VLOOKUP(M25,技能表!$A:$B,2,FALSE))</f>
        <v/>
      </c>
    </row>
    <row r="26" spans="1:23">
      <c r="B26" s="66"/>
      <c r="C26" s="64"/>
      <c r="N26" t="str">
        <f>IF(ISNA(VLOOKUP(D26,技能表!$A:$B,2,FALSE)),"",VLOOKUP(D26,技能表!$A:$B,2,FALSE))</f>
        <v/>
      </c>
      <c r="O26" t="str">
        <f>IF(ISNA(VLOOKUP(E26,技能表!$A:$B,2,FALSE)),"",VLOOKUP(E26,技能表!$A:$B,2,FALSE))</f>
        <v/>
      </c>
      <c r="P26" t="str">
        <f>IF(ISNA(VLOOKUP(F26,技能表!$A:$B,2,FALSE)),"",VLOOKUP(F26,技能表!$A:$B,2,FALSE))</f>
        <v/>
      </c>
      <c r="Q26" t="str">
        <f>IF(ISNA(VLOOKUP(G26,技能表!$A:$B,2,FALSE)),"",VLOOKUP(G26,技能表!$A:$B,2,FALSE))</f>
        <v/>
      </c>
      <c r="R26" t="str">
        <f>IF(ISNA(VLOOKUP(H26,技能表!$A:$B,2,FALSE)),"",VLOOKUP(H26,技能表!$A:$B,2,FALSE))</f>
        <v/>
      </c>
      <c r="S26" t="str">
        <f>IF(ISNA(VLOOKUP(I26,技能表!$A:$B,2,FALSE)),"",VLOOKUP(I26,技能表!$A:$B,2,FALSE))</f>
        <v/>
      </c>
      <c r="T26" t="str">
        <f>IF(ISNA(VLOOKUP(J26,技能表!$A:$B,2,FALSE)),"",VLOOKUP(J26,技能表!$A:$B,2,FALSE))</f>
        <v/>
      </c>
      <c r="U26" t="str">
        <f>IF(ISNA(VLOOKUP(K26,技能表!$A:$B,2,FALSE)),"",VLOOKUP(K26,技能表!$A:$B,2,FALSE))</f>
        <v/>
      </c>
      <c r="V26" t="str">
        <f>IF(ISNA(VLOOKUP(L26,技能表!$A:$B,2,FALSE)),"",VLOOKUP(L26,技能表!$A:$B,2,FALSE))</f>
        <v/>
      </c>
      <c r="W26" t="str">
        <f>IF(ISNA(VLOOKUP(M26,技能表!$A:$B,2,FALSE)),"",VLOOKUP(M26,技能表!$A:$B,2,FALSE))</f>
        <v/>
      </c>
    </row>
    <row r="27" spans="1:23">
      <c r="B27" s="66"/>
      <c r="C27" s="64"/>
      <c r="N27" t="str">
        <f>IF(ISNA(VLOOKUP(D27,技能表!$A:$B,2,FALSE)),"",VLOOKUP(D27,技能表!$A:$B,2,FALSE))</f>
        <v/>
      </c>
      <c r="O27" t="str">
        <f>IF(ISNA(VLOOKUP(E27,技能表!$A:$B,2,FALSE)),"",VLOOKUP(E27,技能表!$A:$B,2,FALSE))</f>
        <v/>
      </c>
      <c r="P27" t="str">
        <f>IF(ISNA(VLOOKUP(F27,技能表!$A:$B,2,FALSE)),"",VLOOKUP(F27,技能表!$A:$B,2,FALSE))</f>
        <v/>
      </c>
      <c r="Q27" t="str">
        <f>IF(ISNA(VLOOKUP(G27,技能表!$A:$B,2,FALSE)),"",VLOOKUP(G27,技能表!$A:$B,2,FALSE))</f>
        <v/>
      </c>
      <c r="R27" t="str">
        <f>IF(ISNA(VLOOKUP(H27,技能表!$A:$B,2,FALSE)),"",VLOOKUP(H27,技能表!$A:$B,2,FALSE))</f>
        <v/>
      </c>
      <c r="S27" t="str">
        <f>IF(ISNA(VLOOKUP(I27,技能表!$A:$B,2,FALSE)),"",VLOOKUP(I27,技能表!$A:$B,2,FALSE))</f>
        <v/>
      </c>
      <c r="T27" t="str">
        <f>IF(ISNA(VLOOKUP(J27,技能表!$A:$B,2,FALSE)),"",VLOOKUP(J27,技能表!$A:$B,2,FALSE))</f>
        <v/>
      </c>
      <c r="U27" t="str">
        <f>IF(ISNA(VLOOKUP(K27,技能表!$A:$B,2,FALSE)),"",VLOOKUP(K27,技能表!$A:$B,2,FALSE))</f>
        <v/>
      </c>
      <c r="V27" t="str">
        <f>IF(ISNA(VLOOKUP(L27,技能表!$A:$B,2,FALSE)),"",VLOOKUP(L27,技能表!$A:$B,2,FALSE))</f>
        <v/>
      </c>
      <c r="W27" t="str">
        <f>IF(ISNA(VLOOKUP(M27,技能表!$A:$B,2,FALSE)),"",VLOOKUP(M27,技能表!$A:$B,2,FALSE))</f>
        <v/>
      </c>
    </row>
    <row r="28" spans="1:23">
      <c r="B28" s="66"/>
      <c r="C28" s="64"/>
      <c r="N28" t="str">
        <f>IF(ISNA(VLOOKUP(D28,技能表!$A:$B,2,FALSE)),"",VLOOKUP(D28,技能表!$A:$B,2,FALSE))</f>
        <v/>
      </c>
      <c r="O28" t="str">
        <f>IF(ISNA(VLOOKUP(E28,技能表!$A:$B,2,FALSE)),"",VLOOKUP(E28,技能表!$A:$B,2,FALSE))</f>
        <v/>
      </c>
      <c r="P28" t="str">
        <f>IF(ISNA(VLOOKUP(F28,技能表!$A:$B,2,FALSE)),"",VLOOKUP(F28,技能表!$A:$B,2,FALSE))</f>
        <v/>
      </c>
      <c r="Q28" t="str">
        <f>IF(ISNA(VLOOKUP(G28,技能表!$A:$B,2,FALSE)),"",VLOOKUP(G28,技能表!$A:$B,2,FALSE))</f>
        <v/>
      </c>
      <c r="R28" t="str">
        <f>IF(ISNA(VLOOKUP(H28,技能表!$A:$B,2,FALSE)),"",VLOOKUP(H28,技能表!$A:$B,2,FALSE))</f>
        <v/>
      </c>
      <c r="S28" t="str">
        <f>IF(ISNA(VLOOKUP(I28,技能表!$A:$B,2,FALSE)),"",VLOOKUP(I28,技能表!$A:$B,2,FALSE))</f>
        <v/>
      </c>
      <c r="T28" t="str">
        <f>IF(ISNA(VLOOKUP(J28,技能表!$A:$B,2,FALSE)),"",VLOOKUP(J28,技能表!$A:$B,2,FALSE))</f>
        <v/>
      </c>
      <c r="U28" t="str">
        <f>IF(ISNA(VLOOKUP(K28,技能表!$A:$B,2,FALSE)),"",VLOOKUP(K28,技能表!$A:$B,2,FALSE))</f>
        <v/>
      </c>
      <c r="V28" t="str">
        <f>IF(ISNA(VLOOKUP(L28,技能表!$A:$B,2,FALSE)),"",VLOOKUP(L28,技能表!$A:$B,2,FALSE))</f>
        <v/>
      </c>
      <c r="W28" t="str">
        <f>IF(ISNA(VLOOKUP(M28,技能表!$A:$B,2,FALSE)),"",VLOOKUP(M28,技能表!$A:$B,2,FALSE))</f>
        <v/>
      </c>
    </row>
    <row r="29" spans="1:23">
      <c r="B29" s="65"/>
      <c r="C29" s="64"/>
      <c r="N29" t="str">
        <f>IF(ISNA(VLOOKUP(D29,技能表!$A:$B,2,FALSE)),"",VLOOKUP(D29,技能表!$A:$B,2,FALSE))</f>
        <v/>
      </c>
      <c r="O29" t="str">
        <f>IF(ISNA(VLOOKUP(E29,技能表!$A:$B,2,FALSE)),"",VLOOKUP(E29,技能表!$A:$B,2,FALSE))</f>
        <v/>
      </c>
      <c r="P29" t="str">
        <f>IF(ISNA(VLOOKUP(F29,技能表!$A:$B,2,FALSE)),"",VLOOKUP(F29,技能表!$A:$B,2,FALSE))</f>
        <v/>
      </c>
      <c r="Q29" t="str">
        <f>IF(ISNA(VLOOKUP(G29,技能表!$A:$B,2,FALSE)),"",VLOOKUP(G29,技能表!$A:$B,2,FALSE))</f>
        <v/>
      </c>
      <c r="R29" t="str">
        <f>IF(ISNA(VLOOKUP(H29,技能表!$A:$B,2,FALSE)),"",VLOOKUP(H29,技能表!$A:$B,2,FALSE))</f>
        <v/>
      </c>
      <c r="S29" t="str">
        <f>IF(ISNA(VLOOKUP(I29,技能表!$A:$B,2,FALSE)),"",VLOOKUP(I29,技能表!$A:$B,2,FALSE))</f>
        <v/>
      </c>
      <c r="T29" t="str">
        <f>IF(ISNA(VLOOKUP(J29,技能表!$A:$B,2,FALSE)),"",VLOOKUP(J29,技能表!$A:$B,2,FALSE))</f>
        <v/>
      </c>
      <c r="U29" t="str">
        <f>IF(ISNA(VLOOKUP(K29,技能表!$A:$B,2,FALSE)),"",VLOOKUP(K29,技能表!$A:$B,2,FALSE))</f>
        <v/>
      </c>
      <c r="V29" t="str">
        <f>IF(ISNA(VLOOKUP(L29,技能表!$A:$B,2,FALSE)),"",VLOOKUP(L29,技能表!$A:$B,2,FALSE))</f>
        <v/>
      </c>
      <c r="W29" t="str">
        <f>IF(ISNA(VLOOKUP(M29,技能表!$A:$B,2,FALSE)),"",VLOOKUP(M29,技能表!$A:$B,2,FALSE))</f>
        <v/>
      </c>
    </row>
    <row r="30" spans="1:23">
      <c r="B30" s="65"/>
      <c r="C30" s="64"/>
      <c r="N30" t="str">
        <f>IF(ISNA(VLOOKUP(D30,技能表!$A:$B,2,FALSE)),"",VLOOKUP(D30,技能表!$A:$B,2,FALSE))</f>
        <v/>
      </c>
      <c r="O30" t="str">
        <f>IF(ISNA(VLOOKUP(E30,技能表!$A:$B,2,FALSE)),"",VLOOKUP(E30,技能表!$A:$B,2,FALSE))</f>
        <v/>
      </c>
      <c r="P30" t="str">
        <f>IF(ISNA(VLOOKUP(F30,技能表!$A:$B,2,FALSE)),"",VLOOKUP(F30,技能表!$A:$B,2,FALSE))</f>
        <v/>
      </c>
      <c r="Q30" t="str">
        <f>IF(ISNA(VLOOKUP(G30,技能表!$A:$B,2,FALSE)),"",VLOOKUP(G30,技能表!$A:$B,2,FALSE))</f>
        <v/>
      </c>
      <c r="R30" t="str">
        <f>IF(ISNA(VLOOKUP(H30,技能表!$A:$B,2,FALSE)),"",VLOOKUP(H30,技能表!$A:$B,2,FALSE))</f>
        <v/>
      </c>
      <c r="S30" t="str">
        <f>IF(ISNA(VLOOKUP(I30,技能表!$A:$B,2,FALSE)),"",VLOOKUP(I30,技能表!$A:$B,2,FALSE))</f>
        <v/>
      </c>
      <c r="T30" t="str">
        <f>IF(ISNA(VLOOKUP(J30,技能表!$A:$B,2,FALSE)),"",VLOOKUP(J30,技能表!$A:$B,2,FALSE))</f>
        <v/>
      </c>
      <c r="U30" t="str">
        <f>IF(ISNA(VLOOKUP(K30,技能表!$A:$B,2,FALSE)),"",VLOOKUP(K30,技能表!$A:$B,2,FALSE))</f>
        <v/>
      </c>
      <c r="V30" t="str">
        <f>IF(ISNA(VLOOKUP(L30,技能表!$A:$B,2,FALSE)),"",VLOOKUP(L30,技能表!$A:$B,2,FALSE))</f>
        <v/>
      </c>
      <c r="W30" t="str">
        <f>IF(ISNA(VLOOKUP(M30,技能表!$A:$B,2,FALSE)),"",VLOOKUP(M30,技能表!$A:$B,2,FALSE))</f>
        <v/>
      </c>
    </row>
    <row r="31" spans="1:23">
      <c r="A31" t="s">
        <v>3463</v>
      </c>
      <c r="B31" s="66" t="s">
        <v>2431</v>
      </c>
      <c r="C31" s="64" t="s">
        <v>2409</v>
      </c>
      <c r="D31">
        <v>805</v>
      </c>
      <c r="E31">
        <v>883</v>
      </c>
      <c r="F31">
        <v>872</v>
      </c>
      <c r="G31">
        <v>1208</v>
      </c>
      <c r="H31">
        <v>843</v>
      </c>
      <c r="I31">
        <v>943</v>
      </c>
      <c r="N31" t="str">
        <f>IF(ISNA(VLOOKUP(D31,技能表!$A:$B,2,FALSE)),"",VLOOKUP(D31,技能表!$A:$B,2,FALSE))</f>
        <v>30%除火抗性</v>
      </c>
      <c r="O31" t="str">
        <f>IF(ISNA(VLOOKUP(E31,技能表!$A:$B,2,FALSE)),"",VLOOKUP(E31,技能表!$A:$B,2,FALSE))</f>
        <v>流血抗性90%</v>
      </c>
      <c r="P31" t="str">
        <f>IF(ISNA(VLOOKUP(F31,技能表!$A:$B,2,FALSE)),"",VLOOKUP(F31,技能表!$A:$B,2,FALSE))</f>
        <v>抓取抗性100%</v>
      </c>
      <c r="Q31" t="str">
        <f>IF(ISNA(VLOOKUP(G31,技能表!$A:$B,2,FALSE)),"",VLOOKUP(G31,技能表!$A:$B,2,FALSE))</f>
        <v>獅鷲王被動觸發反擊</v>
      </c>
      <c r="R31" t="str">
        <f>IF(ISNA(VLOOKUP(H31,技能表!$A:$B,2,FALSE)),"",VLOOKUP(H31,技能表!$A:$B,2,FALSE))</f>
        <v>負面時間減免50%</v>
      </c>
      <c r="S31" t="str">
        <f>IF(ISNA(VLOOKUP(I31,技能表!$A:$B,2,FALSE)),"",VLOOKUP(I31,技能表!$A:$B,2,FALSE))</f>
        <v>無法回血</v>
      </c>
      <c r="T31" t="str">
        <f>IF(ISNA(VLOOKUP(J31,技能表!$A:$B,2,FALSE)),"",VLOOKUP(J31,技能表!$A:$B,2,FALSE))</f>
        <v/>
      </c>
      <c r="U31" t="str">
        <f>IF(ISNA(VLOOKUP(K31,技能表!$A:$B,2,FALSE)),"",VLOOKUP(K31,技能表!$A:$B,2,FALSE))</f>
        <v/>
      </c>
      <c r="V31" t="str">
        <f>IF(ISNA(VLOOKUP(L31,技能表!$A:$B,2,FALSE)),"",VLOOKUP(L31,技能表!$A:$B,2,FALSE))</f>
        <v/>
      </c>
      <c r="W31" t="str">
        <f>IF(ISNA(VLOOKUP(M31,技能表!$A:$B,2,FALSE)),"",VLOOKUP(M31,技能表!$A:$B,2,FALSE))</f>
        <v/>
      </c>
    </row>
    <row r="32" spans="1:23">
      <c r="A32" t="s">
        <v>3464</v>
      </c>
      <c r="B32" s="66" t="s">
        <v>2432</v>
      </c>
      <c r="C32" s="64" t="s">
        <v>2410</v>
      </c>
      <c r="D32">
        <v>804</v>
      </c>
      <c r="E32">
        <v>891</v>
      </c>
      <c r="F32">
        <v>883</v>
      </c>
      <c r="G32">
        <v>872</v>
      </c>
      <c r="H32">
        <v>843</v>
      </c>
      <c r="I32">
        <v>943</v>
      </c>
      <c r="N32" t="str">
        <f>IF(ISNA(VLOOKUP(D32,技能表!$A:$B,2,FALSE)),"",VLOOKUP(D32,技能表!$A:$B,2,FALSE))</f>
        <v>30%除暗抗性</v>
      </c>
      <c r="O32" t="str">
        <f>IF(ISNA(VLOOKUP(E32,技能表!$A:$B,2,FALSE)),"",VLOOKUP(E32,技能表!$A:$B,2,FALSE))</f>
        <v>被打有30%機率往後跑</v>
      </c>
      <c r="P32" t="str">
        <f>IF(ISNA(VLOOKUP(F32,技能表!$A:$B,2,FALSE)),"",VLOOKUP(F32,技能表!$A:$B,2,FALSE))</f>
        <v>流血抗性90%</v>
      </c>
      <c r="Q32" t="str">
        <f>IF(ISNA(VLOOKUP(G32,技能表!$A:$B,2,FALSE)),"",VLOOKUP(G32,技能表!$A:$B,2,FALSE))</f>
        <v>抓取抗性100%</v>
      </c>
      <c r="R32" t="str">
        <f>IF(ISNA(VLOOKUP(H32,技能表!$A:$B,2,FALSE)),"",VLOOKUP(H32,技能表!$A:$B,2,FALSE))</f>
        <v>負面時間減免50%</v>
      </c>
      <c r="S32" t="str">
        <f>IF(ISNA(VLOOKUP(I32,技能表!$A:$B,2,FALSE)),"",VLOOKUP(I32,技能表!$A:$B,2,FALSE))</f>
        <v>無法回血</v>
      </c>
      <c r="T32" t="str">
        <f>IF(ISNA(VLOOKUP(J32,技能表!$A:$B,2,FALSE)),"",VLOOKUP(J32,技能表!$A:$B,2,FALSE))</f>
        <v/>
      </c>
      <c r="U32" t="str">
        <f>IF(ISNA(VLOOKUP(K32,技能表!$A:$B,2,FALSE)),"",VLOOKUP(K32,技能表!$A:$B,2,FALSE))</f>
        <v/>
      </c>
      <c r="V32" t="str">
        <f>IF(ISNA(VLOOKUP(L32,技能表!$A:$B,2,FALSE)),"",VLOOKUP(L32,技能表!$A:$B,2,FALSE))</f>
        <v/>
      </c>
      <c r="W32" t="str">
        <f>IF(ISNA(VLOOKUP(M32,技能表!$A:$B,2,FALSE)),"",VLOOKUP(M32,技能表!$A:$B,2,FALSE))</f>
        <v/>
      </c>
    </row>
    <row r="33" spans="1:23">
      <c r="A33" t="s">
        <v>3465</v>
      </c>
      <c r="B33" s="66" t="s">
        <v>2433</v>
      </c>
      <c r="C33" s="64" t="s">
        <v>2411</v>
      </c>
      <c r="D33">
        <v>802</v>
      </c>
      <c r="E33">
        <v>891</v>
      </c>
      <c r="F33">
        <v>883</v>
      </c>
      <c r="G33">
        <v>872</v>
      </c>
      <c r="H33">
        <v>843</v>
      </c>
      <c r="I33">
        <v>943</v>
      </c>
      <c r="N33" t="str">
        <f>IF(ISNA(VLOOKUP(D33,技能表!$A:$B,2,FALSE)),"",VLOOKUP(D33,技能表!$A:$B,2,FALSE))</f>
        <v>30%除水抗性</v>
      </c>
      <c r="O33" t="str">
        <f>IF(ISNA(VLOOKUP(E33,技能表!$A:$B,2,FALSE)),"",VLOOKUP(E33,技能表!$A:$B,2,FALSE))</f>
        <v>被打有30%機率往後跑</v>
      </c>
      <c r="P33" t="str">
        <f>IF(ISNA(VLOOKUP(F33,技能表!$A:$B,2,FALSE)),"",VLOOKUP(F33,技能表!$A:$B,2,FALSE))</f>
        <v>流血抗性90%</v>
      </c>
      <c r="Q33" t="str">
        <f>IF(ISNA(VLOOKUP(G33,技能表!$A:$B,2,FALSE)),"",VLOOKUP(G33,技能表!$A:$B,2,FALSE))</f>
        <v>抓取抗性100%</v>
      </c>
      <c r="R33" t="str">
        <f>IF(ISNA(VLOOKUP(H33,技能表!$A:$B,2,FALSE)),"",VLOOKUP(H33,技能表!$A:$B,2,FALSE))</f>
        <v>負面時間減免50%</v>
      </c>
      <c r="S33" t="str">
        <f>IF(ISNA(VLOOKUP(I33,技能表!$A:$B,2,FALSE)),"",VLOOKUP(I33,技能表!$A:$B,2,FALSE))</f>
        <v>無法回血</v>
      </c>
      <c r="T33" t="str">
        <f>IF(ISNA(VLOOKUP(J33,技能表!$A:$B,2,FALSE)),"",VLOOKUP(J33,技能表!$A:$B,2,FALSE))</f>
        <v/>
      </c>
      <c r="U33" t="str">
        <f>IF(ISNA(VLOOKUP(K33,技能表!$A:$B,2,FALSE)),"",VLOOKUP(K33,技能表!$A:$B,2,FALSE))</f>
        <v/>
      </c>
      <c r="V33" t="str">
        <f>IF(ISNA(VLOOKUP(L33,技能表!$A:$B,2,FALSE)),"",VLOOKUP(L33,技能表!$A:$B,2,FALSE))</f>
        <v/>
      </c>
      <c r="W33" t="str">
        <f>IF(ISNA(VLOOKUP(M33,技能表!$A:$B,2,FALSE)),"",VLOOKUP(M33,技能表!$A:$B,2,FALSE))</f>
        <v/>
      </c>
    </row>
    <row r="34" spans="1:23">
      <c r="A34" t="s">
        <v>3466</v>
      </c>
      <c r="B34" s="66" t="s">
        <v>2434</v>
      </c>
      <c r="C34" s="64" t="s">
        <v>2412</v>
      </c>
      <c r="D34">
        <v>813</v>
      </c>
      <c r="E34">
        <v>883</v>
      </c>
      <c r="F34">
        <v>872</v>
      </c>
      <c r="G34">
        <v>843</v>
      </c>
      <c r="H34">
        <v>943</v>
      </c>
      <c r="N34" t="str">
        <f>IF(ISNA(VLOOKUP(D34,技能表!$A:$B,2,FALSE)),"",VLOOKUP(D34,技能表!$A:$B,2,FALSE))</f>
        <v>80%除光抗性</v>
      </c>
      <c r="O34" t="str">
        <f>IF(ISNA(VLOOKUP(E34,技能表!$A:$B,2,FALSE)),"",VLOOKUP(E34,技能表!$A:$B,2,FALSE))</f>
        <v>流血抗性90%</v>
      </c>
      <c r="P34" t="str">
        <f>IF(ISNA(VLOOKUP(F34,技能表!$A:$B,2,FALSE)),"",VLOOKUP(F34,技能表!$A:$B,2,FALSE))</f>
        <v>抓取抗性100%</v>
      </c>
      <c r="Q34" t="str">
        <f>IF(ISNA(VLOOKUP(G34,技能表!$A:$B,2,FALSE)),"",VLOOKUP(G34,技能表!$A:$B,2,FALSE))</f>
        <v>負面時間減免50%</v>
      </c>
      <c r="R34" t="str">
        <f>IF(ISNA(VLOOKUP(H34,技能表!$A:$B,2,FALSE)),"",VLOOKUP(H34,技能表!$A:$B,2,FALSE))</f>
        <v>無法回血</v>
      </c>
      <c r="S34" t="str">
        <f>IF(ISNA(VLOOKUP(I34,技能表!$A:$B,2,FALSE)),"",VLOOKUP(I34,技能表!$A:$B,2,FALSE))</f>
        <v/>
      </c>
      <c r="T34" t="str">
        <f>IF(ISNA(VLOOKUP(J34,技能表!$A:$B,2,FALSE)),"",VLOOKUP(J34,技能表!$A:$B,2,FALSE))</f>
        <v/>
      </c>
      <c r="U34" t="str">
        <f>IF(ISNA(VLOOKUP(K34,技能表!$A:$B,2,FALSE)),"",VLOOKUP(K34,技能表!$A:$B,2,FALSE))</f>
        <v/>
      </c>
      <c r="V34" t="str">
        <f>IF(ISNA(VLOOKUP(L34,技能表!$A:$B,2,FALSE)),"",VLOOKUP(L34,技能表!$A:$B,2,FALSE))</f>
        <v/>
      </c>
      <c r="W34" t="str">
        <f>IF(ISNA(VLOOKUP(M34,技能表!$A:$B,2,FALSE)),"",VLOOKUP(M34,技能表!$A:$B,2,FALSE))</f>
        <v/>
      </c>
    </row>
    <row r="35" spans="1:23">
      <c r="A35" t="s">
        <v>3467</v>
      </c>
      <c r="B35" s="65" t="s">
        <v>2435</v>
      </c>
      <c r="C35" s="64" t="s">
        <v>2413</v>
      </c>
      <c r="D35">
        <v>804</v>
      </c>
      <c r="E35">
        <v>893</v>
      </c>
      <c r="F35">
        <v>883</v>
      </c>
      <c r="G35">
        <v>872</v>
      </c>
      <c r="H35">
        <v>843</v>
      </c>
      <c r="I35">
        <v>943</v>
      </c>
      <c r="N35" t="str">
        <f>IF(ISNA(VLOOKUP(D35,技能表!$A:$B,2,FALSE)),"",VLOOKUP(D35,技能表!$A:$B,2,FALSE))</f>
        <v>30%除暗抗性</v>
      </c>
      <c r="O35" t="str">
        <f>IF(ISNA(VLOOKUP(E35,技能表!$A:$B,2,FALSE)),"",VLOOKUP(E35,技能表!$A:$B,2,FALSE))</f>
        <v>被打有10%機率往後跑</v>
      </c>
      <c r="P35" t="str">
        <f>IF(ISNA(VLOOKUP(F35,技能表!$A:$B,2,FALSE)),"",VLOOKUP(F35,技能表!$A:$B,2,FALSE))</f>
        <v>流血抗性90%</v>
      </c>
      <c r="Q35" t="str">
        <f>IF(ISNA(VLOOKUP(G35,技能表!$A:$B,2,FALSE)),"",VLOOKUP(G35,技能表!$A:$B,2,FALSE))</f>
        <v>抓取抗性100%</v>
      </c>
      <c r="R35" t="str">
        <f>IF(ISNA(VLOOKUP(H35,技能表!$A:$B,2,FALSE)),"",VLOOKUP(H35,技能表!$A:$B,2,FALSE))</f>
        <v>負面時間減免50%</v>
      </c>
      <c r="S35" t="str">
        <f>IF(ISNA(VLOOKUP(I35,技能表!$A:$B,2,FALSE)),"",VLOOKUP(I35,技能表!$A:$B,2,FALSE))</f>
        <v>無法回血</v>
      </c>
      <c r="T35" t="str">
        <f>IF(ISNA(VLOOKUP(J35,技能表!$A:$B,2,FALSE)),"",VLOOKUP(J35,技能表!$A:$B,2,FALSE))</f>
        <v/>
      </c>
      <c r="U35" t="str">
        <f>IF(ISNA(VLOOKUP(K35,技能表!$A:$B,2,FALSE)),"",VLOOKUP(K35,技能表!$A:$B,2,FALSE))</f>
        <v/>
      </c>
      <c r="V35" t="str">
        <f>IF(ISNA(VLOOKUP(L35,技能表!$A:$B,2,FALSE)),"",VLOOKUP(L35,技能表!$A:$B,2,FALSE))</f>
        <v/>
      </c>
      <c r="W35" t="str">
        <f>IF(ISNA(VLOOKUP(M35,技能表!$A:$B,2,FALSE)),"",VLOOKUP(M35,技能表!$A:$B,2,FALSE))</f>
        <v/>
      </c>
    </row>
    <row r="36" spans="1:23">
      <c r="A36" t="s">
        <v>3468</v>
      </c>
      <c r="B36" s="66" t="s">
        <v>2436</v>
      </c>
      <c r="C36" s="64" t="s">
        <v>2414</v>
      </c>
      <c r="D36">
        <v>803</v>
      </c>
      <c r="E36">
        <v>883</v>
      </c>
      <c r="F36">
        <v>872</v>
      </c>
      <c r="G36">
        <v>843</v>
      </c>
      <c r="H36">
        <v>943</v>
      </c>
      <c r="N36" t="str">
        <f>IF(ISNA(VLOOKUP(D36,技能表!$A:$B,2,FALSE)),"",VLOOKUP(D36,技能表!$A:$B,2,FALSE))</f>
        <v>30%除光抗性</v>
      </c>
      <c r="O36" t="str">
        <f>IF(ISNA(VLOOKUP(E36,技能表!$A:$B,2,FALSE)),"",VLOOKUP(E36,技能表!$A:$B,2,FALSE))</f>
        <v>流血抗性90%</v>
      </c>
      <c r="P36" t="str">
        <f>IF(ISNA(VLOOKUP(F36,技能表!$A:$B,2,FALSE)),"",VLOOKUP(F36,技能表!$A:$B,2,FALSE))</f>
        <v>抓取抗性100%</v>
      </c>
      <c r="Q36" t="str">
        <f>IF(ISNA(VLOOKUP(G36,技能表!$A:$B,2,FALSE)),"",VLOOKUP(G36,技能表!$A:$B,2,FALSE))</f>
        <v>負面時間減免50%</v>
      </c>
      <c r="R36" t="str">
        <f>IF(ISNA(VLOOKUP(H36,技能表!$A:$B,2,FALSE)),"",VLOOKUP(H36,技能表!$A:$B,2,FALSE))</f>
        <v>無法回血</v>
      </c>
      <c r="S36" t="str">
        <f>IF(ISNA(VLOOKUP(I36,技能表!$A:$B,2,FALSE)),"",VLOOKUP(I36,技能表!$A:$B,2,FALSE))</f>
        <v/>
      </c>
      <c r="T36" t="str">
        <f>IF(ISNA(VLOOKUP(J36,技能表!$A:$B,2,FALSE)),"",VLOOKUP(J36,技能表!$A:$B,2,FALSE))</f>
        <v/>
      </c>
      <c r="U36" t="str">
        <f>IF(ISNA(VLOOKUP(K36,技能表!$A:$B,2,FALSE)),"",VLOOKUP(K36,技能表!$A:$B,2,FALSE))</f>
        <v/>
      </c>
      <c r="V36" t="str">
        <f>IF(ISNA(VLOOKUP(L36,技能表!$A:$B,2,FALSE)),"",VLOOKUP(L36,技能表!$A:$B,2,FALSE))</f>
        <v/>
      </c>
      <c r="W36" t="str">
        <f>IF(ISNA(VLOOKUP(M36,技能表!$A:$B,2,FALSE)),"",VLOOKUP(M36,技能表!$A:$B,2,FALSE))</f>
        <v/>
      </c>
    </row>
    <row r="37" spans="1:23">
      <c r="A37" t="s">
        <v>3469</v>
      </c>
      <c r="B37" s="66" t="s">
        <v>2437</v>
      </c>
      <c r="C37" s="64" t="s">
        <v>2415</v>
      </c>
      <c r="D37">
        <v>803</v>
      </c>
      <c r="E37">
        <v>882</v>
      </c>
      <c r="F37">
        <v>872</v>
      </c>
      <c r="G37">
        <v>843</v>
      </c>
      <c r="H37">
        <v>943</v>
      </c>
      <c r="N37" t="str">
        <f>IF(ISNA(VLOOKUP(D37,技能表!$A:$B,2,FALSE)),"",VLOOKUP(D37,技能表!$A:$B,2,FALSE))</f>
        <v>30%除光抗性</v>
      </c>
      <c r="O37" t="str">
        <f>IF(ISNA(VLOOKUP(E37,技能表!$A:$B,2,FALSE)),"",VLOOKUP(E37,技能表!$A:$B,2,FALSE))</f>
        <v>流血抗性95%</v>
      </c>
      <c r="P37" t="str">
        <f>IF(ISNA(VLOOKUP(F37,技能表!$A:$B,2,FALSE)),"",VLOOKUP(F37,技能表!$A:$B,2,FALSE))</f>
        <v>抓取抗性100%</v>
      </c>
      <c r="Q37" t="str">
        <f>IF(ISNA(VLOOKUP(G37,技能表!$A:$B,2,FALSE)),"",VLOOKUP(G37,技能表!$A:$B,2,FALSE))</f>
        <v>負面時間減免50%</v>
      </c>
      <c r="R37" t="str">
        <f>IF(ISNA(VLOOKUP(H37,技能表!$A:$B,2,FALSE)),"",VLOOKUP(H37,技能表!$A:$B,2,FALSE))</f>
        <v>無法回血</v>
      </c>
      <c r="S37" t="str">
        <f>IF(ISNA(VLOOKUP(I37,技能表!$A:$B,2,FALSE)),"",VLOOKUP(I37,技能表!$A:$B,2,FALSE))</f>
        <v/>
      </c>
      <c r="T37" t="str">
        <f>IF(ISNA(VLOOKUP(J37,技能表!$A:$B,2,FALSE)),"",VLOOKUP(J37,技能表!$A:$B,2,FALSE))</f>
        <v/>
      </c>
      <c r="U37" t="str">
        <f>IF(ISNA(VLOOKUP(K37,技能表!$A:$B,2,FALSE)),"",VLOOKUP(K37,技能表!$A:$B,2,FALSE))</f>
        <v/>
      </c>
      <c r="V37" t="str">
        <f>IF(ISNA(VLOOKUP(L37,技能表!$A:$B,2,FALSE)),"",VLOOKUP(L37,技能表!$A:$B,2,FALSE))</f>
        <v/>
      </c>
      <c r="W37" t="str">
        <f>IF(ISNA(VLOOKUP(M37,技能表!$A:$B,2,FALSE)),"",VLOOKUP(M37,技能表!$A:$B,2,FALSE))</f>
        <v/>
      </c>
    </row>
    <row r="38" spans="1:23">
      <c r="A38" t="s">
        <v>3470</v>
      </c>
      <c r="B38" s="66" t="s">
        <v>2438</v>
      </c>
      <c r="C38" s="64" t="s">
        <v>2416</v>
      </c>
      <c r="D38">
        <v>803</v>
      </c>
      <c r="E38">
        <v>891</v>
      </c>
      <c r="F38">
        <v>882</v>
      </c>
      <c r="G38">
        <v>872</v>
      </c>
      <c r="H38">
        <v>843</v>
      </c>
      <c r="I38">
        <v>943</v>
      </c>
      <c r="N38" t="str">
        <f>IF(ISNA(VLOOKUP(D38,技能表!$A:$B,2,FALSE)),"",VLOOKUP(D38,技能表!$A:$B,2,FALSE))</f>
        <v>30%除光抗性</v>
      </c>
      <c r="O38" t="str">
        <f>IF(ISNA(VLOOKUP(E38,技能表!$A:$B,2,FALSE)),"",VLOOKUP(E38,技能表!$A:$B,2,FALSE))</f>
        <v>被打有30%機率往後跑</v>
      </c>
      <c r="P38" t="str">
        <f>IF(ISNA(VLOOKUP(F38,技能表!$A:$B,2,FALSE)),"",VLOOKUP(F38,技能表!$A:$B,2,FALSE))</f>
        <v>流血抗性95%</v>
      </c>
      <c r="Q38" t="str">
        <f>IF(ISNA(VLOOKUP(G38,技能表!$A:$B,2,FALSE)),"",VLOOKUP(G38,技能表!$A:$B,2,FALSE))</f>
        <v>抓取抗性100%</v>
      </c>
      <c r="R38" t="str">
        <f>IF(ISNA(VLOOKUP(H38,技能表!$A:$B,2,FALSE)),"",VLOOKUP(H38,技能表!$A:$B,2,FALSE))</f>
        <v>負面時間減免50%</v>
      </c>
      <c r="S38" t="str">
        <f>IF(ISNA(VLOOKUP(I38,技能表!$A:$B,2,FALSE)),"",VLOOKUP(I38,技能表!$A:$B,2,FALSE))</f>
        <v>無法回血</v>
      </c>
      <c r="T38" t="str">
        <f>IF(ISNA(VLOOKUP(J38,技能表!$A:$B,2,FALSE)),"",VLOOKUP(J38,技能表!$A:$B,2,FALSE))</f>
        <v/>
      </c>
      <c r="U38" t="str">
        <f>IF(ISNA(VLOOKUP(K38,技能表!$A:$B,2,FALSE)),"",VLOOKUP(K38,技能表!$A:$B,2,FALSE))</f>
        <v/>
      </c>
      <c r="V38" t="str">
        <f>IF(ISNA(VLOOKUP(L38,技能表!$A:$B,2,FALSE)),"",VLOOKUP(L38,技能表!$A:$B,2,FALSE))</f>
        <v/>
      </c>
      <c r="W38" t="str">
        <f>IF(ISNA(VLOOKUP(M38,技能表!$A:$B,2,FALSE)),"",VLOOKUP(M38,技能表!$A:$B,2,FALSE))</f>
        <v/>
      </c>
    </row>
    <row r="39" spans="1:23">
      <c r="A39" t="s">
        <v>3471</v>
      </c>
      <c r="B39" s="66" t="s">
        <v>2439</v>
      </c>
      <c r="C39" s="64" t="s">
        <v>2417</v>
      </c>
      <c r="D39">
        <v>803</v>
      </c>
      <c r="E39">
        <v>882</v>
      </c>
      <c r="F39">
        <v>891</v>
      </c>
      <c r="G39">
        <v>872</v>
      </c>
      <c r="H39">
        <v>843</v>
      </c>
      <c r="I39">
        <v>943</v>
      </c>
      <c r="N39" t="str">
        <f>IF(ISNA(VLOOKUP(D39,技能表!$A:$B,2,FALSE)),"",VLOOKUP(D39,技能表!$A:$B,2,FALSE))</f>
        <v>30%除光抗性</v>
      </c>
      <c r="O39" t="str">
        <f>IF(ISNA(VLOOKUP(E39,技能表!$A:$B,2,FALSE)),"",VLOOKUP(E39,技能表!$A:$B,2,FALSE))</f>
        <v>流血抗性95%</v>
      </c>
      <c r="P39" t="str">
        <f>IF(ISNA(VLOOKUP(F39,技能表!$A:$B,2,FALSE)),"",VLOOKUP(F39,技能表!$A:$B,2,FALSE))</f>
        <v>被打有30%機率往後跑</v>
      </c>
      <c r="Q39" t="str">
        <f>IF(ISNA(VLOOKUP(G39,技能表!$A:$B,2,FALSE)),"",VLOOKUP(G39,技能表!$A:$B,2,FALSE))</f>
        <v>抓取抗性100%</v>
      </c>
      <c r="R39" t="str">
        <f>IF(ISNA(VLOOKUP(H39,技能表!$A:$B,2,FALSE)),"",VLOOKUP(H39,技能表!$A:$B,2,FALSE))</f>
        <v>負面時間減免50%</v>
      </c>
      <c r="S39" t="str">
        <f>IF(ISNA(VLOOKUP(I39,技能表!$A:$B,2,FALSE)),"",VLOOKUP(I39,技能表!$A:$B,2,FALSE))</f>
        <v>無法回血</v>
      </c>
      <c r="T39" t="str">
        <f>IF(ISNA(VLOOKUP(J39,技能表!$A:$B,2,FALSE)),"",VLOOKUP(J39,技能表!$A:$B,2,FALSE))</f>
        <v/>
      </c>
      <c r="U39" t="str">
        <f>IF(ISNA(VLOOKUP(K39,技能表!$A:$B,2,FALSE)),"",VLOOKUP(K39,技能表!$A:$B,2,FALSE))</f>
        <v/>
      </c>
      <c r="V39" t="str">
        <f>IF(ISNA(VLOOKUP(L39,技能表!$A:$B,2,FALSE)),"",VLOOKUP(L39,技能表!$A:$B,2,FALSE))</f>
        <v/>
      </c>
      <c r="W39" t="str">
        <f>IF(ISNA(VLOOKUP(M39,技能表!$A:$B,2,FALSE)),"",VLOOKUP(M39,技能表!$A:$B,2,FALSE))</f>
        <v/>
      </c>
    </row>
    <row r="40" spans="1:23">
      <c r="A40" t="s">
        <v>3472</v>
      </c>
      <c r="B40" s="65" t="s">
        <v>2440</v>
      </c>
      <c r="C40" s="64" t="s">
        <v>2418</v>
      </c>
      <c r="D40">
        <v>803</v>
      </c>
      <c r="E40">
        <v>872</v>
      </c>
      <c r="F40">
        <v>882</v>
      </c>
      <c r="G40">
        <v>872</v>
      </c>
      <c r="H40">
        <v>843</v>
      </c>
      <c r="I40">
        <v>943</v>
      </c>
      <c r="N40" t="str">
        <f>IF(ISNA(VLOOKUP(D40,技能表!$A:$B,2,FALSE)),"",VLOOKUP(D40,技能表!$A:$B,2,FALSE))</f>
        <v>30%除光抗性</v>
      </c>
      <c r="O40" t="str">
        <f>IF(ISNA(VLOOKUP(E40,技能表!$A:$B,2,FALSE)),"",VLOOKUP(E40,技能表!$A:$B,2,FALSE))</f>
        <v>抓取抗性100%</v>
      </c>
      <c r="P40" t="str">
        <f>IF(ISNA(VLOOKUP(F40,技能表!$A:$B,2,FALSE)),"",VLOOKUP(F40,技能表!$A:$B,2,FALSE))</f>
        <v>流血抗性95%</v>
      </c>
      <c r="Q40" t="str">
        <f>IF(ISNA(VLOOKUP(G40,技能表!$A:$B,2,FALSE)),"",VLOOKUP(G40,技能表!$A:$B,2,FALSE))</f>
        <v>抓取抗性100%</v>
      </c>
      <c r="R40" t="str">
        <f>IF(ISNA(VLOOKUP(H40,技能表!$A:$B,2,FALSE)),"",VLOOKUP(H40,技能表!$A:$B,2,FALSE))</f>
        <v>負面時間減免50%</v>
      </c>
      <c r="S40" t="str">
        <f>IF(ISNA(VLOOKUP(I40,技能表!$A:$B,2,FALSE)),"",VLOOKUP(I40,技能表!$A:$B,2,FALSE))</f>
        <v>無法回血</v>
      </c>
      <c r="T40" t="str">
        <f>IF(ISNA(VLOOKUP(J40,技能表!$A:$B,2,FALSE)),"",VLOOKUP(J40,技能表!$A:$B,2,FALSE))</f>
        <v/>
      </c>
      <c r="U40" t="str">
        <f>IF(ISNA(VLOOKUP(K40,技能表!$A:$B,2,FALSE)),"",VLOOKUP(K40,技能表!$A:$B,2,FALSE))</f>
        <v/>
      </c>
      <c r="V40" t="str">
        <f>IF(ISNA(VLOOKUP(L40,技能表!$A:$B,2,FALSE)),"",VLOOKUP(L40,技能表!$A:$B,2,FALSE))</f>
        <v/>
      </c>
      <c r="W40" t="str">
        <f>IF(ISNA(VLOOKUP(M40,技能表!$A:$B,2,FALSE)),"",VLOOKUP(M40,技能表!$A:$B,2,FALSE))</f>
        <v/>
      </c>
    </row>
    <row r="41" spans="1:23">
      <c r="A41" t="s">
        <v>3473</v>
      </c>
      <c r="B41" s="65" t="s">
        <v>2441</v>
      </c>
      <c r="C41" s="64" t="s">
        <v>2419</v>
      </c>
      <c r="D41">
        <v>1137</v>
      </c>
      <c r="E41">
        <v>882</v>
      </c>
      <c r="F41">
        <v>872</v>
      </c>
      <c r="G41">
        <v>843</v>
      </c>
      <c r="H41">
        <v>943</v>
      </c>
      <c r="N41" t="str">
        <f>IF(ISNA(VLOOKUP(D41,技能表!$A:$B,2,FALSE)),"",VLOOKUP(D41,技能表!$A:$B,2,FALSE))</f>
        <v>耶夢加得30%除光抗性_被打有20%機率逃跑</v>
      </c>
      <c r="O41" t="str">
        <f>IF(ISNA(VLOOKUP(E41,技能表!$A:$B,2,FALSE)),"",VLOOKUP(E41,技能表!$A:$B,2,FALSE))</f>
        <v>流血抗性95%</v>
      </c>
      <c r="P41" t="str">
        <f>IF(ISNA(VLOOKUP(F41,技能表!$A:$B,2,FALSE)),"",VLOOKUP(F41,技能表!$A:$B,2,FALSE))</f>
        <v>抓取抗性100%</v>
      </c>
      <c r="Q41" t="str">
        <f>IF(ISNA(VLOOKUP(G41,技能表!$A:$B,2,FALSE)),"",VLOOKUP(G41,技能表!$A:$B,2,FALSE))</f>
        <v>負面時間減免50%</v>
      </c>
      <c r="R41" t="str">
        <f>IF(ISNA(VLOOKUP(H41,技能表!$A:$B,2,FALSE)),"",VLOOKUP(H41,技能表!$A:$B,2,FALSE))</f>
        <v>無法回血</v>
      </c>
      <c r="S41" t="str">
        <f>IF(ISNA(VLOOKUP(I41,技能表!$A:$B,2,FALSE)),"",VLOOKUP(I41,技能表!$A:$B,2,FALSE))</f>
        <v/>
      </c>
      <c r="T41" t="str">
        <f>IF(ISNA(VLOOKUP(J41,技能表!$A:$B,2,FALSE)),"",VLOOKUP(J41,技能表!$A:$B,2,FALSE))</f>
        <v/>
      </c>
      <c r="U41" t="str">
        <f>IF(ISNA(VLOOKUP(K41,技能表!$A:$B,2,FALSE)),"",VLOOKUP(K41,技能表!$A:$B,2,FALSE))</f>
        <v/>
      </c>
      <c r="V41" t="str">
        <f>IF(ISNA(VLOOKUP(L41,技能表!$A:$B,2,FALSE)),"",VLOOKUP(L41,技能表!$A:$B,2,FALSE))</f>
        <v/>
      </c>
      <c r="W41" t="str">
        <f>IF(ISNA(VLOOKUP(M41,技能表!$A:$B,2,FALSE)),"",VLOOKUP(M41,技能表!$A:$B,2,FALSE))</f>
        <v/>
      </c>
    </row>
    <row r="42" spans="1:23">
      <c r="A42" t="s">
        <v>3474</v>
      </c>
      <c r="B42" s="66" t="s">
        <v>2442</v>
      </c>
      <c r="C42" s="64" t="s">
        <v>2420</v>
      </c>
      <c r="D42">
        <v>803</v>
      </c>
      <c r="E42">
        <v>872</v>
      </c>
      <c r="F42">
        <v>882</v>
      </c>
      <c r="G42">
        <v>843</v>
      </c>
      <c r="H42">
        <v>943</v>
      </c>
      <c r="N42" t="str">
        <f>IF(ISNA(VLOOKUP(D42,技能表!$A:$B,2,FALSE)),"",VLOOKUP(D42,技能表!$A:$B,2,FALSE))</f>
        <v>30%除光抗性</v>
      </c>
      <c r="O42" t="str">
        <f>IF(ISNA(VLOOKUP(E42,技能表!$A:$B,2,FALSE)),"",VLOOKUP(E42,技能表!$A:$B,2,FALSE))</f>
        <v>抓取抗性100%</v>
      </c>
      <c r="P42" t="str">
        <f>IF(ISNA(VLOOKUP(F42,技能表!$A:$B,2,FALSE)),"",VLOOKUP(F42,技能表!$A:$B,2,FALSE))</f>
        <v>流血抗性95%</v>
      </c>
      <c r="Q42" t="str">
        <f>IF(ISNA(VLOOKUP(G42,技能表!$A:$B,2,FALSE)),"",VLOOKUP(G42,技能表!$A:$B,2,FALSE))</f>
        <v>負面時間減免50%</v>
      </c>
      <c r="R42" t="str">
        <f>IF(ISNA(VLOOKUP(H42,技能表!$A:$B,2,FALSE)),"",VLOOKUP(H42,技能表!$A:$B,2,FALSE))</f>
        <v>無法回血</v>
      </c>
      <c r="S42" t="str">
        <f>IF(ISNA(VLOOKUP(I42,技能表!$A:$B,2,FALSE)),"",VLOOKUP(I42,技能表!$A:$B,2,FALSE))</f>
        <v/>
      </c>
      <c r="T42" t="str">
        <f>IF(ISNA(VLOOKUP(J42,技能表!$A:$B,2,FALSE)),"",VLOOKUP(J42,技能表!$A:$B,2,FALSE))</f>
        <v/>
      </c>
      <c r="U42" t="str">
        <f>IF(ISNA(VLOOKUP(K42,技能表!$A:$B,2,FALSE)),"",VLOOKUP(K42,技能表!$A:$B,2,FALSE))</f>
        <v/>
      </c>
      <c r="V42" t="str">
        <f>IF(ISNA(VLOOKUP(L42,技能表!$A:$B,2,FALSE)),"",VLOOKUP(L42,技能表!$A:$B,2,FALSE))</f>
        <v/>
      </c>
      <c r="W42" t="str">
        <f>IF(ISNA(VLOOKUP(M42,技能表!$A:$B,2,FALSE)),"",VLOOKUP(M42,技能表!$A:$B,2,FALSE))</f>
        <v/>
      </c>
    </row>
    <row r="43" spans="1:23">
      <c r="C43" s="64"/>
      <c r="N43" t="str">
        <f>IF(ISNA(VLOOKUP(D43,技能表!$A:$B,2,FALSE)),"",VLOOKUP(D43,技能表!$A:$B,2,FALSE))</f>
        <v/>
      </c>
      <c r="O43" t="str">
        <f>IF(ISNA(VLOOKUP(E43,技能表!$A:$B,2,FALSE)),"",VLOOKUP(E43,技能表!$A:$B,2,FALSE))</f>
        <v/>
      </c>
      <c r="P43" t="str">
        <f>IF(ISNA(VLOOKUP(F43,技能表!$A:$B,2,FALSE)),"",VLOOKUP(F43,技能表!$A:$B,2,FALSE))</f>
        <v/>
      </c>
      <c r="Q43" t="str">
        <f>IF(ISNA(VLOOKUP(G43,技能表!$A:$B,2,FALSE)),"",VLOOKUP(G43,技能表!$A:$B,2,FALSE))</f>
        <v/>
      </c>
      <c r="R43" t="str">
        <f>IF(ISNA(VLOOKUP(H43,技能表!$A:$B,2,FALSE)),"",VLOOKUP(H43,技能表!$A:$B,2,FALSE))</f>
        <v/>
      </c>
      <c r="S43" t="str">
        <f>IF(ISNA(VLOOKUP(I43,技能表!$A:$B,2,FALSE)),"",VLOOKUP(I43,技能表!$A:$B,2,FALSE))</f>
        <v/>
      </c>
      <c r="T43" t="str">
        <f>IF(ISNA(VLOOKUP(J43,技能表!$A:$B,2,FALSE)),"",VLOOKUP(J43,技能表!$A:$B,2,FALSE))</f>
        <v/>
      </c>
      <c r="U43" t="str">
        <f>IF(ISNA(VLOOKUP(K43,技能表!$A:$B,2,FALSE)),"",VLOOKUP(K43,技能表!$A:$B,2,FALSE))</f>
        <v/>
      </c>
      <c r="V43" t="str">
        <f>IF(ISNA(VLOOKUP(L43,技能表!$A:$B,2,FALSE)),"",VLOOKUP(L43,技能表!$A:$B,2,FALSE))</f>
        <v/>
      </c>
      <c r="W43" t="str">
        <f>IF(ISNA(VLOOKUP(M43,技能表!$A:$B,2,FALSE)),"",VLOOKUP(M43,技能表!$A:$B,2,FALSE))</f>
        <v/>
      </c>
    </row>
    <row r="44" spans="1:23">
      <c r="C44" s="64"/>
      <c r="N44" t="str">
        <f>IF(ISNA(VLOOKUP(D44,技能表!$A:$B,2,FALSE)),"",VLOOKUP(D44,技能表!$A:$B,2,FALSE))</f>
        <v/>
      </c>
      <c r="O44" t="str">
        <f>IF(ISNA(VLOOKUP(E44,技能表!$A:$B,2,FALSE)),"",VLOOKUP(E44,技能表!$A:$B,2,FALSE))</f>
        <v/>
      </c>
      <c r="P44" t="str">
        <f>IF(ISNA(VLOOKUP(F44,技能表!$A:$B,2,FALSE)),"",VLOOKUP(F44,技能表!$A:$B,2,FALSE))</f>
        <v/>
      </c>
      <c r="Q44" t="str">
        <f>IF(ISNA(VLOOKUP(G44,技能表!$A:$B,2,FALSE)),"",VLOOKUP(G44,技能表!$A:$B,2,FALSE))</f>
        <v/>
      </c>
      <c r="R44" t="str">
        <f>IF(ISNA(VLOOKUP(H44,技能表!$A:$B,2,FALSE)),"",VLOOKUP(H44,技能表!$A:$B,2,FALSE))</f>
        <v/>
      </c>
      <c r="S44" t="str">
        <f>IF(ISNA(VLOOKUP(I44,技能表!$A:$B,2,FALSE)),"",VLOOKUP(I44,技能表!$A:$B,2,FALSE))</f>
        <v/>
      </c>
      <c r="T44" t="str">
        <f>IF(ISNA(VLOOKUP(J44,技能表!$A:$B,2,FALSE)),"",VLOOKUP(J44,技能表!$A:$B,2,FALSE))</f>
        <v/>
      </c>
      <c r="U44" t="str">
        <f>IF(ISNA(VLOOKUP(K44,技能表!$A:$B,2,FALSE)),"",VLOOKUP(K44,技能表!$A:$B,2,FALSE))</f>
        <v/>
      </c>
      <c r="V44" t="str">
        <f>IF(ISNA(VLOOKUP(L44,技能表!$A:$B,2,FALSE)),"",VLOOKUP(L44,技能表!$A:$B,2,FALSE))</f>
        <v/>
      </c>
      <c r="W44" t="str">
        <f>IF(ISNA(VLOOKUP(M44,技能表!$A:$B,2,FALSE)),"",VLOOKUP(M44,技能表!$A:$B,2,FALSE))</f>
        <v/>
      </c>
    </row>
    <row r="45" spans="1:23">
      <c r="C45" s="64"/>
      <c r="N45" t="str">
        <f>IF(ISNA(VLOOKUP(D45,技能表!$A:$B,2,FALSE)),"",VLOOKUP(D45,技能表!$A:$B,2,FALSE))</f>
        <v/>
      </c>
      <c r="O45" t="str">
        <f>IF(ISNA(VLOOKUP(E45,技能表!$A:$B,2,FALSE)),"",VLOOKUP(E45,技能表!$A:$B,2,FALSE))</f>
        <v/>
      </c>
      <c r="P45" t="str">
        <f>IF(ISNA(VLOOKUP(F45,技能表!$A:$B,2,FALSE)),"",VLOOKUP(F45,技能表!$A:$B,2,FALSE))</f>
        <v/>
      </c>
      <c r="Q45" t="str">
        <f>IF(ISNA(VLOOKUP(G45,技能表!$A:$B,2,FALSE)),"",VLOOKUP(G45,技能表!$A:$B,2,FALSE))</f>
        <v/>
      </c>
      <c r="R45" t="str">
        <f>IF(ISNA(VLOOKUP(H45,技能表!$A:$B,2,FALSE)),"",VLOOKUP(H45,技能表!$A:$B,2,FALSE))</f>
        <v/>
      </c>
      <c r="S45" t="str">
        <f>IF(ISNA(VLOOKUP(I45,技能表!$A:$B,2,FALSE)),"",VLOOKUP(I45,技能表!$A:$B,2,FALSE))</f>
        <v/>
      </c>
      <c r="T45" t="str">
        <f>IF(ISNA(VLOOKUP(J45,技能表!$A:$B,2,FALSE)),"",VLOOKUP(J45,技能表!$A:$B,2,FALSE))</f>
        <v/>
      </c>
      <c r="U45" t="str">
        <f>IF(ISNA(VLOOKUP(K45,技能表!$A:$B,2,FALSE)),"",VLOOKUP(K45,技能表!$A:$B,2,FALSE))</f>
        <v/>
      </c>
      <c r="V45" t="str">
        <f>IF(ISNA(VLOOKUP(L45,技能表!$A:$B,2,FALSE)),"",VLOOKUP(L45,技能表!$A:$B,2,FALSE))</f>
        <v/>
      </c>
      <c r="W45" t="str">
        <f>IF(ISNA(VLOOKUP(M45,技能表!$A:$B,2,FALSE)),"",VLOOKUP(M45,技能表!$A:$B,2,FALSE))</f>
        <v/>
      </c>
    </row>
    <row r="46" spans="1:23">
      <c r="C46" s="81"/>
      <c r="N46" t="str">
        <f>IF(ISNA(VLOOKUP(D46,技能表!$A:$B,2,FALSE)),"",VLOOKUP(D46,技能表!$A:$B,2,FALSE))</f>
        <v/>
      </c>
      <c r="O46" t="str">
        <f>IF(ISNA(VLOOKUP(E46,技能表!$A:$B,2,FALSE)),"",VLOOKUP(E46,技能表!$A:$B,2,FALSE))</f>
        <v/>
      </c>
      <c r="P46" t="str">
        <f>IF(ISNA(VLOOKUP(F46,技能表!$A:$B,2,FALSE)),"",VLOOKUP(F46,技能表!$A:$B,2,FALSE))</f>
        <v/>
      </c>
      <c r="Q46" t="str">
        <f>IF(ISNA(VLOOKUP(G46,技能表!$A:$B,2,FALSE)),"",VLOOKUP(G46,技能表!$A:$B,2,FALSE))</f>
        <v/>
      </c>
      <c r="R46" t="str">
        <f>IF(ISNA(VLOOKUP(H46,技能表!$A:$B,2,FALSE)),"",VLOOKUP(H46,技能表!$A:$B,2,FALSE))</f>
        <v/>
      </c>
      <c r="S46" t="str">
        <f>IF(ISNA(VLOOKUP(I46,技能表!$A:$B,2,FALSE)),"",VLOOKUP(I46,技能表!$A:$B,2,FALSE))</f>
        <v/>
      </c>
      <c r="T46" t="str">
        <f>IF(ISNA(VLOOKUP(J46,技能表!$A:$B,2,FALSE)),"",VLOOKUP(J46,技能表!$A:$B,2,FALSE))</f>
        <v/>
      </c>
      <c r="U46" t="str">
        <f>IF(ISNA(VLOOKUP(K46,技能表!$A:$B,2,FALSE)),"",VLOOKUP(K46,技能表!$A:$B,2,FALSE))</f>
        <v/>
      </c>
      <c r="V46" t="str">
        <f>IF(ISNA(VLOOKUP(L46,技能表!$A:$B,2,FALSE)),"",VLOOKUP(L46,技能表!$A:$B,2,FALSE))</f>
        <v/>
      </c>
      <c r="W46" t="str">
        <f>IF(ISNA(VLOOKUP(M46,技能表!$A:$B,2,FALSE)),"",VLOOKUP(M46,技能表!$A:$B,2,FALSE))</f>
        <v/>
      </c>
    </row>
    <row r="47" spans="1:23">
      <c r="C47" s="64"/>
      <c r="N47" t="str">
        <f>IF(ISNA(VLOOKUP(D47,技能表!$A:$B,2,FALSE)),"",VLOOKUP(D47,技能表!$A:$B,2,FALSE))</f>
        <v/>
      </c>
      <c r="O47" t="str">
        <f>IF(ISNA(VLOOKUP(E47,技能表!$A:$B,2,FALSE)),"",VLOOKUP(E47,技能表!$A:$B,2,FALSE))</f>
        <v/>
      </c>
      <c r="P47" t="str">
        <f>IF(ISNA(VLOOKUP(F47,技能表!$A:$B,2,FALSE)),"",VLOOKUP(F47,技能表!$A:$B,2,FALSE))</f>
        <v/>
      </c>
      <c r="Q47" t="str">
        <f>IF(ISNA(VLOOKUP(G47,技能表!$A:$B,2,FALSE)),"",VLOOKUP(G47,技能表!$A:$B,2,FALSE))</f>
        <v/>
      </c>
      <c r="R47" t="str">
        <f>IF(ISNA(VLOOKUP(H47,技能表!$A:$B,2,FALSE)),"",VLOOKUP(H47,技能表!$A:$B,2,FALSE))</f>
        <v/>
      </c>
      <c r="S47" t="str">
        <f>IF(ISNA(VLOOKUP(I47,技能表!$A:$B,2,FALSE)),"",VLOOKUP(I47,技能表!$A:$B,2,FALSE))</f>
        <v/>
      </c>
      <c r="T47" t="str">
        <f>IF(ISNA(VLOOKUP(J47,技能表!$A:$B,2,FALSE)),"",VLOOKUP(J47,技能表!$A:$B,2,FALSE))</f>
        <v/>
      </c>
      <c r="U47" t="str">
        <f>IF(ISNA(VLOOKUP(K47,技能表!$A:$B,2,FALSE)),"",VLOOKUP(K47,技能表!$A:$B,2,FALSE))</f>
        <v/>
      </c>
      <c r="V47" t="str">
        <f>IF(ISNA(VLOOKUP(L47,技能表!$A:$B,2,FALSE)),"",VLOOKUP(L47,技能表!$A:$B,2,FALSE))</f>
        <v/>
      </c>
      <c r="W47" t="str">
        <f>IF(ISNA(VLOOKUP(M47,技能表!$A:$B,2,FALSE)),"",VLOOKUP(M47,技能表!$A:$B,2,FALSE))</f>
        <v/>
      </c>
    </row>
    <row r="48" spans="1:23">
      <c r="C48" s="64"/>
      <c r="N48" t="str">
        <f>IF(ISNA(VLOOKUP(D48,技能表!$A:$B,2,FALSE)),"",VLOOKUP(D48,技能表!$A:$B,2,FALSE))</f>
        <v/>
      </c>
      <c r="O48" t="str">
        <f>IF(ISNA(VLOOKUP(E48,技能表!$A:$B,2,FALSE)),"",VLOOKUP(E48,技能表!$A:$B,2,FALSE))</f>
        <v/>
      </c>
      <c r="P48" t="str">
        <f>IF(ISNA(VLOOKUP(F48,技能表!$A:$B,2,FALSE)),"",VLOOKUP(F48,技能表!$A:$B,2,FALSE))</f>
        <v/>
      </c>
      <c r="Q48" t="str">
        <f>IF(ISNA(VLOOKUP(G48,技能表!$A:$B,2,FALSE)),"",VLOOKUP(G48,技能表!$A:$B,2,FALSE))</f>
        <v/>
      </c>
      <c r="R48" t="str">
        <f>IF(ISNA(VLOOKUP(H48,技能表!$A:$B,2,FALSE)),"",VLOOKUP(H48,技能表!$A:$B,2,FALSE))</f>
        <v/>
      </c>
      <c r="S48" t="str">
        <f>IF(ISNA(VLOOKUP(I48,技能表!$A:$B,2,FALSE)),"",VLOOKUP(I48,技能表!$A:$B,2,FALSE))</f>
        <v/>
      </c>
      <c r="T48" t="str">
        <f>IF(ISNA(VLOOKUP(J48,技能表!$A:$B,2,FALSE)),"",VLOOKUP(J48,技能表!$A:$B,2,FALSE))</f>
        <v/>
      </c>
      <c r="U48" t="str">
        <f>IF(ISNA(VLOOKUP(K48,技能表!$A:$B,2,FALSE)),"",VLOOKUP(K48,技能表!$A:$B,2,FALSE))</f>
        <v/>
      </c>
      <c r="V48" t="str">
        <f>IF(ISNA(VLOOKUP(L48,技能表!$A:$B,2,FALSE)),"",VLOOKUP(L48,技能表!$A:$B,2,FALSE))</f>
        <v/>
      </c>
      <c r="W48" t="str">
        <f>IF(ISNA(VLOOKUP(M48,技能表!$A:$B,2,FALSE)),"",VLOOKUP(M48,技能表!$A:$B,2,FALSE))</f>
        <v/>
      </c>
    </row>
    <row r="49" spans="3:23">
      <c r="C49" s="64"/>
      <c r="N49" t="str">
        <f>IF(ISNA(VLOOKUP(D49,技能表!$A:$B,2,FALSE)),"",VLOOKUP(D49,技能表!$A:$B,2,FALSE))</f>
        <v/>
      </c>
      <c r="O49" t="str">
        <f>IF(ISNA(VLOOKUP(E49,技能表!$A:$B,2,FALSE)),"",VLOOKUP(E49,技能表!$A:$B,2,FALSE))</f>
        <v/>
      </c>
      <c r="P49" t="str">
        <f>IF(ISNA(VLOOKUP(F49,技能表!$A:$B,2,FALSE)),"",VLOOKUP(F49,技能表!$A:$B,2,FALSE))</f>
        <v/>
      </c>
      <c r="Q49" t="str">
        <f>IF(ISNA(VLOOKUP(G49,技能表!$A:$B,2,FALSE)),"",VLOOKUP(G49,技能表!$A:$B,2,FALSE))</f>
        <v/>
      </c>
      <c r="R49" t="str">
        <f>IF(ISNA(VLOOKUP(H49,技能表!$A:$B,2,FALSE)),"",VLOOKUP(H49,技能表!$A:$B,2,FALSE))</f>
        <v/>
      </c>
      <c r="S49" t="str">
        <f>IF(ISNA(VLOOKUP(I49,技能表!$A:$B,2,FALSE)),"",VLOOKUP(I49,技能表!$A:$B,2,FALSE))</f>
        <v/>
      </c>
      <c r="T49" t="str">
        <f>IF(ISNA(VLOOKUP(J49,技能表!$A:$B,2,FALSE)),"",VLOOKUP(J49,技能表!$A:$B,2,FALSE))</f>
        <v/>
      </c>
      <c r="U49" t="str">
        <f>IF(ISNA(VLOOKUP(K49,技能表!$A:$B,2,FALSE)),"",VLOOKUP(K49,技能表!$A:$B,2,FALSE))</f>
        <v/>
      </c>
      <c r="V49" t="str">
        <f>IF(ISNA(VLOOKUP(L49,技能表!$A:$B,2,FALSE)),"",VLOOKUP(L49,技能表!$A:$B,2,FALSE))</f>
        <v/>
      </c>
      <c r="W49" t="str">
        <f>IF(ISNA(VLOOKUP(M49,技能表!$A:$B,2,FALSE)),"",VLOOKUP(M49,技能表!$A:$B,2,FALSE))</f>
        <v/>
      </c>
    </row>
    <row r="50" spans="3:23">
      <c r="C50" s="64"/>
      <c r="N50" t="str">
        <f>IF(ISNA(VLOOKUP(D50,技能表!$A:$B,2,FALSE)),"",VLOOKUP(D50,技能表!$A:$B,2,FALSE))</f>
        <v/>
      </c>
      <c r="O50" t="str">
        <f>IF(ISNA(VLOOKUP(E50,技能表!$A:$B,2,FALSE)),"",VLOOKUP(E50,技能表!$A:$B,2,FALSE))</f>
        <v/>
      </c>
      <c r="P50" t="str">
        <f>IF(ISNA(VLOOKUP(F50,技能表!$A:$B,2,FALSE)),"",VLOOKUP(F50,技能表!$A:$B,2,FALSE))</f>
        <v/>
      </c>
      <c r="Q50" t="str">
        <f>IF(ISNA(VLOOKUP(G50,技能表!$A:$B,2,FALSE)),"",VLOOKUP(G50,技能表!$A:$B,2,FALSE))</f>
        <v/>
      </c>
      <c r="R50" t="str">
        <f>IF(ISNA(VLOOKUP(H50,技能表!$A:$B,2,FALSE)),"",VLOOKUP(H50,技能表!$A:$B,2,FALSE))</f>
        <v/>
      </c>
      <c r="S50" t="str">
        <f>IF(ISNA(VLOOKUP(I50,技能表!$A:$B,2,FALSE)),"",VLOOKUP(I50,技能表!$A:$B,2,FALSE))</f>
        <v/>
      </c>
      <c r="T50" t="str">
        <f>IF(ISNA(VLOOKUP(J50,技能表!$A:$B,2,FALSE)),"",VLOOKUP(J50,技能表!$A:$B,2,FALSE))</f>
        <v/>
      </c>
      <c r="U50" t="str">
        <f>IF(ISNA(VLOOKUP(K50,技能表!$A:$B,2,FALSE)),"",VLOOKUP(K50,技能表!$A:$B,2,FALSE))</f>
        <v/>
      </c>
      <c r="V50" t="str">
        <f>IF(ISNA(VLOOKUP(L50,技能表!$A:$B,2,FALSE)),"",VLOOKUP(L50,技能表!$A:$B,2,FALSE))</f>
        <v/>
      </c>
      <c r="W50" t="str">
        <f>IF(ISNA(VLOOKUP(M50,技能表!$A:$B,2,FALSE)),"",VLOOKUP(M50,技能表!$A:$B,2,FALSE))</f>
        <v/>
      </c>
    </row>
    <row r="51" spans="3:23">
      <c r="C51" s="64"/>
      <c r="N51" t="str">
        <f>IF(ISNA(VLOOKUP(D51,技能表!$A:$B,2,FALSE)),"",VLOOKUP(D51,技能表!$A:$B,2,FALSE))</f>
        <v/>
      </c>
      <c r="O51" t="str">
        <f>IF(ISNA(VLOOKUP(E51,技能表!$A:$B,2,FALSE)),"",VLOOKUP(E51,技能表!$A:$B,2,FALSE))</f>
        <v/>
      </c>
      <c r="P51" t="str">
        <f>IF(ISNA(VLOOKUP(F51,技能表!$A:$B,2,FALSE)),"",VLOOKUP(F51,技能表!$A:$B,2,FALSE))</f>
        <v/>
      </c>
      <c r="Q51" t="str">
        <f>IF(ISNA(VLOOKUP(G51,技能表!$A:$B,2,FALSE)),"",VLOOKUP(G51,技能表!$A:$B,2,FALSE))</f>
        <v/>
      </c>
      <c r="R51" t="str">
        <f>IF(ISNA(VLOOKUP(H51,技能表!$A:$B,2,FALSE)),"",VLOOKUP(H51,技能表!$A:$B,2,FALSE))</f>
        <v/>
      </c>
      <c r="S51" t="str">
        <f>IF(ISNA(VLOOKUP(I51,技能表!$A:$B,2,FALSE)),"",VLOOKUP(I51,技能表!$A:$B,2,FALSE))</f>
        <v/>
      </c>
      <c r="T51" t="str">
        <f>IF(ISNA(VLOOKUP(J51,技能表!$A:$B,2,FALSE)),"",VLOOKUP(J51,技能表!$A:$B,2,FALSE))</f>
        <v/>
      </c>
      <c r="U51" t="str">
        <f>IF(ISNA(VLOOKUP(K51,技能表!$A:$B,2,FALSE)),"",VLOOKUP(K51,技能表!$A:$B,2,FALSE))</f>
        <v/>
      </c>
      <c r="V51" t="str">
        <f>IF(ISNA(VLOOKUP(L51,技能表!$A:$B,2,FALSE)),"",VLOOKUP(L51,技能表!$A:$B,2,FALSE))</f>
        <v/>
      </c>
      <c r="W51" t="str">
        <f>IF(ISNA(VLOOKUP(M51,技能表!$A:$B,2,FALSE)),"",VLOOKUP(M51,技能表!$A:$B,2,FALSE))</f>
        <v/>
      </c>
    </row>
    <row r="52" spans="3:23">
      <c r="C52" s="64"/>
      <c r="N52" t="str">
        <f>IF(ISNA(VLOOKUP(D52,技能表!$A:$B,2,FALSE)),"",VLOOKUP(D52,技能表!$A:$B,2,FALSE))</f>
        <v/>
      </c>
      <c r="O52" t="str">
        <f>IF(ISNA(VLOOKUP(E52,技能表!$A:$B,2,FALSE)),"",VLOOKUP(E52,技能表!$A:$B,2,FALSE))</f>
        <v/>
      </c>
      <c r="P52" t="str">
        <f>IF(ISNA(VLOOKUP(F52,技能表!$A:$B,2,FALSE)),"",VLOOKUP(F52,技能表!$A:$B,2,FALSE))</f>
        <v/>
      </c>
      <c r="Q52" t="str">
        <f>IF(ISNA(VLOOKUP(G52,技能表!$A:$B,2,FALSE)),"",VLOOKUP(G52,技能表!$A:$B,2,FALSE))</f>
        <v/>
      </c>
      <c r="R52" t="str">
        <f>IF(ISNA(VLOOKUP(H52,技能表!$A:$B,2,FALSE)),"",VLOOKUP(H52,技能表!$A:$B,2,FALSE))</f>
        <v/>
      </c>
      <c r="S52" t="str">
        <f>IF(ISNA(VLOOKUP(I52,技能表!$A:$B,2,FALSE)),"",VLOOKUP(I52,技能表!$A:$B,2,FALSE))</f>
        <v/>
      </c>
      <c r="T52" t="str">
        <f>IF(ISNA(VLOOKUP(J52,技能表!$A:$B,2,FALSE)),"",VLOOKUP(J52,技能表!$A:$B,2,FALSE))</f>
        <v/>
      </c>
      <c r="U52" t="str">
        <f>IF(ISNA(VLOOKUP(K52,技能表!$A:$B,2,FALSE)),"",VLOOKUP(K52,技能表!$A:$B,2,FALSE))</f>
        <v/>
      </c>
      <c r="V52" t="str">
        <f>IF(ISNA(VLOOKUP(L52,技能表!$A:$B,2,FALSE)),"",VLOOKUP(L52,技能表!$A:$B,2,FALSE))</f>
        <v/>
      </c>
      <c r="W52" t="str">
        <f>IF(ISNA(VLOOKUP(M52,技能表!$A:$B,2,FALSE)),"",VLOOKUP(M52,技能表!$A:$B,2,FALSE))</f>
        <v/>
      </c>
    </row>
    <row r="53" spans="3:23">
      <c r="C53" s="64"/>
      <c r="N53" t="str">
        <f>IF(ISNA(VLOOKUP(D53,技能表!$A:$B,2,FALSE)),"",VLOOKUP(D53,技能表!$A:$B,2,FALSE))</f>
        <v/>
      </c>
      <c r="O53" t="str">
        <f>IF(ISNA(VLOOKUP(E53,技能表!$A:$B,2,FALSE)),"",VLOOKUP(E53,技能表!$A:$B,2,FALSE))</f>
        <v/>
      </c>
      <c r="P53" t="str">
        <f>IF(ISNA(VLOOKUP(F53,技能表!$A:$B,2,FALSE)),"",VLOOKUP(F53,技能表!$A:$B,2,FALSE))</f>
        <v/>
      </c>
      <c r="Q53" t="str">
        <f>IF(ISNA(VLOOKUP(G53,技能表!$A:$B,2,FALSE)),"",VLOOKUP(G53,技能表!$A:$B,2,FALSE))</f>
        <v/>
      </c>
      <c r="R53" t="str">
        <f>IF(ISNA(VLOOKUP(H53,技能表!$A:$B,2,FALSE)),"",VLOOKUP(H53,技能表!$A:$B,2,FALSE))</f>
        <v/>
      </c>
      <c r="S53" t="str">
        <f>IF(ISNA(VLOOKUP(I53,技能表!$A:$B,2,FALSE)),"",VLOOKUP(I53,技能表!$A:$B,2,FALSE))</f>
        <v/>
      </c>
      <c r="T53" t="str">
        <f>IF(ISNA(VLOOKUP(J53,技能表!$A:$B,2,FALSE)),"",VLOOKUP(J53,技能表!$A:$B,2,FALSE))</f>
        <v/>
      </c>
      <c r="U53" t="str">
        <f>IF(ISNA(VLOOKUP(K53,技能表!$A:$B,2,FALSE)),"",VLOOKUP(K53,技能表!$A:$B,2,FALSE))</f>
        <v/>
      </c>
      <c r="V53" t="str">
        <f>IF(ISNA(VLOOKUP(L53,技能表!$A:$B,2,FALSE)),"",VLOOKUP(L53,技能表!$A:$B,2,FALSE))</f>
        <v/>
      </c>
      <c r="W53" t="str">
        <f>IF(ISNA(VLOOKUP(M53,技能表!$A:$B,2,FALSE)),"",VLOOKUP(M53,技能表!$A:$B,2,FALSE))</f>
        <v/>
      </c>
    </row>
    <row r="54" spans="3:23">
      <c r="C54" s="64"/>
      <c r="N54" t="str">
        <f>IF(ISNA(VLOOKUP(D54,技能表!$A:$B,2,FALSE)),"",VLOOKUP(D54,技能表!$A:$B,2,FALSE))</f>
        <v/>
      </c>
      <c r="O54" t="str">
        <f>IF(ISNA(VLOOKUP(E54,技能表!$A:$B,2,FALSE)),"",VLOOKUP(E54,技能表!$A:$B,2,FALSE))</f>
        <v/>
      </c>
      <c r="P54" t="str">
        <f>IF(ISNA(VLOOKUP(F54,技能表!$A:$B,2,FALSE)),"",VLOOKUP(F54,技能表!$A:$B,2,FALSE))</f>
        <v/>
      </c>
      <c r="Q54" t="str">
        <f>IF(ISNA(VLOOKUP(G54,技能表!$A:$B,2,FALSE)),"",VLOOKUP(G54,技能表!$A:$B,2,FALSE))</f>
        <v/>
      </c>
      <c r="R54" t="str">
        <f>IF(ISNA(VLOOKUP(H54,技能表!$A:$B,2,FALSE)),"",VLOOKUP(H54,技能表!$A:$B,2,FALSE))</f>
        <v/>
      </c>
      <c r="S54" t="str">
        <f>IF(ISNA(VLOOKUP(I54,技能表!$A:$B,2,FALSE)),"",VLOOKUP(I54,技能表!$A:$B,2,FALSE))</f>
        <v/>
      </c>
      <c r="T54" t="str">
        <f>IF(ISNA(VLOOKUP(J54,技能表!$A:$B,2,FALSE)),"",VLOOKUP(J54,技能表!$A:$B,2,FALSE))</f>
        <v/>
      </c>
      <c r="U54" t="str">
        <f>IF(ISNA(VLOOKUP(K54,技能表!$A:$B,2,FALSE)),"",VLOOKUP(K54,技能表!$A:$B,2,FALSE))</f>
        <v/>
      </c>
      <c r="V54" t="str">
        <f>IF(ISNA(VLOOKUP(L54,技能表!$A:$B,2,FALSE)),"",VLOOKUP(L54,技能表!$A:$B,2,FALSE))</f>
        <v/>
      </c>
      <c r="W54" t="str">
        <f>IF(ISNA(VLOOKUP(M54,技能表!$A:$B,2,FALSE)),"",VLOOKUP(M54,技能表!$A:$B,2,FALSE))</f>
        <v/>
      </c>
    </row>
    <row r="55" spans="3:23">
      <c r="C55" s="64"/>
      <c r="N55" t="str">
        <f>IF(ISNA(VLOOKUP(D55,技能表!$A:$B,2,FALSE)),"",VLOOKUP(D55,技能表!$A:$B,2,FALSE))</f>
        <v/>
      </c>
      <c r="O55" t="str">
        <f>IF(ISNA(VLOOKUP(E55,技能表!$A:$B,2,FALSE)),"",VLOOKUP(E55,技能表!$A:$B,2,FALSE))</f>
        <v/>
      </c>
      <c r="P55" t="str">
        <f>IF(ISNA(VLOOKUP(F55,技能表!$A:$B,2,FALSE)),"",VLOOKUP(F55,技能表!$A:$B,2,FALSE))</f>
        <v/>
      </c>
      <c r="Q55" t="str">
        <f>IF(ISNA(VLOOKUP(G55,技能表!$A:$B,2,FALSE)),"",VLOOKUP(G55,技能表!$A:$B,2,FALSE))</f>
        <v/>
      </c>
      <c r="R55" t="str">
        <f>IF(ISNA(VLOOKUP(H55,技能表!$A:$B,2,FALSE)),"",VLOOKUP(H55,技能表!$A:$B,2,FALSE))</f>
        <v/>
      </c>
      <c r="S55" t="str">
        <f>IF(ISNA(VLOOKUP(I55,技能表!$A:$B,2,FALSE)),"",VLOOKUP(I55,技能表!$A:$B,2,FALSE))</f>
        <v/>
      </c>
      <c r="T55" t="str">
        <f>IF(ISNA(VLOOKUP(J55,技能表!$A:$B,2,FALSE)),"",VLOOKUP(J55,技能表!$A:$B,2,FALSE))</f>
        <v/>
      </c>
      <c r="U55" t="str">
        <f>IF(ISNA(VLOOKUP(K55,技能表!$A:$B,2,FALSE)),"",VLOOKUP(K55,技能表!$A:$B,2,FALSE))</f>
        <v/>
      </c>
      <c r="V55" t="str">
        <f>IF(ISNA(VLOOKUP(L55,技能表!$A:$B,2,FALSE)),"",VLOOKUP(L55,技能表!$A:$B,2,FALSE))</f>
        <v/>
      </c>
      <c r="W55" t="str">
        <f>IF(ISNA(VLOOKUP(M55,技能表!$A:$B,2,FALSE)),"",VLOOKUP(M55,技能表!$A:$B,2,FALSE))</f>
        <v/>
      </c>
    </row>
    <row r="56" spans="3:23">
      <c r="C56" s="64"/>
      <c r="N56" t="str">
        <f>IF(ISNA(VLOOKUP(D56,技能表!$A:$B,2,FALSE)),"",VLOOKUP(D56,技能表!$A:$B,2,FALSE))</f>
        <v/>
      </c>
      <c r="O56" t="str">
        <f>IF(ISNA(VLOOKUP(E56,技能表!$A:$B,2,FALSE)),"",VLOOKUP(E56,技能表!$A:$B,2,FALSE))</f>
        <v/>
      </c>
      <c r="P56" t="str">
        <f>IF(ISNA(VLOOKUP(F56,技能表!$A:$B,2,FALSE)),"",VLOOKUP(F56,技能表!$A:$B,2,FALSE))</f>
        <v/>
      </c>
      <c r="Q56" t="str">
        <f>IF(ISNA(VLOOKUP(G56,技能表!$A:$B,2,FALSE)),"",VLOOKUP(G56,技能表!$A:$B,2,FALSE))</f>
        <v/>
      </c>
      <c r="R56" t="str">
        <f>IF(ISNA(VLOOKUP(H56,技能表!$A:$B,2,FALSE)),"",VLOOKUP(H56,技能表!$A:$B,2,FALSE))</f>
        <v/>
      </c>
      <c r="S56" t="str">
        <f>IF(ISNA(VLOOKUP(I56,技能表!$A:$B,2,FALSE)),"",VLOOKUP(I56,技能表!$A:$B,2,FALSE))</f>
        <v/>
      </c>
      <c r="T56" t="str">
        <f>IF(ISNA(VLOOKUP(J56,技能表!$A:$B,2,FALSE)),"",VLOOKUP(J56,技能表!$A:$B,2,FALSE))</f>
        <v/>
      </c>
      <c r="U56" t="str">
        <f>IF(ISNA(VLOOKUP(K56,技能表!$A:$B,2,FALSE)),"",VLOOKUP(K56,技能表!$A:$B,2,FALSE))</f>
        <v/>
      </c>
      <c r="V56" t="str">
        <f>IF(ISNA(VLOOKUP(L56,技能表!$A:$B,2,FALSE)),"",VLOOKUP(L56,技能表!$A:$B,2,FALSE))</f>
        <v/>
      </c>
      <c r="W56" t="str">
        <f>IF(ISNA(VLOOKUP(M56,技能表!$A:$B,2,FALSE)),"",VLOOKUP(M56,技能表!$A:$B,2,FALSE))</f>
        <v/>
      </c>
    </row>
    <row r="57" spans="3:23">
      <c r="C57" s="64"/>
      <c r="N57" t="str">
        <f>IF(ISNA(VLOOKUP(D57,技能表!$A:$B,2,FALSE)),"",VLOOKUP(D57,技能表!$A:$B,2,FALSE))</f>
        <v/>
      </c>
      <c r="O57" t="str">
        <f>IF(ISNA(VLOOKUP(E57,技能表!$A:$B,2,FALSE)),"",VLOOKUP(E57,技能表!$A:$B,2,FALSE))</f>
        <v/>
      </c>
      <c r="P57" t="str">
        <f>IF(ISNA(VLOOKUP(F57,技能表!$A:$B,2,FALSE)),"",VLOOKUP(F57,技能表!$A:$B,2,FALSE))</f>
        <v/>
      </c>
      <c r="Q57" t="str">
        <f>IF(ISNA(VLOOKUP(G57,技能表!$A:$B,2,FALSE)),"",VLOOKUP(G57,技能表!$A:$B,2,FALSE))</f>
        <v/>
      </c>
      <c r="R57" t="str">
        <f>IF(ISNA(VLOOKUP(H57,技能表!$A:$B,2,FALSE)),"",VLOOKUP(H57,技能表!$A:$B,2,FALSE))</f>
        <v/>
      </c>
      <c r="S57" t="str">
        <f>IF(ISNA(VLOOKUP(I57,技能表!$A:$B,2,FALSE)),"",VLOOKUP(I57,技能表!$A:$B,2,FALSE))</f>
        <v/>
      </c>
      <c r="T57" t="str">
        <f>IF(ISNA(VLOOKUP(J57,技能表!$A:$B,2,FALSE)),"",VLOOKUP(J57,技能表!$A:$B,2,FALSE))</f>
        <v/>
      </c>
      <c r="U57" t="str">
        <f>IF(ISNA(VLOOKUP(K57,技能表!$A:$B,2,FALSE)),"",VLOOKUP(K57,技能表!$A:$B,2,FALSE))</f>
        <v/>
      </c>
      <c r="V57" t="str">
        <f>IF(ISNA(VLOOKUP(L57,技能表!$A:$B,2,FALSE)),"",VLOOKUP(L57,技能表!$A:$B,2,FALSE))</f>
        <v/>
      </c>
      <c r="W57" t="str">
        <f>IF(ISNA(VLOOKUP(M57,技能表!$A:$B,2,FALSE)),"",VLOOKUP(M57,技能表!$A:$B,2,FALSE))</f>
        <v/>
      </c>
    </row>
    <row r="58" spans="3:23">
      <c r="C58" s="64"/>
      <c r="N58" t="str">
        <f>IF(ISNA(VLOOKUP(D58,技能表!$A:$B,2,FALSE)),"",VLOOKUP(D58,技能表!$A:$B,2,FALSE))</f>
        <v/>
      </c>
      <c r="O58" t="str">
        <f>IF(ISNA(VLOOKUP(E58,技能表!$A:$B,2,FALSE)),"",VLOOKUP(E58,技能表!$A:$B,2,FALSE))</f>
        <v/>
      </c>
      <c r="P58" t="str">
        <f>IF(ISNA(VLOOKUP(F58,技能表!$A:$B,2,FALSE)),"",VLOOKUP(F58,技能表!$A:$B,2,FALSE))</f>
        <v/>
      </c>
      <c r="Q58" t="str">
        <f>IF(ISNA(VLOOKUP(G58,技能表!$A:$B,2,FALSE)),"",VLOOKUP(G58,技能表!$A:$B,2,FALSE))</f>
        <v/>
      </c>
      <c r="R58" t="str">
        <f>IF(ISNA(VLOOKUP(H58,技能表!$A:$B,2,FALSE)),"",VLOOKUP(H58,技能表!$A:$B,2,FALSE))</f>
        <v/>
      </c>
      <c r="S58" t="str">
        <f>IF(ISNA(VLOOKUP(I58,技能表!$A:$B,2,FALSE)),"",VLOOKUP(I58,技能表!$A:$B,2,FALSE))</f>
        <v/>
      </c>
      <c r="T58" t="str">
        <f>IF(ISNA(VLOOKUP(J58,技能表!$A:$B,2,FALSE)),"",VLOOKUP(J58,技能表!$A:$B,2,FALSE))</f>
        <v/>
      </c>
      <c r="U58" t="str">
        <f>IF(ISNA(VLOOKUP(K58,技能表!$A:$B,2,FALSE)),"",VLOOKUP(K58,技能表!$A:$B,2,FALSE))</f>
        <v/>
      </c>
      <c r="V58" t="str">
        <f>IF(ISNA(VLOOKUP(L58,技能表!$A:$B,2,FALSE)),"",VLOOKUP(L58,技能表!$A:$B,2,FALSE))</f>
        <v/>
      </c>
      <c r="W58" t="str">
        <f>IF(ISNA(VLOOKUP(M58,技能表!$A:$B,2,FALSE)),"",VLOOKUP(M58,技能表!$A:$B,2,FALSE))</f>
        <v/>
      </c>
    </row>
    <row r="59" spans="3:23">
      <c r="C59" s="64"/>
      <c r="N59" t="str">
        <f>IF(ISNA(VLOOKUP(D59,技能表!$A:$B,2,FALSE)),"",VLOOKUP(D59,技能表!$A:$B,2,FALSE))</f>
        <v/>
      </c>
      <c r="O59" t="str">
        <f>IF(ISNA(VLOOKUP(E59,技能表!$A:$B,2,FALSE)),"",VLOOKUP(E59,技能表!$A:$B,2,FALSE))</f>
        <v/>
      </c>
      <c r="P59" t="str">
        <f>IF(ISNA(VLOOKUP(F59,技能表!$A:$B,2,FALSE)),"",VLOOKUP(F59,技能表!$A:$B,2,FALSE))</f>
        <v/>
      </c>
      <c r="Q59" t="str">
        <f>IF(ISNA(VLOOKUP(G59,技能表!$A:$B,2,FALSE)),"",VLOOKUP(G59,技能表!$A:$B,2,FALSE))</f>
        <v/>
      </c>
      <c r="R59" t="str">
        <f>IF(ISNA(VLOOKUP(H59,技能表!$A:$B,2,FALSE)),"",VLOOKUP(H59,技能表!$A:$B,2,FALSE))</f>
        <v/>
      </c>
      <c r="S59" t="str">
        <f>IF(ISNA(VLOOKUP(I59,技能表!$A:$B,2,FALSE)),"",VLOOKUP(I59,技能表!$A:$B,2,FALSE))</f>
        <v/>
      </c>
      <c r="T59" t="str">
        <f>IF(ISNA(VLOOKUP(J59,技能表!$A:$B,2,FALSE)),"",VLOOKUP(J59,技能表!$A:$B,2,FALSE))</f>
        <v/>
      </c>
      <c r="U59" t="str">
        <f>IF(ISNA(VLOOKUP(K59,技能表!$A:$B,2,FALSE)),"",VLOOKUP(K59,技能表!$A:$B,2,FALSE))</f>
        <v/>
      </c>
      <c r="V59" t="str">
        <f>IF(ISNA(VLOOKUP(L59,技能表!$A:$B,2,FALSE)),"",VLOOKUP(L59,技能表!$A:$B,2,FALSE))</f>
        <v/>
      </c>
      <c r="W59" t="str">
        <f>IF(ISNA(VLOOKUP(M59,技能表!$A:$B,2,FALSE)),"",VLOOKUP(M59,技能表!$A:$B,2,FALSE))</f>
        <v/>
      </c>
    </row>
    <row r="60" spans="3:23">
      <c r="C60" s="64"/>
      <c r="N60" t="str">
        <f>IF(ISNA(VLOOKUP(D60,技能表!$A:$B,2,FALSE)),"",VLOOKUP(D60,技能表!$A:$B,2,FALSE))</f>
        <v/>
      </c>
      <c r="O60" t="str">
        <f>IF(ISNA(VLOOKUP(E60,技能表!$A:$B,2,FALSE)),"",VLOOKUP(E60,技能表!$A:$B,2,FALSE))</f>
        <v/>
      </c>
      <c r="P60" t="str">
        <f>IF(ISNA(VLOOKUP(F60,技能表!$A:$B,2,FALSE)),"",VLOOKUP(F60,技能表!$A:$B,2,FALSE))</f>
        <v/>
      </c>
      <c r="Q60" t="str">
        <f>IF(ISNA(VLOOKUP(G60,技能表!$A:$B,2,FALSE)),"",VLOOKUP(G60,技能表!$A:$B,2,FALSE))</f>
        <v/>
      </c>
      <c r="R60" t="str">
        <f>IF(ISNA(VLOOKUP(H60,技能表!$A:$B,2,FALSE)),"",VLOOKUP(H60,技能表!$A:$B,2,FALSE))</f>
        <v/>
      </c>
      <c r="S60" t="str">
        <f>IF(ISNA(VLOOKUP(I60,技能表!$A:$B,2,FALSE)),"",VLOOKUP(I60,技能表!$A:$B,2,FALSE))</f>
        <v/>
      </c>
      <c r="T60" t="str">
        <f>IF(ISNA(VLOOKUP(J60,技能表!$A:$B,2,FALSE)),"",VLOOKUP(J60,技能表!$A:$B,2,FALSE))</f>
        <v/>
      </c>
      <c r="U60" t="str">
        <f>IF(ISNA(VLOOKUP(K60,技能表!$A:$B,2,FALSE)),"",VLOOKUP(K60,技能表!$A:$B,2,FALSE))</f>
        <v/>
      </c>
      <c r="V60" t="str">
        <f>IF(ISNA(VLOOKUP(L60,技能表!$A:$B,2,FALSE)),"",VLOOKUP(L60,技能表!$A:$B,2,FALSE))</f>
        <v/>
      </c>
      <c r="W60" t="str">
        <f>IF(ISNA(VLOOKUP(M60,技能表!$A:$B,2,FALSE)),"",VLOOKUP(M60,技能表!$A:$B,2,FALSE))</f>
        <v/>
      </c>
    </row>
    <row r="61" spans="3:23">
      <c r="C61" s="64"/>
      <c r="N61" t="str">
        <f>IF(ISNA(VLOOKUP(D61,技能表!$A:$B,2,FALSE)),"",VLOOKUP(D61,技能表!$A:$B,2,FALSE))</f>
        <v/>
      </c>
      <c r="O61" t="str">
        <f>IF(ISNA(VLOOKUP(E61,技能表!$A:$B,2,FALSE)),"",VLOOKUP(E61,技能表!$A:$B,2,FALSE))</f>
        <v/>
      </c>
      <c r="P61" t="str">
        <f>IF(ISNA(VLOOKUP(F61,技能表!$A:$B,2,FALSE)),"",VLOOKUP(F61,技能表!$A:$B,2,FALSE))</f>
        <v/>
      </c>
      <c r="Q61" t="str">
        <f>IF(ISNA(VLOOKUP(G61,技能表!$A:$B,2,FALSE)),"",VLOOKUP(G61,技能表!$A:$B,2,FALSE))</f>
        <v/>
      </c>
      <c r="R61" t="str">
        <f>IF(ISNA(VLOOKUP(H61,技能表!$A:$B,2,FALSE)),"",VLOOKUP(H61,技能表!$A:$B,2,FALSE))</f>
        <v/>
      </c>
      <c r="S61" t="str">
        <f>IF(ISNA(VLOOKUP(I61,技能表!$A:$B,2,FALSE)),"",VLOOKUP(I61,技能表!$A:$B,2,FALSE))</f>
        <v/>
      </c>
      <c r="T61" t="str">
        <f>IF(ISNA(VLOOKUP(J61,技能表!$A:$B,2,FALSE)),"",VLOOKUP(J61,技能表!$A:$B,2,FALSE))</f>
        <v/>
      </c>
      <c r="U61" t="str">
        <f>IF(ISNA(VLOOKUP(K61,技能表!$A:$B,2,FALSE)),"",VLOOKUP(K61,技能表!$A:$B,2,FALSE))</f>
        <v/>
      </c>
      <c r="V61" t="str">
        <f>IF(ISNA(VLOOKUP(L61,技能表!$A:$B,2,FALSE)),"",VLOOKUP(L61,技能表!$A:$B,2,FALSE))</f>
        <v/>
      </c>
      <c r="W61" t="str">
        <f>IF(ISNA(VLOOKUP(M61,技能表!$A:$B,2,FALSE)),"",VLOOKUP(M61,技能表!$A:$B,2,FALSE))</f>
        <v/>
      </c>
    </row>
    <row r="62" spans="3:23">
      <c r="C62" s="64"/>
      <c r="N62" t="str">
        <f>IF(ISNA(VLOOKUP(D62,技能表!$A:$B,2,FALSE)),"",VLOOKUP(D62,技能表!$A:$B,2,FALSE))</f>
        <v/>
      </c>
      <c r="O62" t="str">
        <f>IF(ISNA(VLOOKUP(E62,技能表!$A:$B,2,FALSE)),"",VLOOKUP(E62,技能表!$A:$B,2,FALSE))</f>
        <v/>
      </c>
      <c r="P62" t="str">
        <f>IF(ISNA(VLOOKUP(F62,技能表!$A:$B,2,FALSE)),"",VLOOKUP(F62,技能表!$A:$B,2,FALSE))</f>
        <v/>
      </c>
      <c r="Q62" t="str">
        <f>IF(ISNA(VLOOKUP(G62,技能表!$A:$B,2,FALSE)),"",VLOOKUP(G62,技能表!$A:$B,2,FALSE))</f>
        <v/>
      </c>
      <c r="R62" t="str">
        <f>IF(ISNA(VLOOKUP(H62,技能表!$A:$B,2,FALSE)),"",VLOOKUP(H62,技能表!$A:$B,2,FALSE))</f>
        <v/>
      </c>
      <c r="S62" t="str">
        <f>IF(ISNA(VLOOKUP(I62,技能表!$A:$B,2,FALSE)),"",VLOOKUP(I62,技能表!$A:$B,2,FALSE))</f>
        <v/>
      </c>
      <c r="T62" t="str">
        <f>IF(ISNA(VLOOKUP(J62,技能表!$A:$B,2,FALSE)),"",VLOOKUP(J62,技能表!$A:$B,2,FALSE))</f>
        <v/>
      </c>
      <c r="U62" t="str">
        <f>IF(ISNA(VLOOKUP(K62,技能表!$A:$B,2,FALSE)),"",VLOOKUP(K62,技能表!$A:$B,2,FALSE))</f>
        <v/>
      </c>
      <c r="V62" t="str">
        <f>IF(ISNA(VLOOKUP(L62,技能表!$A:$B,2,FALSE)),"",VLOOKUP(L62,技能表!$A:$B,2,FALSE))</f>
        <v/>
      </c>
      <c r="W62" t="str">
        <f>IF(ISNA(VLOOKUP(M62,技能表!$A:$B,2,FALSE)),"",VLOOKUP(M62,技能表!$A:$B,2,FALSE))</f>
        <v/>
      </c>
    </row>
    <row r="63" spans="3:23">
      <c r="C63" s="64"/>
      <c r="N63" t="str">
        <f>IF(ISNA(VLOOKUP(D63,技能表!$A:$B,2,FALSE)),"",VLOOKUP(D63,技能表!$A:$B,2,FALSE))</f>
        <v/>
      </c>
      <c r="O63" t="str">
        <f>IF(ISNA(VLOOKUP(E63,技能表!$A:$B,2,FALSE)),"",VLOOKUP(E63,技能表!$A:$B,2,FALSE))</f>
        <v/>
      </c>
      <c r="P63" t="str">
        <f>IF(ISNA(VLOOKUP(F63,技能表!$A:$B,2,FALSE)),"",VLOOKUP(F63,技能表!$A:$B,2,FALSE))</f>
        <v/>
      </c>
      <c r="Q63" t="str">
        <f>IF(ISNA(VLOOKUP(G63,技能表!$A:$B,2,FALSE)),"",VLOOKUP(G63,技能表!$A:$B,2,FALSE))</f>
        <v/>
      </c>
      <c r="R63" t="str">
        <f>IF(ISNA(VLOOKUP(H63,技能表!$A:$B,2,FALSE)),"",VLOOKUP(H63,技能表!$A:$B,2,FALSE))</f>
        <v/>
      </c>
      <c r="S63" t="str">
        <f>IF(ISNA(VLOOKUP(I63,技能表!$A:$B,2,FALSE)),"",VLOOKUP(I63,技能表!$A:$B,2,FALSE))</f>
        <v/>
      </c>
      <c r="T63" t="str">
        <f>IF(ISNA(VLOOKUP(J63,技能表!$A:$B,2,FALSE)),"",VLOOKUP(J63,技能表!$A:$B,2,FALSE))</f>
        <v/>
      </c>
      <c r="U63" t="str">
        <f>IF(ISNA(VLOOKUP(K63,技能表!$A:$B,2,FALSE)),"",VLOOKUP(K63,技能表!$A:$B,2,FALSE))</f>
        <v/>
      </c>
      <c r="V63" t="str">
        <f>IF(ISNA(VLOOKUP(L63,技能表!$A:$B,2,FALSE)),"",VLOOKUP(L63,技能表!$A:$B,2,FALSE))</f>
        <v/>
      </c>
      <c r="W63" t="str">
        <f>IF(ISNA(VLOOKUP(M63,技能表!$A:$B,2,FALSE)),"",VLOOKUP(M63,技能表!$A:$B,2,FALSE))</f>
        <v/>
      </c>
    </row>
    <row r="64" spans="3:23">
      <c r="C64" s="64"/>
      <c r="N64" t="str">
        <f>IF(ISNA(VLOOKUP(D64,技能表!$A:$B,2,FALSE)),"",VLOOKUP(D64,技能表!$A:$B,2,FALSE))</f>
        <v/>
      </c>
      <c r="O64" t="str">
        <f>IF(ISNA(VLOOKUP(E64,技能表!$A:$B,2,FALSE)),"",VLOOKUP(E64,技能表!$A:$B,2,FALSE))</f>
        <v/>
      </c>
      <c r="P64" t="str">
        <f>IF(ISNA(VLOOKUP(F64,技能表!$A:$B,2,FALSE)),"",VLOOKUP(F64,技能表!$A:$B,2,FALSE))</f>
        <v/>
      </c>
      <c r="Q64" t="str">
        <f>IF(ISNA(VLOOKUP(G64,技能表!$A:$B,2,FALSE)),"",VLOOKUP(G64,技能表!$A:$B,2,FALSE))</f>
        <v/>
      </c>
      <c r="R64" t="str">
        <f>IF(ISNA(VLOOKUP(H64,技能表!$A:$B,2,FALSE)),"",VLOOKUP(H64,技能表!$A:$B,2,FALSE))</f>
        <v/>
      </c>
      <c r="S64" t="str">
        <f>IF(ISNA(VLOOKUP(I64,技能表!$A:$B,2,FALSE)),"",VLOOKUP(I64,技能表!$A:$B,2,FALSE))</f>
        <v/>
      </c>
      <c r="T64" t="str">
        <f>IF(ISNA(VLOOKUP(J64,技能表!$A:$B,2,FALSE)),"",VLOOKUP(J64,技能表!$A:$B,2,FALSE))</f>
        <v/>
      </c>
      <c r="U64" t="str">
        <f>IF(ISNA(VLOOKUP(K64,技能表!$A:$B,2,FALSE)),"",VLOOKUP(K64,技能表!$A:$B,2,FALSE))</f>
        <v/>
      </c>
      <c r="V64" t="str">
        <f>IF(ISNA(VLOOKUP(L64,技能表!$A:$B,2,FALSE)),"",VLOOKUP(L64,技能表!$A:$B,2,FALSE))</f>
        <v/>
      </c>
      <c r="W64" t="str">
        <f>IF(ISNA(VLOOKUP(M64,技能表!$A:$B,2,FALSE)),"",VLOOKUP(M64,技能表!$A:$B,2,FALSE))</f>
        <v/>
      </c>
    </row>
    <row r="65" spans="3:23">
      <c r="C65" s="64"/>
      <c r="N65" t="str">
        <f>IF(ISNA(VLOOKUP(D65,技能表!$A:$B,2,FALSE)),"",VLOOKUP(D65,技能表!$A:$B,2,FALSE))</f>
        <v/>
      </c>
      <c r="O65" t="str">
        <f>IF(ISNA(VLOOKUP(E65,技能表!$A:$B,2,FALSE)),"",VLOOKUP(E65,技能表!$A:$B,2,FALSE))</f>
        <v/>
      </c>
      <c r="P65" t="str">
        <f>IF(ISNA(VLOOKUP(F65,技能表!$A:$B,2,FALSE)),"",VLOOKUP(F65,技能表!$A:$B,2,FALSE))</f>
        <v/>
      </c>
      <c r="Q65" t="str">
        <f>IF(ISNA(VLOOKUP(G65,技能表!$A:$B,2,FALSE)),"",VLOOKUP(G65,技能表!$A:$B,2,FALSE))</f>
        <v/>
      </c>
      <c r="R65" t="str">
        <f>IF(ISNA(VLOOKUP(H65,技能表!$A:$B,2,FALSE)),"",VLOOKUP(H65,技能表!$A:$B,2,FALSE))</f>
        <v/>
      </c>
      <c r="S65" t="str">
        <f>IF(ISNA(VLOOKUP(I65,技能表!$A:$B,2,FALSE)),"",VLOOKUP(I65,技能表!$A:$B,2,FALSE))</f>
        <v/>
      </c>
      <c r="T65" t="str">
        <f>IF(ISNA(VLOOKUP(J65,技能表!$A:$B,2,FALSE)),"",VLOOKUP(J65,技能表!$A:$B,2,FALSE))</f>
        <v/>
      </c>
      <c r="U65" t="str">
        <f>IF(ISNA(VLOOKUP(K65,技能表!$A:$B,2,FALSE)),"",VLOOKUP(K65,技能表!$A:$B,2,FALSE))</f>
        <v/>
      </c>
      <c r="V65" t="str">
        <f>IF(ISNA(VLOOKUP(L65,技能表!$A:$B,2,FALSE)),"",VLOOKUP(L65,技能表!$A:$B,2,FALSE))</f>
        <v/>
      </c>
      <c r="W65" t="str">
        <f>IF(ISNA(VLOOKUP(M65,技能表!$A:$B,2,FALSE)),"",VLOOKUP(M65,技能表!$A:$B,2,FALSE))</f>
        <v/>
      </c>
    </row>
    <row r="66" spans="3:23">
      <c r="C66" s="64"/>
      <c r="N66" t="str">
        <f>IF(ISNA(VLOOKUP(D66,技能表!$A:$B,2,FALSE)),"",VLOOKUP(D66,技能表!$A:$B,2,FALSE))</f>
        <v/>
      </c>
      <c r="O66" t="str">
        <f>IF(ISNA(VLOOKUP(E66,技能表!$A:$B,2,FALSE)),"",VLOOKUP(E66,技能表!$A:$B,2,FALSE))</f>
        <v/>
      </c>
      <c r="P66" t="str">
        <f>IF(ISNA(VLOOKUP(F66,技能表!$A:$B,2,FALSE)),"",VLOOKUP(F66,技能表!$A:$B,2,FALSE))</f>
        <v/>
      </c>
      <c r="Q66" t="str">
        <f>IF(ISNA(VLOOKUP(G66,技能表!$A:$B,2,FALSE)),"",VLOOKUP(G66,技能表!$A:$B,2,FALSE))</f>
        <v/>
      </c>
      <c r="R66" t="str">
        <f>IF(ISNA(VLOOKUP(H66,技能表!$A:$B,2,FALSE)),"",VLOOKUP(H66,技能表!$A:$B,2,FALSE))</f>
        <v/>
      </c>
      <c r="S66" t="str">
        <f>IF(ISNA(VLOOKUP(I66,技能表!$A:$B,2,FALSE)),"",VLOOKUP(I66,技能表!$A:$B,2,FALSE))</f>
        <v/>
      </c>
      <c r="T66" t="str">
        <f>IF(ISNA(VLOOKUP(J66,技能表!$A:$B,2,FALSE)),"",VLOOKUP(J66,技能表!$A:$B,2,FALSE))</f>
        <v/>
      </c>
      <c r="U66" t="str">
        <f>IF(ISNA(VLOOKUP(K66,技能表!$A:$B,2,FALSE)),"",VLOOKUP(K66,技能表!$A:$B,2,FALSE))</f>
        <v/>
      </c>
      <c r="V66" t="str">
        <f>IF(ISNA(VLOOKUP(L66,技能表!$A:$B,2,FALSE)),"",VLOOKUP(L66,技能表!$A:$B,2,FALSE))</f>
        <v/>
      </c>
      <c r="W66" t="str">
        <f>IF(ISNA(VLOOKUP(M66,技能表!$A:$B,2,FALSE)),"",VLOOKUP(M66,技能表!$A:$B,2,FALSE))</f>
        <v/>
      </c>
    </row>
    <row r="67" spans="3:23">
      <c r="C67" s="64"/>
      <c r="N67" t="str">
        <f>IF(ISNA(VLOOKUP(D67,技能表!$A:$B,2,FALSE)),"",VLOOKUP(D67,技能表!$A:$B,2,FALSE))</f>
        <v/>
      </c>
      <c r="O67" t="str">
        <f>IF(ISNA(VLOOKUP(E67,技能表!$A:$B,2,FALSE)),"",VLOOKUP(E67,技能表!$A:$B,2,FALSE))</f>
        <v/>
      </c>
      <c r="P67" t="str">
        <f>IF(ISNA(VLOOKUP(F67,技能表!$A:$B,2,FALSE)),"",VLOOKUP(F67,技能表!$A:$B,2,FALSE))</f>
        <v/>
      </c>
      <c r="Q67" t="str">
        <f>IF(ISNA(VLOOKUP(G67,技能表!$A:$B,2,FALSE)),"",VLOOKUP(G67,技能表!$A:$B,2,FALSE))</f>
        <v/>
      </c>
      <c r="R67" t="str">
        <f>IF(ISNA(VLOOKUP(H67,技能表!$A:$B,2,FALSE)),"",VLOOKUP(H67,技能表!$A:$B,2,FALSE))</f>
        <v/>
      </c>
      <c r="S67" t="str">
        <f>IF(ISNA(VLOOKUP(I67,技能表!$A:$B,2,FALSE)),"",VLOOKUP(I67,技能表!$A:$B,2,FALSE))</f>
        <v/>
      </c>
      <c r="T67" t="str">
        <f>IF(ISNA(VLOOKUP(J67,技能表!$A:$B,2,FALSE)),"",VLOOKUP(J67,技能表!$A:$B,2,FALSE))</f>
        <v/>
      </c>
      <c r="U67" t="str">
        <f>IF(ISNA(VLOOKUP(K67,技能表!$A:$B,2,FALSE)),"",VLOOKUP(K67,技能表!$A:$B,2,FALSE))</f>
        <v/>
      </c>
      <c r="V67" t="str">
        <f>IF(ISNA(VLOOKUP(L67,技能表!$A:$B,2,FALSE)),"",VLOOKUP(L67,技能表!$A:$B,2,FALSE))</f>
        <v/>
      </c>
      <c r="W67" t="str">
        <f>IF(ISNA(VLOOKUP(M67,技能表!$A:$B,2,FALSE)),"",VLOOKUP(M67,技能表!$A:$B,2,FALSE))</f>
        <v/>
      </c>
    </row>
    <row r="68" spans="3:23">
      <c r="C68" s="64"/>
      <c r="N68" t="str">
        <f>IF(ISNA(VLOOKUP(D68,技能表!$A:$B,2,FALSE)),"",VLOOKUP(D68,技能表!$A:$B,2,FALSE))</f>
        <v/>
      </c>
      <c r="O68" t="str">
        <f>IF(ISNA(VLOOKUP(E68,技能表!$A:$B,2,FALSE)),"",VLOOKUP(E68,技能表!$A:$B,2,FALSE))</f>
        <v/>
      </c>
      <c r="P68" t="str">
        <f>IF(ISNA(VLOOKUP(F68,技能表!$A:$B,2,FALSE)),"",VLOOKUP(F68,技能表!$A:$B,2,FALSE))</f>
        <v/>
      </c>
      <c r="Q68" t="str">
        <f>IF(ISNA(VLOOKUP(G68,技能表!$A:$B,2,FALSE)),"",VLOOKUP(G68,技能表!$A:$B,2,FALSE))</f>
        <v/>
      </c>
      <c r="R68" t="str">
        <f>IF(ISNA(VLOOKUP(H68,技能表!$A:$B,2,FALSE)),"",VLOOKUP(H68,技能表!$A:$B,2,FALSE))</f>
        <v/>
      </c>
      <c r="S68" t="str">
        <f>IF(ISNA(VLOOKUP(I68,技能表!$A:$B,2,FALSE)),"",VLOOKUP(I68,技能表!$A:$B,2,FALSE))</f>
        <v/>
      </c>
      <c r="T68" t="str">
        <f>IF(ISNA(VLOOKUP(J68,技能表!$A:$B,2,FALSE)),"",VLOOKUP(J68,技能表!$A:$B,2,FALSE))</f>
        <v/>
      </c>
      <c r="U68" t="str">
        <f>IF(ISNA(VLOOKUP(K68,技能表!$A:$B,2,FALSE)),"",VLOOKUP(K68,技能表!$A:$B,2,FALSE))</f>
        <v/>
      </c>
      <c r="V68" t="str">
        <f>IF(ISNA(VLOOKUP(L68,技能表!$A:$B,2,FALSE)),"",VLOOKUP(L68,技能表!$A:$B,2,FALSE))</f>
        <v/>
      </c>
      <c r="W68" t="str">
        <f>IF(ISNA(VLOOKUP(M68,技能表!$A:$B,2,FALSE)),"",VLOOKUP(M68,技能表!$A:$B,2,FALSE))</f>
        <v/>
      </c>
    </row>
    <row r="69" spans="3:23">
      <c r="C69" s="64"/>
      <c r="N69" t="str">
        <f>IF(ISNA(VLOOKUP(D69,技能表!$A:$B,2,FALSE)),"",VLOOKUP(D69,技能表!$A:$B,2,FALSE))</f>
        <v/>
      </c>
      <c r="O69" t="str">
        <f>IF(ISNA(VLOOKUP(E69,技能表!$A:$B,2,FALSE)),"",VLOOKUP(E69,技能表!$A:$B,2,FALSE))</f>
        <v/>
      </c>
      <c r="P69" t="str">
        <f>IF(ISNA(VLOOKUP(F69,技能表!$A:$B,2,FALSE)),"",VLOOKUP(F69,技能表!$A:$B,2,FALSE))</f>
        <v/>
      </c>
      <c r="Q69" t="str">
        <f>IF(ISNA(VLOOKUP(G69,技能表!$A:$B,2,FALSE)),"",VLOOKUP(G69,技能表!$A:$B,2,FALSE))</f>
        <v/>
      </c>
      <c r="R69" t="str">
        <f>IF(ISNA(VLOOKUP(H69,技能表!$A:$B,2,FALSE)),"",VLOOKUP(H69,技能表!$A:$B,2,FALSE))</f>
        <v/>
      </c>
      <c r="S69" t="str">
        <f>IF(ISNA(VLOOKUP(I69,技能表!$A:$B,2,FALSE)),"",VLOOKUP(I69,技能表!$A:$B,2,FALSE))</f>
        <v/>
      </c>
      <c r="T69" t="str">
        <f>IF(ISNA(VLOOKUP(J69,技能表!$A:$B,2,FALSE)),"",VLOOKUP(J69,技能表!$A:$B,2,FALSE))</f>
        <v/>
      </c>
      <c r="U69" t="str">
        <f>IF(ISNA(VLOOKUP(K69,技能表!$A:$B,2,FALSE)),"",VLOOKUP(K69,技能表!$A:$B,2,FALSE))</f>
        <v/>
      </c>
      <c r="V69" t="str">
        <f>IF(ISNA(VLOOKUP(L69,技能表!$A:$B,2,FALSE)),"",VLOOKUP(L69,技能表!$A:$B,2,FALSE))</f>
        <v/>
      </c>
      <c r="W69" t="str">
        <f>IF(ISNA(VLOOKUP(M69,技能表!$A:$B,2,FALSE)),"",VLOOKUP(M69,技能表!$A:$B,2,FALSE))</f>
        <v/>
      </c>
    </row>
    <row r="70" spans="3:23">
      <c r="C70" s="64"/>
      <c r="N70" t="str">
        <f>IF(ISNA(VLOOKUP(D70,技能表!$A:$B,2,FALSE)),"",VLOOKUP(D70,技能表!$A:$B,2,FALSE))</f>
        <v/>
      </c>
      <c r="O70" t="str">
        <f>IF(ISNA(VLOOKUP(E70,技能表!$A:$B,2,FALSE)),"",VLOOKUP(E70,技能表!$A:$B,2,FALSE))</f>
        <v/>
      </c>
      <c r="P70" t="str">
        <f>IF(ISNA(VLOOKUP(F70,技能表!$A:$B,2,FALSE)),"",VLOOKUP(F70,技能表!$A:$B,2,FALSE))</f>
        <v/>
      </c>
      <c r="Q70" t="str">
        <f>IF(ISNA(VLOOKUP(G70,技能表!$A:$B,2,FALSE)),"",VLOOKUP(G70,技能表!$A:$B,2,FALSE))</f>
        <v/>
      </c>
      <c r="R70" t="str">
        <f>IF(ISNA(VLOOKUP(H70,技能表!$A:$B,2,FALSE)),"",VLOOKUP(H70,技能表!$A:$B,2,FALSE))</f>
        <v/>
      </c>
      <c r="S70" t="str">
        <f>IF(ISNA(VLOOKUP(I70,技能表!$A:$B,2,FALSE)),"",VLOOKUP(I70,技能表!$A:$B,2,FALSE))</f>
        <v/>
      </c>
      <c r="T70" t="str">
        <f>IF(ISNA(VLOOKUP(J70,技能表!$A:$B,2,FALSE)),"",VLOOKUP(J70,技能表!$A:$B,2,FALSE))</f>
        <v/>
      </c>
      <c r="U70" t="str">
        <f>IF(ISNA(VLOOKUP(K70,技能表!$A:$B,2,FALSE)),"",VLOOKUP(K70,技能表!$A:$B,2,FALSE))</f>
        <v/>
      </c>
      <c r="V70" t="str">
        <f>IF(ISNA(VLOOKUP(L70,技能表!$A:$B,2,FALSE)),"",VLOOKUP(L70,技能表!$A:$B,2,FALSE))</f>
        <v/>
      </c>
      <c r="W70" t="str">
        <f>IF(ISNA(VLOOKUP(M70,技能表!$A:$B,2,FALSE)),"",VLOOKUP(M70,技能表!$A:$B,2,FALSE))</f>
        <v/>
      </c>
    </row>
    <row r="71" spans="3:23">
      <c r="C71" s="64"/>
      <c r="N71" t="str">
        <f>IF(ISNA(VLOOKUP(D71,技能表!$A:$B,2,FALSE)),"",VLOOKUP(D71,技能表!$A:$B,2,FALSE))</f>
        <v/>
      </c>
      <c r="O71" t="str">
        <f>IF(ISNA(VLOOKUP(E71,技能表!$A:$B,2,FALSE)),"",VLOOKUP(E71,技能表!$A:$B,2,FALSE))</f>
        <v/>
      </c>
      <c r="P71" t="str">
        <f>IF(ISNA(VLOOKUP(F71,技能表!$A:$B,2,FALSE)),"",VLOOKUP(F71,技能表!$A:$B,2,FALSE))</f>
        <v/>
      </c>
      <c r="Q71" t="str">
        <f>IF(ISNA(VLOOKUP(G71,技能表!$A:$B,2,FALSE)),"",VLOOKUP(G71,技能表!$A:$B,2,FALSE))</f>
        <v/>
      </c>
      <c r="R71" t="str">
        <f>IF(ISNA(VLOOKUP(H71,技能表!$A:$B,2,FALSE)),"",VLOOKUP(H71,技能表!$A:$B,2,FALSE))</f>
        <v/>
      </c>
      <c r="S71" t="str">
        <f>IF(ISNA(VLOOKUP(I71,技能表!$A:$B,2,FALSE)),"",VLOOKUP(I71,技能表!$A:$B,2,FALSE))</f>
        <v/>
      </c>
      <c r="T71" t="str">
        <f>IF(ISNA(VLOOKUP(J71,技能表!$A:$B,2,FALSE)),"",VLOOKUP(J71,技能表!$A:$B,2,FALSE))</f>
        <v/>
      </c>
      <c r="U71" t="str">
        <f>IF(ISNA(VLOOKUP(K71,技能表!$A:$B,2,FALSE)),"",VLOOKUP(K71,技能表!$A:$B,2,FALSE))</f>
        <v/>
      </c>
      <c r="V71" t="str">
        <f>IF(ISNA(VLOOKUP(L71,技能表!$A:$B,2,FALSE)),"",VLOOKUP(L71,技能表!$A:$B,2,FALSE))</f>
        <v/>
      </c>
      <c r="W71" t="str">
        <f>IF(ISNA(VLOOKUP(M71,技能表!$A:$B,2,FALSE)),"",VLOOKUP(M71,技能表!$A:$B,2,FALSE))</f>
        <v/>
      </c>
    </row>
    <row r="72" spans="3:23">
      <c r="C72" s="64"/>
      <c r="N72" t="str">
        <f>IF(ISNA(VLOOKUP(D72,技能表!$A:$B,2,FALSE)),"",VLOOKUP(D72,技能表!$A:$B,2,FALSE))</f>
        <v/>
      </c>
      <c r="O72" t="str">
        <f>IF(ISNA(VLOOKUP(E72,技能表!$A:$B,2,FALSE)),"",VLOOKUP(E72,技能表!$A:$B,2,FALSE))</f>
        <v/>
      </c>
      <c r="P72" t="str">
        <f>IF(ISNA(VLOOKUP(F72,技能表!$A:$B,2,FALSE)),"",VLOOKUP(F72,技能表!$A:$B,2,FALSE))</f>
        <v/>
      </c>
      <c r="Q72" t="str">
        <f>IF(ISNA(VLOOKUP(G72,技能表!$A:$B,2,FALSE)),"",VLOOKUP(G72,技能表!$A:$B,2,FALSE))</f>
        <v/>
      </c>
      <c r="R72" t="str">
        <f>IF(ISNA(VLOOKUP(H72,技能表!$A:$B,2,FALSE)),"",VLOOKUP(H72,技能表!$A:$B,2,FALSE))</f>
        <v/>
      </c>
      <c r="S72" t="str">
        <f>IF(ISNA(VLOOKUP(I72,技能表!$A:$B,2,FALSE)),"",VLOOKUP(I72,技能表!$A:$B,2,FALSE))</f>
        <v/>
      </c>
      <c r="T72" t="str">
        <f>IF(ISNA(VLOOKUP(J72,技能表!$A:$B,2,FALSE)),"",VLOOKUP(J72,技能表!$A:$B,2,FALSE))</f>
        <v/>
      </c>
      <c r="U72" t="str">
        <f>IF(ISNA(VLOOKUP(K72,技能表!$A:$B,2,FALSE)),"",VLOOKUP(K72,技能表!$A:$B,2,FALSE))</f>
        <v/>
      </c>
      <c r="V72" t="str">
        <f>IF(ISNA(VLOOKUP(L72,技能表!$A:$B,2,FALSE)),"",VLOOKUP(L72,技能表!$A:$B,2,FALSE))</f>
        <v/>
      </c>
      <c r="W72" t="str">
        <f>IF(ISNA(VLOOKUP(M72,技能表!$A:$B,2,FALSE)),"",VLOOKUP(M72,技能表!$A:$B,2,FALSE))</f>
        <v/>
      </c>
    </row>
    <row r="73" spans="3:23">
      <c r="C73" s="64"/>
      <c r="N73" t="str">
        <f>IF(ISNA(VLOOKUP(D73,技能表!$A:$B,2,FALSE)),"",VLOOKUP(D73,技能表!$A:$B,2,FALSE))</f>
        <v/>
      </c>
      <c r="O73" t="str">
        <f>IF(ISNA(VLOOKUP(E73,技能表!$A:$B,2,FALSE)),"",VLOOKUP(E73,技能表!$A:$B,2,FALSE))</f>
        <v/>
      </c>
      <c r="P73" t="str">
        <f>IF(ISNA(VLOOKUP(F73,技能表!$A:$B,2,FALSE)),"",VLOOKUP(F73,技能表!$A:$B,2,FALSE))</f>
        <v/>
      </c>
      <c r="Q73" t="str">
        <f>IF(ISNA(VLOOKUP(G73,技能表!$A:$B,2,FALSE)),"",VLOOKUP(G73,技能表!$A:$B,2,FALSE))</f>
        <v/>
      </c>
      <c r="R73" t="str">
        <f>IF(ISNA(VLOOKUP(H73,技能表!$A:$B,2,FALSE)),"",VLOOKUP(H73,技能表!$A:$B,2,FALSE))</f>
        <v/>
      </c>
      <c r="S73" t="str">
        <f>IF(ISNA(VLOOKUP(I73,技能表!$A:$B,2,FALSE)),"",VLOOKUP(I73,技能表!$A:$B,2,FALSE))</f>
        <v/>
      </c>
      <c r="T73" t="str">
        <f>IF(ISNA(VLOOKUP(J73,技能表!$A:$B,2,FALSE)),"",VLOOKUP(J73,技能表!$A:$B,2,FALSE))</f>
        <v/>
      </c>
      <c r="U73" t="str">
        <f>IF(ISNA(VLOOKUP(K73,技能表!$A:$B,2,FALSE)),"",VLOOKUP(K73,技能表!$A:$B,2,FALSE))</f>
        <v/>
      </c>
      <c r="V73" t="str">
        <f>IF(ISNA(VLOOKUP(L73,技能表!$A:$B,2,FALSE)),"",VLOOKUP(L73,技能表!$A:$B,2,FALSE))</f>
        <v/>
      </c>
      <c r="W73" t="str">
        <f>IF(ISNA(VLOOKUP(M73,技能表!$A:$B,2,FALSE)),"",VLOOKUP(M73,技能表!$A:$B,2,FALSE))</f>
        <v/>
      </c>
    </row>
    <row r="74" spans="3:23">
      <c r="C74" s="64"/>
      <c r="N74" t="str">
        <f>IF(ISNA(VLOOKUP(D74,技能表!$A:$B,2,FALSE)),"",VLOOKUP(D74,技能表!$A:$B,2,FALSE))</f>
        <v/>
      </c>
      <c r="O74" t="str">
        <f>IF(ISNA(VLOOKUP(E74,技能表!$A:$B,2,FALSE)),"",VLOOKUP(E74,技能表!$A:$B,2,FALSE))</f>
        <v/>
      </c>
      <c r="P74" t="str">
        <f>IF(ISNA(VLOOKUP(F74,技能表!$A:$B,2,FALSE)),"",VLOOKUP(F74,技能表!$A:$B,2,FALSE))</f>
        <v/>
      </c>
      <c r="Q74" t="str">
        <f>IF(ISNA(VLOOKUP(G74,技能表!$A:$B,2,FALSE)),"",VLOOKUP(G74,技能表!$A:$B,2,FALSE))</f>
        <v/>
      </c>
      <c r="R74" t="str">
        <f>IF(ISNA(VLOOKUP(H74,技能表!$A:$B,2,FALSE)),"",VLOOKUP(H74,技能表!$A:$B,2,FALSE))</f>
        <v/>
      </c>
      <c r="S74" t="str">
        <f>IF(ISNA(VLOOKUP(I74,技能表!$A:$B,2,FALSE)),"",VLOOKUP(I74,技能表!$A:$B,2,FALSE))</f>
        <v/>
      </c>
      <c r="T74" t="str">
        <f>IF(ISNA(VLOOKUP(J74,技能表!$A:$B,2,FALSE)),"",VLOOKUP(J74,技能表!$A:$B,2,FALSE))</f>
        <v/>
      </c>
      <c r="U74" t="str">
        <f>IF(ISNA(VLOOKUP(K74,技能表!$A:$B,2,FALSE)),"",VLOOKUP(K74,技能表!$A:$B,2,FALSE))</f>
        <v/>
      </c>
      <c r="V74" t="str">
        <f>IF(ISNA(VLOOKUP(L74,技能表!$A:$B,2,FALSE)),"",VLOOKUP(L74,技能表!$A:$B,2,FALSE))</f>
        <v/>
      </c>
      <c r="W74" t="str">
        <f>IF(ISNA(VLOOKUP(M74,技能表!$A:$B,2,FALSE)),"",VLOOKUP(M74,技能表!$A:$B,2,FALSE))</f>
        <v/>
      </c>
    </row>
    <row r="75" spans="3:23">
      <c r="C75" s="64"/>
      <c r="N75" t="str">
        <f>IF(ISNA(VLOOKUP(D75,技能表!$A:$B,2,FALSE)),"",VLOOKUP(D75,技能表!$A:$B,2,FALSE))</f>
        <v/>
      </c>
      <c r="O75" t="str">
        <f>IF(ISNA(VLOOKUP(E75,技能表!$A:$B,2,FALSE)),"",VLOOKUP(E75,技能表!$A:$B,2,FALSE))</f>
        <v/>
      </c>
      <c r="P75" t="str">
        <f>IF(ISNA(VLOOKUP(F75,技能表!$A:$B,2,FALSE)),"",VLOOKUP(F75,技能表!$A:$B,2,FALSE))</f>
        <v/>
      </c>
      <c r="Q75" t="str">
        <f>IF(ISNA(VLOOKUP(G75,技能表!$A:$B,2,FALSE)),"",VLOOKUP(G75,技能表!$A:$B,2,FALSE))</f>
        <v/>
      </c>
      <c r="R75" t="str">
        <f>IF(ISNA(VLOOKUP(H75,技能表!$A:$B,2,FALSE)),"",VLOOKUP(H75,技能表!$A:$B,2,FALSE))</f>
        <v/>
      </c>
      <c r="S75" t="str">
        <f>IF(ISNA(VLOOKUP(I75,技能表!$A:$B,2,FALSE)),"",VLOOKUP(I75,技能表!$A:$B,2,FALSE))</f>
        <v/>
      </c>
      <c r="T75" t="str">
        <f>IF(ISNA(VLOOKUP(J75,技能表!$A:$B,2,FALSE)),"",VLOOKUP(J75,技能表!$A:$B,2,FALSE))</f>
        <v/>
      </c>
      <c r="U75" t="str">
        <f>IF(ISNA(VLOOKUP(K75,技能表!$A:$B,2,FALSE)),"",VLOOKUP(K75,技能表!$A:$B,2,FALSE))</f>
        <v/>
      </c>
      <c r="V75" t="str">
        <f>IF(ISNA(VLOOKUP(L75,技能表!$A:$B,2,FALSE)),"",VLOOKUP(L75,技能表!$A:$B,2,FALSE))</f>
        <v/>
      </c>
      <c r="W75" t="str">
        <f>IF(ISNA(VLOOKUP(M75,技能表!$A:$B,2,FALSE)),"",VLOOKUP(M75,技能表!$A:$B,2,FALSE))</f>
        <v/>
      </c>
    </row>
    <row r="76" spans="3:23">
      <c r="C76" s="64"/>
      <c r="N76" t="str">
        <f>IF(ISNA(VLOOKUP(D76,技能表!$A:$B,2,FALSE)),"",VLOOKUP(D76,技能表!$A:$B,2,FALSE))</f>
        <v/>
      </c>
      <c r="O76" t="str">
        <f>IF(ISNA(VLOOKUP(E76,技能表!$A:$B,2,FALSE)),"",VLOOKUP(E76,技能表!$A:$B,2,FALSE))</f>
        <v/>
      </c>
      <c r="P76" t="str">
        <f>IF(ISNA(VLOOKUP(F76,技能表!$A:$B,2,FALSE)),"",VLOOKUP(F76,技能表!$A:$B,2,FALSE))</f>
        <v/>
      </c>
      <c r="Q76" t="str">
        <f>IF(ISNA(VLOOKUP(G76,技能表!$A:$B,2,FALSE)),"",VLOOKUP(G76,技能表!$A:$B,2,FALSE))</f>
        <v/>
      </c>
      <c r="R76" t="str">
        <f>IF(ISNA(VLOOKUP(H76,技能表!$A:$B,2,FALSE)),"",VLOOKUP(H76,技能表!$A:$B,2,FALSE))</f>
        <v/>
      </c>
      <c r="S76" t="str">
        <f>IF(ISNA(VLOOKUP(I76,技能表!$A:$B,2,FALSE)),"",VLOOKUP(I76,技能表!$A:$B,2,FALSE))</f>
        <v/>
      </c>
      <c r="T76" t="str">
        <f>IF(ISNA(VLOOKUP(J76,技能表!$A:$B,2,FALSE)),"",VLOOKUP(J76,技能表!$A:$B,2,FALSE))</f>
        <v/>
      </c>
      <c r="U76" t="str">
        <f>IF(ISNA(VLOOKUP(K76,技能表!$A:$B,2,FALSE)),"",VLOOKUP(K76,技能表!$A:$B,2,FALSE))</f>
        <v/>
      </c>
      <c r="V76" t="str">
        <f>IF(ISNA(VLOOKUP(L76,技能表!$A:$B,2,FALSE)),"",VLOOKUP(L76,技能表!$A:$B,2,FALSE))</f>
        <v/>
      </c>
      <c r="W76" t="str">
        <f>IF(ISNA(VLOOKUP(M76,技能表!$A:$B,2,FALSE)),"",VLOOKUP(M76,技能表!$A:$B,2,FALSE))</f>
        <v/>
      </c>
    </row>
    <row r="77" spans="3:23">
      <c r="C77" s="64"/>
      <c r="N77" t="str">
        <f>IF(ISNA(VLOOKUP(D77,技能表!$A:$B,2,FALSE)),"",VLOOKUP(D77,技能表!$A:$B,2,FALSE))</f>
        <v/>
      </c>
      <c r="O77" t="str">
        <f>IF(ISNA(VLOOKUP(E77,技能表!$A:$B,2,FALSE)),"",VLOOKUP(E77,技能表!$A:$B,2,FALSE))</f>
        <v/>
      </c>
      <c r="P77" t="str">
        <f>IF(ISNA(VLOOKUP(F77,技能表!$A:$B,2,FALSE)),"",VLOOKUP(F77,技能表!$A:$B,2,FALSE))</f>
        <v/>
      </c>
      <c r="Q77" t="str">
        <f>IF(ISNA(VLOOKUP(G77,技能表!$A:$B,2,FALSE)),"",VLOOKUP(G77,技能表!$A:$B,2,FALSE))</f>
        <v/>
      </c>
      <c r="R77" t="str">
        <f>IF(ISNA(VLOOKUP(H77,技能表!$A:$B,2,FALSE)),"",VLOOKUP(H77,技能表!$A:$B,2,FALSE))</f>
        <v/>
      </c>
      <c r="S77" t="str">
        <f>IF(ISNA(VLOOKUP(I77,技能表!$A:$B,2,FALSE)),"",VLOOKUP(I77,技能表!$A:$B,2,FALSE))</f>
        <v/>
      </c>
      <c r="T77" t="str">
        <f>IF(ISNA(VLOOKUP(J77,技能表!$A:$B,2,FALSE)),"",VLOOKUP(J77,技能表!$A:$B,2,FALSE))</f>
        <v/>
      </c>
      <c r="U77" t="str">
        <f>IF(ISNA(VLOOKUP(K77,技能表!$A:$B,2,FALSE)),"",VLOOKUP(K77,技能表!$A:$B,2,FALSE))</f>
        <v/>
      </c>
      <c r="V77" t="str">
        <f>IF(ISNA(VLOOKUP(L77,技能表!$A:$B,2,FALSE)),"",VLOOKUP(L77,技能表!$A:$B,2,FALSE))</f>
        <v/>
      </c>
      <c r="W77" t="str">
        <f>IF(ISNA(VLOOKUP(M77,技能表!$A:$B,2,FALSE)),"",VLOOKUP(M77,技能表!$A:$B,2,FALSE))</f>
        <v/>
      </c>
    </row>
    <row r="78" spans="3:23">
      <c r="C78" s="64"/>
      <c r="N78" t="str">
        <f>IF(ISNA(VLOOKUP(D78,技能表!$A:$B,2,FALSE)),"",VLOOKUP(D78,技能表!$A:$B,2,FALSE))</f>
        <v/>
      </c>
      <c r="O78" t="str">
        <f>IF(ISNA(VLOOKUP(E78,技能表!$A:$B,2,FALSE)),"",VLOOKUP(E78,技能表!$A:$B,2,FALSE))</f>
        <v/>
      </c>
      <c r="P78" t="str">
        <f>IF(ISNA(VLOOKUP(F78,技能表!$A:$B,2,FALSE)),"",VLOOKUP(F78,技能表!$A:$B,2,FALSE))</f>
        <v/>
      </c>
      <c r="Q78" t="str">
        <f>IF(ISNA(VLOOKUP(G78,技能表!$A:$B,2,FALSE)),"",VLOOKUP(G78,技能表!$A:$B,2,FALSE))</f>
        <v/>
      </c>
      <c r="R78" t="str">
        <f>IF(ISNA(VLOOKUP(H78,技能表!$A:$B,2,FALSE)),"",VLOOKUP(H78,技能表!$A:$B,2,FALSE))</f>
        <v/>
      </c>
      <c r="S78" t="str">
        <f>IF(ISNA(VLOOKUP(I78,技能表!$A:$B,2,FALSE)),"",VLOOKUP(I78,技能表!$A:$B,2,FALSE))</f>
        <v/>
      </c>
      <c r="T78" t="str">
        <f>IF(ISNA(VLOOKUP(J78,技能表!$A:$B,2,FALSE)),"",VLOOKUP(J78,技能表!$A:$B,2,FALSE))</f>
        <v/>
      </c>
      <c r="U78" t="str">
        <f>IF(ISNA(VLOOKUP(K78,技能表!$A:$B,2,FALSE)),"",VLOOKUP(K78,技能表!$A:$B,2,FALSE))</f>
        <v/>
      </c>
      <c r="V78" t="str">
        <f>IF(ISNA(VLOOKUP(L78,技能表!$A:$B,2,FALSE)),"",VLOOKUP(L78,技能表!$A:$B,2,FALSE))</f>
        <v/>
      </c>
      <c r="W78" t="str">
        <f>IF(ISNA(VLOOKUP(M78,技能表!$A:$B,2,FALSE)),"",VLOOKUP(M78,技能表!$A:$B,2,FALSE))</f>
        <v/>
      </c>
    </row>
    <row r="79" spans="3:23">
      <c r="C79" s="64"/>
      <c r="N79" t="str">
        <f>IF(ISNA(VLOOKUP(D79,技能表!$A:$B,2,FALSE)),"",VLOOKUP(D79,技能表!$A:$B,2,FALSE))</f>
        <v/>
      </c>
      <c r="O79" t="str">
        <f>IF(ISNA(VLOOKUP(E79,技能表!$A:$B,2,FALSE)),"",VLOOKUP(E79,技能表!$A:$B,2,FALSE))</f>
        <v/>
      </c>
      <c r="P79" t="str">
        <f>IF(ISNA(VLOOKUP(F79,技能表!$A:$B,2,FALSE)),"",VLOOKUP(F79,技能表!$A:$B,2,FALSE))</f>
        <v/>
      </c>
      <c r="Q79" t="str">
        <f>IF(ISNA(VLOOKUP(G79,技能表!$A:$B,2,FALSE)),"",VLOOKUP(G79,技能表!$A:$B,2,FALSE))</f>
        <v/>
      </c>
      <c r="R79" t="str">
        <f>IF(ISNA(VLOOKUP(H79,技能表!$A:$B,2,FALSE)),"",VLOOKUP(H79,技能表!$A:$B,2,FALSE))</f>
        <v/>
      </c>
      <c r="S79" t="str">
        <f>IF(ISNA(VLOOKUP(I79,技能表!$A:$B,2,FALSE)),"",VLOOKUP(I79,技能表!$A:$B,2,FALSE))</f>
        <v/>
      </c>
      <c r="T79" t="str">
        <f>IF(ISNA(VLOOKUP(J79,技能表!$A:$B,2,FALSE)),"",VLOOKUP(J79,技能表!$A:$B,2,FALSE))</f>
        <v/>
      </c>
      <c r="U79" t="str">
        <f>IF(ISNA(VLOOKUP(K79,技能表!$A:$B,2,FALSE)),"",VLOOKUP(K79,技能表!$A:$B,2,FALSE))</f>
        <v/>
      </c>
      <c r="V79" t="str">
        <f>IF(ISNA(VLOOKUP(L79,技能表!$A:$B,2,FALSE)),"",VLOOKUP(L79,技能表!$A:$B,2,FALSE))</f>
        <v/>
      </c>
      <c r="W79" t="str">
        <f>IF(ISNA(VLOOKUP(M79,技能表!$A:$B,2,FALSE)),"",VLOOKUP(M79,技能表!$A:$B,2,FALSE))</f>
        <v/>
      </c>
    </row>
    <row r="80" spans="3:23">
      <c r="C80" s="64"/>
      <c r="N80" t="str">
        <f>IF(ISNA(VLOOKUP(D80,技能表!$A:$B,2,FALSE)),"",VLOOKUP(D80,技能表!$A:$B,2,FALSE))</f>
        <v/>
      </c>
      <c r="O80" t="str">
        <f>IF(ISNA(VLOOKUP(E80,技能表!$A:$B,2,FALSE)),"",VLOOKUP(E80,技能表!$A:$B,2,FALSE))</f>
        <v/>
      </c>
      <c r="P80" t="str">
        <f>IF(ISNA(VLOOKUP(F80,技能表!$A:$B,2,FALSE)),"",VLOOKUP(F80,技能表!$A:$B,2,FALSE))</f>
        <v/>
      </c>
      <c r="Q80" t="str">
        <f>IF(ISNA(VLOOKUP(G80,技能表!$A:$B,2,FALSE)),"",VLOOKUP(G80,技能表!$A:$B,2,FALSE))</f>
        <v/>
      </c>
      <c r="R80" t="str">
        <f>IF(ISNA(VLOOKUP(H80,技能表!$A:$B,2,FALSE)),"",VLOOKUP(H80,技能表!$A:$B,2,FALSE))</f>
        <v/>
      </c>
      <c r="S80" t="str">
        <f>IF(ISNA(VLOOKUP(I80,技能表!$A:$B,2,FALSE)),"",VLOOKUP(I80,技能表!$A:$B,2,FALSE))</f>
        <v/>
      </c>
      <c r="T80" t="str">
        <f>IF(ISNA(VLOOKUP(J80,技能表!$A:$B,2,FALSE)),"",VLOOKUP(J80,技能表!$A:$B,2,FALSE))</f>
        <v/>
      </c>
      <c r="U80" t="str">
        <f>IF(ISNA(VLOOKUP(K80,技能表!$A:$B,2,FALSE)),"",VLOOKUP(K80,技能表!$A:$B,2,FALSE))</f>
        <v/>
      </c>
      <c r="V80" t="str">
        <f>IF(ISNA(VLOOKUP(L80,技能表!$A:$B,2,FALSE)),"",VLOOKUP(L80,技能表!$A:$B,2,FALSE))</f>
        <v/>
      </c>
      <c r="W80" t="str">
        <f>IF(ISNA(VLOOKUP(M80,技能表!$A:$B,2,FALSE)),"",VLOOKUP(M80,技能表!$A:$B,2,FALSE))</f>
        <v/>
      </c>
    </row>
    <row r="81" spans="3:23">
      <c r="C81" s="64"/>
      <c r="N81" t="str">
        <f>IF(ISNA(VLOOKUP(D81,技能表!$A:$B,2,FALSE)),"",VLOOKUP(D81,技能表!$A:$B,2,FALSE))</f>
        <v/>
      </c>
      <c r="O81" t="str">
        <f>IF(ISNA(VLOOKUP(E81,技能表!$A:$B,2,FALSE)),"",VLOOKUP(E81,技能表!$A:$B,2,FALSE))</f>
        <v/>
      </c>
      <c r="P81" t="str">
        <f>IF(ISNA(VLOOKUP(F81,技能表!$A:$B,2,FALSE)),"",VLOOKUP(F81,技能表!$A:$B,2,FALSE))</f>
        <v/>
      </c>
      <c r="Q81" t="str">
        <f>IF(ISNA(VLOOKUP(G81,技能表!$A:$B,2,FALSE)),"",VLOOKUP(G81,技能表!$A:$B,2,FALSE))</f>
        <v/>
      </c>
      <c r="R81" t="str">
        <f>IF(ISNA(VLOOKUP(H81,技能表!$A:$B,2,FALSE)),"",VLOOKUP(H81,技能表!$A:$B,2,FALSE))</f>
        <v/>
      </c>
      <c r="S81" t="str">
        <f>IF(ISNA(VLOOKUP(I81,技能表!$A:$B,2,FALSE)),"",VLOOKUP(I81,技能表!$A:$B,2,FALSE))</f>
        <v/>
      </c>
      <c r="T81" t="str">
        <f>IF(ISNA(VLOOKUP(J81,技能表!$A:$B,2,FALSE)),"",VLOOKUP(J81,技能表!$A:$B,2,FALSE))</f>
        <v/>
      </c>
      <c r="U81" t="str">
        <f>IF(ISNA(VLOOKUP(K81,技能表!$A:$B,2,FALSE)),"",VLOOKUP(K81,技能表!$A:$B,2,FALSE))</f>
        <v/>
      </c>
      <c r="V81" t="str">
        <f>IF(ISNA(VLOOKUP(L81,技能表!$A:$B,2,FALSE)),"",VLOOKUP(L81,技能表!$A:$B,2,FALSE))</f>
        <v/>
      </c>
      <c r="W81" t="str">
        <f>IF(ISNA(VLOOKUP(M81,技能表!$A:$B,2,FALSE)),"",VLOOKUP(M81,技能表!$A:$B,2,FALSE))</f>
        <v/>
      </c>
    </row>
    <row r="82" spans="3:23">
      <c r="C82" s="64"/>
      <c r="N82" t="str">
        <f>IF(ISNA(VLOOKUP(D82,技能表!$A:$B,2,FALSE)),"",VLOOKUP(D82,技能表!$A:$B,2,FALSE))</f>
        <v/>
      </c>
      <c r="O82" t="str">
        <f>IF(ISNA(VLOOKUP(E82,技能表!$A:$B,2,FALSE)),"",VLOOKUP(E82,技能表!$A:$B,2,FALSE))</f>
        <v/>
      </c>
      <c r="P82" t="str">
        <f>IF(ISNA(VLOOKUP(F82,技能表!$A:$B,2,FALSE)),"",VLOOKUP(F82,技能表!$A:$B,2,FALSE))</f>
        <v/>
      </c>
      <c r="Q82" t="str">
        <f>IF(ISNA(VLOOKUP(G82,技能表!$A:$B,2,FALSE)),"",VLOOKUP(G82,技能表!$A:$B,2,FALSE))</f>
        <v/>
      </c>
      <c r="R82" t="str">
        <f>IF(ISNA(VLOOKUP(H82,技能表!$A:$B,2,FALSE)),"",VLOOKUP(H82,技能表!$A:$B,2,FALSE))</f>
        <v/>
      </c>
      <c r="S82" t="str">
        <f>IF(ISNA(VLOOKUP(I82,技能表!$A:$B,2,FALSE)),"",VLOOKUP(I82,技能表!$A:$B,2,FALSE))</f>
        <v/>
      </c>
      <c r="T82" t="str">
        <f>IF(ISNA(VLOOKUP(J82,技能表!$A:$B,2,FALSE)),"",VLOOKUP(J82,技能表!$A:$B,2,FALSE))</f>
        <v/>
      </c>
      <c r="U82" t="str">
        <f>IF(ISNA(VLOOKUP(K82,技能表!$A:$B,2,FALSE)),"",VLOOKUP(K82,技能表!$A:$B,2,FALSE))</f>
        <v/>
      </c>
      <c r="V82" t="str">
        <f>IF(ISNA(VLOOKUP(L82,技能表!$A:$B,2,FALSE)),"",VLOOKUP(L82,技能表!$A:$B,2,FALSE))</f>
        <v/>
      </c>
      <c r="W82" t="str">
        <f>IF(ISNA(VLOOKUP(M82,技能表!$A:$B,2,FALSE)),"",VLOOKUP(M82,技能表!$A:$B,2,FALSE))</f>
        <v/>
      </c>
    </row>
    <row r="83" spans="3:23">
      <c r="C83" s="64"/>
      <c r="N83" t="str">
        <f>IF(ISNA(VLOOKUP(D83,技能表!$A:$B,2,FALSE)),"",VLOOKUP(D83,技能表!$A:$B,2,FALSE))</f>
        <v/>
      </c>
      <c r="O83" t="str">
        <f>IF(ISNA(VLOOKUP(E83,技能表!$A:$B,2,FALSE)),"",VLOOKUP(E83,技能表!$A:$B,2,FALSE))</f>
        <v/>
      </c>
      <c r="P83" t="str">
        <f>IF(ISNA(VLOOKUP(F83,技能表!$A:$B,2,FALSE)),"",VLOOKUP(F83,技能表!$A:$B,2,FALSE))</f>
        <v/>
      </c>
      <c r="Q83" t="str">
        <f>IF(ISNA(VLOOKUP(G83,技能表!$A:$B,2,FALSE)),"",VLOOKUP(G83,技能表!$A:$B,2,FALSE))</f>
        <v/>
      </c>
      <c r="R83" t="str">
        <f>IF(ISNA(VLOOKUP(H83,技能表!$A:$B,2,FALSE)),"",VLOOKUP(H83,技能表!$A:$B,2,FALSE))</f>
        <v/>
      </c>
      <c r="S83" t="str">
        <f>IF(ISNA(VLOOKUP(I83,技能表!$A:$B,2,FALSE)),"",VLOOKUP(I83,技能表!$A:$B,2,FALSE))</f>
        <v/>
      </c>
      <c r="T83" t="str">
        <f>IF(ISNA(VLOOKUP(J83,技能表!$A:$B,2,FALSE)),"",VLOOKUP(J83,技能表!$A:$B,2,FALSE))</f>
        <v/>
      </c>
      <c r="U83" t="str">
        <f>IF(ISNA(VLOOKUP(K83,技能表!$A:$B,2,FALSE)),"",VLOOKUP(K83,技能表!$A:$B,2,FALSE))</f>
        <v/>
      </c>
      <c r="V83" t="str">
        <f>IF(ISNA(VLOOKUP(L83,技能表!$A:$B,2,FALSE)),"",VLOOKUP(L83,技能表!$A:$B,2,FALSE))</f>
        <v/>
      </c>
      <c r="W83" t="str">
        <f>IF(ISNA(VLOOKUP(M83,技能表!$A:$B,2,FALSE)),"",VLOOKUP(M83,技能表!$A:$B,2,FALSE))</f>
        <v/>
      </c>
    </row>
    <row r="84" spans="3:23">
      <c r="C84" s="64"/>
      <c r="N84" t="str">
        <f>IF(ISNA(VLOOKUP(D84,技能表!$A:$B,2,FALSE)),"",VLOOKUP(D84,技能表!$A:$B,2,FALSE))</f>
        <v/>
      </c>
      <c r="O84" t="str">
        <f>IF(ISNA(VLOOKUP(E84,技能表!$A:$B,2,FALSE)),"",VLOOKUP(E84,技能表!$A:$B,2,FALSE))</f>
        <v/>
      </c>
      <c r="P84" t="str">
        <f>IF(ISNA(VLOOKUP(F84,技能表!$A:$B,2,FALSE)),"",VLOOKUP(F84,技能表!$A:$B,2,FALSE))</f>
        <v/>
      </c>
      <c r="Q84" t="str">
        <f>IF(ISNA(VLOOKUP(G84,技能表!$A:$B,2,FALSE)),"",VLOOKUP(G84,技能表!$A:$B,2,FALSE))</f>
        <v/>
      </c>
      <c r="R84" t="str">
        <f>IF(ISNA(VLOOKUP(H84,技能表!$A:$B,2,FALSE)),"",VLOOKUP(H84,技能表!$A:$B,2,FALSE))</f>
        <v/>
      </c>
      <c r="S84" t="str">
        <f>IF(ISNA(VLOOKUP(I84,技能表!$A:$B,2,FALSE)),"",VLOOKUP(I84,技能表!$A:$B,2,FALSE))</f>
        <v/>
      </c>
      <c r="T84" t="str">
        <f>IF(ISNA(VLOOKUP(J84,技能表!$A:$B,2,FALSE)),"",VLOOKUP(J84,技能表!$A:$B,2,FALSE))</f>
        <v/>
      </c>
      <c r="U84" t="str">
        <f>IF(ISNA(VLOOKUP(K84,技能表!$A:$B,2,FALSE)),"",VLOOKUP(K84,技能表!$A:$B,2,FALSE))</f>
        <v/>
      </c>
      <c r="V84" t="str">
        <f>IF(ISNA(VLOOKUP(L84,技能表!$A:$B,2,FALSE)),"",VLOOKUP(L84,技能表!$A:$B,2,FALSE))</f>
        <v/>
      </c>
      <c r="W84" t="str">
        <f>IF(ISNA(VLOOKUP(M84,技能表!$A:$B,2,FALSE)),"",VLOOKUP(M84,技能表!$A:$B,2,FALSE))</f>
        <v/>
      </c>
    </row>
    <row r="85" spans="3:23">
      <c r="C85" s="64"/>
      <c r="N85" t="str">
        <f>IF(ISNA(VLOOKUP(D85,技能表!$A:$B,2,FALSE)),"",VLOOKUP(D85,技能表!$A:$B,2,FALSE))</f>
        <v/>
      </c>
      <c r="O85" t="str">
        <f>IF(ISNA(VLOOKUP(E85,技能表!$A:$B,2,FALSE)),"",VLOOKUP(E85,技能表!$A:$B,2,FALSE))</f>
        <v/>
      </c>
      <c r="P85" t="str">
        <f>IF(ISNA(VLOOKUP(F85,技能表!$A:$B,2,FALSE)),"",VLOOKUP(F85,技能表!$A:$B,2,FALSE))</f>
        <v/>
      </c>
      <c r="Q85" t="str">
        <f>IF(ISNA(VLOOKUP(G85,技能表!$A:$B,2,FALSE)),"",VLOOKUP(G85,技能表!$A:$B,2,FALSE))</f>
        <v/>
      </c>
      <c r="R85" t="str">
        <f>IF(ISNA(VLOOKUP(H85,技能表!$A:$B,2,FALSE)),"",VLOOKUP(H85,技能表!$A:$B,2,FALSE))</f>
        <v/>
      </c>
      <c r="S85" t="str">
        <f>IF(ISNA(VLOOKUP(I85,技能表!$A:$B,2,FALSE)),"",VLOOKUP(I85,技能表!$A:$B,2,FALSE))</f>
        <v/>
      </c>
      <c r="T85" t="str">
        <f>IF(ISNA(VLOOKUP(J85,技能表!$A:$B,2,FALSE)),"",VLOOKUP(J85,技能表!$A:$B,2,FALSE))</f>
        <v/>
      </c>
      <c r="U85" t="str">
        <f>IF(ISNA(VLOOKUP(K85,技能表!$A:$B,2,FALSE)),"",VLOOKUP(K85,技能表!$A:$B,2,FALSE))</f>
        <v/>
      </c>
      <c r="V85" t="str">
        <f>IF(ISNA(VLOOKUP(L85,技能表!$A:$B,2,FALSE)),"",VLOOKUP(L85,技能表!$A:$B,2,FALSE))</f>
        <v/>
      </c>
      <c r="W85" t="str">
        <f>IF(ISNA(VLOOKUP(M85,技能表!$A:$B,2,FALSE)),"",VLOOKUP(M85,技能表!$A:$B,2,FALSE))</f>
        <v/>
      </c>
    </row>
    <row r="86" spans="3:23">
      <c r="C86" s="64"/>
      <c r="N86" t="str">
        <f>IF(ISNA(VLOOKUP(D86,技能表!$A:$B,2,FALSE)),"",VLOOKUP(D86,技能表!$A:$B,2,FALSE))</f>
        <v/>
      </c>
      <c r="O86" t="str">
        <f>IF(ISNA(VLOOKUP(E86,技能表!$A:$B,2,FALSE)),"",VLOOKUP(E86,技能表!$A:$B,2,FALSE))</f>
        <v/>
      </c>
      <c r="P86" t="str">
        <f>IF(ISNA(VLOOKUP(F86,技能表!$A:$B,2,FALSE)),"",VLOOKUP(F86,技能表!$A:$B,2,FALSE))</f>
        <v/>
      </c>
      <c r="Q86" t="str">
        <f>IF(ISNA(VLOOKUP(G86,技能表!$A:$B,2,FALSE)),"",VLOOKUP(G86,技能表!$A:$B,2,FALSE))</f>
        <v/>
      </c>
      <c r="R86" t="str">
        <f>IF(ISNA(VLOOKUP(H86,技能表!$A:$B,2,FALSE)),"",VLOOKUP(H86,技能表!$A:$B,2,FALSE))</f>
        <v/>
      </c>
      <c r="S86" t="str">
        <f>IF(ISNA(VLOOKUP(I86,技能表!$A:$B,2,FALSE)),"",VLOOKUP(I86,技能表!$A:$B,2,FALSE))</f>
        <v/>
      </c>
      <c r="T86" t="str">
        <f>IF(ISNA(VLOOKUP(J86,技能表!$A:$B,2,FALSE)),"",VLOOKUP(J86,技能表!$A:$B,2,FALSE))</f>
        <v/>
      </c>
      <c r="U86" t="str">
        <f>IF(ISNA(VLOOKUP(K86,技能表!$A:$B,2,FALSE)),"",VLOOKUP(K86,技能表!$A:$B,2,FALSE))</f>
        <v/>
      </c>
      <c r="V86" t="str">
        <f>IF(ISNA(VLOOKUP(L86,技能表!$A:$B,2,FALSE)),"",VLOOKUP(L86,技能表!$A:$B,2,FALSE))</f>
        <v/>
      </c>
      <c r="W86" t="str">
        <f>IF(ISNA(VLOOKUP(M86,技能表!$A:$B,2,FALSE)),"",VLOOKUP(M86,技能表!$A:$B,2,FALSE))</f>
        <v/>
      </c>
    </row>
    <row r="87" spans="3:23">
      <c r="C87" s="64"/>
      <c r="N87" t="str">
        <f>IF(ISNA(VLOOKUP(D87,技能表!$A:$B,2,FALSE)),"",VLOOKUP(D87,技能表!$A:$B,2,FALSE))</f>
        <v/>
      </c>
      <c r="O87" t="str">
        <f>IF(ISNA(VLOOKUP(E87,技能表!$A:$B,2,FALSE)),"",VLOOKUP(E87,技能表!$A:$B,2,FALSE))</f>
        <v/>
      </c>
      <c r="P87" t="str">
        <f>IF(ISNA(VLOOKUP(F87,技能表!$A:$B,2,FALSE)),"",VLOOKUP(F87,技能表!$A:$B,2,FALSE))</f>
        <v/>
      </c>
      <c r="Q87" t="str">
        <f>IF(ISNA(VLOOKUP(G87,技能表!$A:$B,2,FALSE)),"",VLOOKUP(G87,技能表!$A:$B,2,FALSE))</f>
        <v/>
      </c>
      <c r="R87" t="str">
        <f>IF(ISNA(VLOOKUP(H87,技能表!$A:$B,2,FALSE)),"",VLOOKUP(H87,技能表!$A:$B,2,FALSE))</f>
        <v/>
      </c>
      <c r="S87" t="str">
        <f>IF(ISNA(VLOOKUP(I87,技能表!$A:$B,2,FALSE)),"",VLOOKUP(I87,技能表!$A:$B,2,FALSE))</f>
        <v/>
      </c>
      <c r="T87" t="str">
        <f>IF(ISNA(VLOOKUP(J87,技能表!$A:$B,2,FALSE)),"",VLOOKUP(J87,技能表!$A:$B,2,FALSE))</f>
        <v/>
      </c>
      <c r="U87" t="str">
        <f>IF(ISNA(VLOOKUP(K87,技能表!$A:$B,2,FALSE)),"",VLOOKUP(K87,技能表!$A:$B,2,FALSE))</f>
        <v/>
      </c>
      <c r="V87" t="str">
        <f>IF(ISNA(VLOOKUP(L87,技能表!$A:$B,2,FALSE)),"",VLOOKUP(L87,技能表!$A:$B,2,FALSE))</f>
        <v/>
      </c>
      <c r="W87" t="str">
        <f>IF(ISNA(VLOOKUP(M87,技能表!$A:$B,2,FALSE)),"",VLOOKUP(M87,技能表!$A:$B,2,FALSE))</f>
        <v/>
      </c>
    </row>
    <row r="88" spans="3:23">
      <c r="C88" s="64"/>
      <c r="N88" t="str">
        <f>IF(ISNA(VLOOKUP(D88,技能表!$A:$B,2,FALSE)),"",VLOOKUP(D88,技能表!$A:$B,2,FALSE))</f>
        <v/>
      </c>
      <c r="O88" t="str">
        <f>IF(ISNA(VLOOKUP(E88,技能表!$A:$B,2,FALSE)),"",VLOOKUP(E88,技能表!$A:$B,2,FALSE))</f>
        <v/>
      </c>
      <c r="P88" t="str">
        <f>IF(ISNA(VLOOKUP(F88,技能表!$A:$B,2,FALSE)),"",VLOOKUP(F88,技能表!$A:$B,2,FALSE))</f>
        <v/>
      </c>
      <c r="Q88" t="str">
        <f>IF(ISNA(VLOOKUP(G88,技能表!$A:$B,2,FALSE)),"",VLOOKUP(G88,技能表!$A:$B,2,FALSE))</f>
        <v/>
      </c>
      <c r="R88" t="str">
        <f>IF(ISNA(VLOOKUP(H88,技能表!$A:$B,2,FALSE)),"",VLOOKUP(H88,技能表!$A:$B,2,FALSE))</f>
        <v/>
      </c>
      <c r="S88" t="str">
        <f>IF(ISNA(VLOOKUP(I88,技能表!$A:$B,2,FALSE)),"",VLOOKUP(I88,技能表!$A:$B,2,FALSE))</f>
        <v/>
      </c>
      <c r="T88" t="str">
        <f>IF(ISNA(VLOOKUP(J88,技能表!$A:$B,2,FALSE)),"",VLOOKUP(J88,技能表!$A:$B,2,FALSE))</f>
        <v/>
      </c>
      <c r="U88" t="str">
        <f>IF(ISNA(VLOOKUP(K88,技能表!$A:$B,2,FALSE)),"",VLOOKUP(K88,技能表!$A:$B,2,FALSE))</f>
        <v/>
      </c>
      <c r="V88" t="str">
        <f>IF(ISNA(VLOOKUP(L88,技能表!$A:$B,2,FALSE)),"",VLOOKUP(L88,技能表!$A:$B,2,FALSE))</f>
        <v/>
      </c>
      <c r="W88" t="str">
        <f>IF(ISNA(VLOOKUP(M88,技能表!$A:$B,2,FALSE)),"",VLOOKUP(M88,技能表!$A:$B,2,FALSE))</f>
        <v/>
      </c>
    </row>
    <row r="89" spans="3:23">
      <c r="C89" s="64"/>
      <c r="N89" t="str">
        <f>IF(ISNA(VLOOKUP(D89,技能表!$A:$B,2,FALSE)),"",VLOOKUP(D89,技能表!$A:$B,2,FALSE))</f>
        <v/>
      </c>
      <c r="O89" t="str">
        <f>IF(ISNA(VLOOKUP(E89,技能表!$A:$B,2,FALSE)),"",VLOOKUP(E89,技能表!$A:$B,2,FALSE))</f>
        <v/>
      </c>
      <c r="P89" t="str">
        <f>IF(ISNA(VLOOKUP(F89,技能表!$A:$B,2,FALSE)),"",VLOOKUP(F89,技能表!$A:$B,2,FALSE))</f>
        <v/>
      </c>
      <c r="Q89" t="str">
        <f>IF(ISNA(VLOOKUP(G89,技能表!$A:$B,2,FALSE)),"",VLOOKUP(G89,技能表!$A:$B,2,FALSE))</f>
        <v/>
      </c>
      <c r="R89" t="str">
        <f>IF(ISNA(VLOOKUP(H89,技能表!$A:$B,2,FALSE)),"",VLOOKUP(H89,技能表!$A:$B,2,FALSE))</f>
        <v/>
      </c>
      <c r="S89" t="str">
        <f>IF(ISNA(VLOOKUP(I89,技能表!$A:$B,2,FALSE)),"",VLOOKUP(I89,技能表!$A:$B,2,FALSE))</f>
        <v/>
      </c>
      <c r="T89" t="str">
        <f>IF(ISNA(VLOOKUP(J89,技能表!$A:$B,2,FALSE)),"",VLOOKUP(J89,技能表!$A:$B,2,FALSE))</f>
        <v/>
      </c>
      <c r="U89" t="str">
        <f>IF(ISNA(VLOOKUP(K89,技能表!$A:$B,2,FALSE)),"",VLOOKUP(K89,技能表!$A:$B,2,FALSE))</f>
        <v/>
      </c>
      <c r="V89" t="str">
        <f>IF(ISNA(VLOOKUP(L89,技能表!$A:$B,2,FALSE)),"",VLOOKUP(L89,技能表!$A:$B,2,FALSE))</f>
        <v/>
      </c>
      <c r="W89" t="str">
        <f>IF(ISNA(VLOOKUP(M89,技能表!$A:$B,2,FALSE)),"",VLOOKUP(M89,技能表!$A:$B,2,FALSE))</f>
        <v/>
      </c>
    </row>
    <row r="90" spans="3:23">
      <c r="C90" s="64"/>
      <c r="N90" t="str">
        <f>IF(ISNA(VLOOKUP(D90,技能表!$A:$B,2,FALSE)),"",VLOOKUP(D90,技能表!$A:$B,2,FALSE))</f>
        <v/>
      </c>
      <c r="O90" t="str">
        <f>IF(ISNA(VLOOKUP(E90,技能表!$A:$B,2,FALSE)),"",VLOOKUP(E90,技能表!$A:$B,2,FALSE))</f>
        <v/>
      </c>
      <c r="P90" t="str">
        <f>IF(ISNA(VLOOKUP(F90,技能表!$A:$B,2,FALSE)),"",VLOOKUP(F90,技能表!$A:$B,2,FALSE))</f>
        <v/>
      </c>
      <c r="Q90" t="str">
        <f>IF(ISNA(VLOOKUP(G90,技能表!$A:$B,2,FALSE)),"",VLOOKUP(G90,技能表!$A:$B,2,FALSE))</f>
        <v/>
      </c>
      <c r="R90" t="str">
        <f>IF(ISNA(VLOOKUP(H90,技能表!$A:$B,2,FALSE)),"",VLOOKUP(H90,技能表!$A:$B,2,FALSE))</f>
        <v/>
      </c>
      <c r="S90" t="str">
        <f>IF(ISNA(VLOOKUP(I90,技能表!$A:$B,2,FALSE)),"",VLOOKUP(I90,技能表!$A:$B,2,FALSE))</f>
        <v/>
      </c>
      <c r="T90" t="str">
        <f>IF(ISNA(VLOOKUP(J90,技能表!$A:$B,2,FALSE)),"",VLOOKUP(J90,技能表!$A:$B,2,FALSE))</f>
        <v/>
      </c>
      <c r="U90" t="str">
        <f>IF(ISNA(VLOOKUP(K90,技能表!$A:$B,2,FALSE)),"",VLOOKUP(K90,技能表!$A:$B,2,FALSE))</f>
        <v/>
      </c>
      <c r="V90" t="str">
        <f>IF(ISNA(VLOOKUP(L90,技能表!$A:$B,2,FALSE)),"",VLOOKUP(L90,技能表!$A:$B,2,FALSE))</f>
        <v/>
      </c>
      <c r="W90" t="str">
        <f>IF(ISNA(VLOOKUP(M90,技能表!$A:$B,2,FALSE)),"",VLOOKUP(M90,技能表!$A:$B,2,FALSE))</f>
        <v/>
      </c>
    </row>
    <row r="91" spans="3:23">
      <c r="C91" s="64"/>
      <c r="N91" t="str">
        <f>IF(ISNA(VLOOKUP(D91,技能表!$A:$B,2,FALSE)),"",VLOOKUP(D91,技能表!$A:$B,2,FALSE))</f>
        <v/>
      </c>
      <c r="O91" t="str">
        <f>IF(ISNA(VLOOKUP(E91,技能表!$A:$B,2,FALSE)),"",VLOOKUP(E91,技能表!$A:$B,2,FALSE))</f>
        <v/>
      </c>
      <c r="P91" t="str">
        <f>IF(ISNA(VLOOKUP(F91,技能表!$A:$B,2,FALSE)),"",VLOOKUP(F91,技能表!$A:$B,2,FALSE))</f>
        <v/>
      </c>
      <c r="Q91" t="str">
        <f>IF(ISNA(VLOOKUP(G91,技能表!$A:$B,2,FALSE)),"",VLOOKUP(G91,技能表!$A:$B,2,FALSE))</f>
        <v/>
      </c>
      <c r="R91" t="str">
        <f>IF(ISNA(VLOOKUP(H91,技能表!$A:$B,2,FALSE)),"",VLOOKUP(H91,技能表!$A:$B,2,FALSE))</f>
        <v/>
      </c>
      <c r="S91" t="str">
        <f>IF(ISNA(VLOOKUP(I91,技能表!$A:$B,2,FALSE)),"",VLOOKUP(I91,技能表!$A:$B,2,FALSE))</f>
        <v/>
      </c>
      <c r="T91" t="str">
        <f>IF(ISNA(VLOOKUP(J91,技能表!$A:$B,2,FALSE)),"",VLOOKUP(J91,技能表!$A:$B,2,FALSE))</f>
        <v/>
      </c>
      <c r="U91" t="str">
        <f>IF(ISNA(VLOOKUP(K91,技能表!$A:$B,2,FALSE)),"",VLOOKUP(K91,技能表!$A:$B,2,FALSE))</f>
        <v/>
      </c>
      <c r="V91" t="str">
        <f>IF(ISNA(VLOOKUP(L91,技能表!$A:$B,2,FALSE)),"",VLOOKUP(L91,技能表!$A:$B,2,FALSE))</f>
        <v/>
      </c>
      <c r="W91" t="str">
        <f>IF(ISNA(VLOOKUP(M91,技能表!$A:$B,2,FALSE)),"",VLOOKUP(M91,技能表!$A:$B,2,FALSE))</f>
        <v/>
      </c>
    </row>
    <row r="92" spans="3:23">
      <c r="C92" s="64"/>
      <c r="N92" t="str">
        <f>IF(ISNA(VLOOKUP(D92,技能表!$A:$B,2,FALSE)),"",VLOOKUP(D92,技能表!$A:$B,2,FALSE))</f>
        <v/>
      </c>
      <c r="O92" t="str">
        <f>IF(ISNA(VLOOKUP(E92,技能表!$A:$B,2,FALSE)),"",VLOOKUP(E92,技能表!$A:$B,2,FALSE))</f>
        <v/>
      </c>
      <c r="P92" t="str">
        <f>IF(ISNA(VLOOKUP(F92,技能表!$A:$B,2,FALSE)),"",VLOOKUP(F92,技能表!$A:$B,2,FALSE))</f>
        <v/>
      </c>
      <c r="Q92" t="str">
        <f>IF(ISNA(VLOOKUP(G92,技能表!$A:$B,2,FALSE)),"",VLOOKUP(G92,技能表!$A:$B,2,FALSE))</f>
        <v/>
      </c>
      <c r="R92" t="str">
        <f>IF(ISNA(VLOOKUP(H92,技能表!$A:$B,2,FALSE)),"",VLOOKUP(H92,技能表!$A:$B,2,FALSE))</f>
        <v/>
      </c>
      <c r="S92" t="str">
        <f>IF(ISNA(VLOOKUP(I92,技能表!$A:$B,2,FALSE)),"",VLOOKUP(I92,技能表!$A:$B,2,FALSE))</f>
        <v/>
      </c>
      <c r="T92" t="str">
        <f>IF(ISNA(VLOOKUP(J92,技能表!$A:$B,2,FALSE)),"",VLOOKUP(J92,技能表!$A:$B,2,FALSE))</f>
        <v/>
      </c>
      <c r="U92" t="str">
        <f>IF(ISNA(VLOOKUP(K92,技能表!$A:$B,2,FALSE)),"",VLOOKUP(K92,技能表!$A:$B,2,FALSE))</f>
        <v/>
      </c>
      <c r="V92" t="str">
        <f>IF(ISNA(VLOOKUP(L92,技能表!$A:$B,2,FALSE)),"",VLOOKUP(L92,技能表!$A:$B,2,FALSE))</f>
        <v/>
      </c>
      <c r="W92" t="str">
        <f>IF(ISNA(VLOOKUP(M92,技能表!$A:$B,2,FALSE)),"",VLOOKUP(M92,技能表!$A:$B,2,FALSE))</f>
        <v/>
      </c>
    </row>
    <row r="93" spans="3:23">
      <c r="C93" s="64"/>
      <c r="N93" t="str">
        <f>IF(ISNA(VLOOKUP(D93,技能表!$A:$B,2,FALSE)),"",VLOOKUP(D93,技能表!$A:$B,2,FALSE))</f>
        <v/>
      </c>
      <c r="O93" t="str">
        <f>IF(ISNA(VLOOKUP(E93,技能表!$A:$B,2,FALSE)),"",VLOOKUP(E93,技能表!$A:$B,2,FALSE))</f>
        <v/>
      </c>
      <c r="P93" t="str">
        <f>IF(ISNA(VLOOKUP(F93,技能表!$A:$B,2,FALSE)),"",VLOOKUP(F93,技能表!$A:$B,2,FALSE))</f>
        <v/>
      </c>
      <c r="Q93" t="str">
        <f>IF(ISNA(VLOOKUP(G93,技能表!$A:$B,2,FALSE)),"",VLOOKUP(G93,技能表!$A:$B,2,FALSE))</f>
        <v/>
      </c>
      <c r="R93" t="str">
        <f>IF(ISNA(VLOOKUP(H93,技能表!$A:$B,2,FALSE)),"",VLOOKUP(H93,技能表!$A:$B,2,FALSE))</f>
        <v/>
      </c>
      <c r="S93" t="str">
        <f>IF(ISNA(VLOOKUP(I93,技能表!$A:$B,2,FALSE)),"",VLOOKUP(I93,技能表!$A:$B,2,FALSE))</f>
        <v/>
      </c>
      <c r="T93" t="str">
        <f>IF(ISNA(VLOOKUP(J93,技能表!$A:$B,2,FALSE)),"",VLOOKUP(J93,技能表!$A:$B,2,FALSE))</f>
        <v/>
      </c>
      <c r="U93" t="str">
        <f>IF(ISNA(VLOOKUP(K93,技能表!$A:$B,2,FALSE)),"",VLOOKUP(K93,技能表!$A:$B,2,FALSE))</f>
        <v/>
      </c>
      <c r="V93" t="str">
        <f>IF(ISNA(VLOOKUP(L93,技能表!$A:$B,2,FALSE)),"",VLOOKUP(L93,技能表!$A:$B,2,FALSE))</f>
        <v/>
      </c>
      <c r="W93" t="str">
        <f>IF(ISNA(VLOOKUP(M93,技能表!$A:$B,2,FALSE)),"",VLOOKUP(M93,技能表!$A:$B,2,FALSE))</f>
        <v/>
      </c>
    </row>
    <row r="94" spans="3:23">
      <c r="C94" s="64"/>
      <c r="N94" t="str">
        <f>IF(ISNA(VLOOKUP(D94,技能表!$A:$B,2,FALSE)),"",VLOOKUP(D94,技能表!$A:$B,2,FALSE))</f>
        <v/>
      </c>
      <c r="O94" t="str">
        <f>IF(ISNA(VLOOKUP(E94,技能表!$A:$B,2,FALSE)),"",VLOOKUP(E94,技能表!$A:$B,2,FALSE))</f>
        <v/>
      </c>
      <c r="P94" t="str">
        <f>IF(ISNA(VLOOKUP(F94,技能表!$A:$B,2,FALSE)),"",VLOOKUP(F94,技能表!$A:$B,2,FALSE))</f>
        <v/>
      </c>
      <c r="Q94" t="str">
        <f>IF(ISNA(VLOOKUP(G94,技能表!$A:$B,2,FALSE)),"",VLOOKUP(G94,技能表!$A:$B,2,FALSE))</f>
        <v/>
      </c>
      <c r="R94" t="str">
        <f>IF(ISNA(VLOOKUP(H94,技能表!$A:$B,2,FALSE)),"",VLOOKUP(H94,技能表!$A:$B,2,FALSE))</f>
        <v/>
      </c>
      <c r="S94" t="str">
        <f>IF(ISNA(VLOOKUP(I94,技能表!$A:$B,2,FALSE)),"",VLOOKUP(I94,技能表!$A:$B,2,FALSE))</f>
        <v/>
      </c>
      <c r="T94" t="str">
        <f>IF(ISNA(VLOOKUP(J94,技能表!$A:$B,2,FALSE)),"",VLOOKUP(J94,技能表!$A:$B,2,FALSE))</f>
        <v/>
      </c>
      <c r="U94" t="str">
        <f>IF(ISNA(VLOOKUP(K94,技能表!$A:$B,2,FALSE)),"",VLOOKUP(K94,技能表!$A:$B,2,FALSE))</f>
        <v/>
      </c>
      <c r="V94" t="str">
        <f>IF(ISNA(VLOOKUP(L94,技能表!$A:$B,2,FALSE)),"",VLOOKUP(L94,技能表!$A:$B,2,FALSE))</f>
        <v/>
      </c>
      <c r="W94" t="str">
        <f>IF(ISNA(VLOOKUP(M94,技能表!$A:$B,2,FALSE)),"",VLOOKUP(M94,技能表!$A:$B,2,FALSE))</f>
        <v/>
      </c>
    </row>
    <row r="95" spans="3:23">
      <c r="C95" s="24"/>
      <c r="N95" t="str">
        <f>IF(ISNA(VLOOKUP(D95,技能表!$A:$B,2,FALSE)),"",VLOOKUP(D95,技能表!$A:$B,2,FALSE))</f>
        <v/>
      </c>
      <c r="O95" t="str">
        <f>IF(ISNA(VLOOKUP(E95,技能表!$A:$B,2,FALSE)),"",VLOOKUP(E95,技能表!$A:$B,2,FALSE))</f>
        <v/>
      </c>
      <c r="P95" t="str">
        <f>IF(ISNA(VLOOKUP(F95,技能表!$A:$B,2,FALSE)),"",VLOOKUP(F95,技能表!$A:$B,2,FALSE))</f>
        <v/>
      </c>
      <c r="Q95" t="str">
        <f>IF(ISNA(VLOOKUP(G95,技能表!$A:$B,2,FALSE)),"",VLOOKUP(G95,技能表!$A:$B,2,FALSE))</f>
        <v/>
      </c>
      <c r="R95" t="str">
        <f>IF(ISNA(VLOOKUP(H95,技能表!$A:$B,2,FALSE)),"",VLOOKUP(H95,技能表!$A:$B,2,FALSE))</f>
        <v/>
      </c>
      <c r="S95" t="str">
        <f>IF(ISNA(VLOOKUP(I95,技能表!$A:$B,2,FALSE)),"",VLOOKUP(I95,技能表!$A:$B,2,FALSE))</f>
        <v/>
      </c>
      <c r="T95" t="str">
        <f>IF(ISNA(VLOOKUP(J95,技能表!$A:$B,2,FALSE)),"",VLOOKUP(J95,技能表!$A:$B,2,FALSE))</f>
        <v/>
      </c>
      <c r="U95" t="str">
        <f>IF(ISNA(VLOOKUP(K95,技能表!$A:$B,2,FALSE)),"",VLOOKUP(K95,技能表!$A:$B,2,FALSE))</f>
        <v/>
      </c>
      <c r="V95" t="str">
        <f>IF(ISNA(VLOOKUP(L95,技能表!$A:$B,2,FALSE)),"",VLOOKUP(L95,技能表!$A:$B,2,FALSE))</f>
        <v/>
      </c>
      <c r="W95" t="str">
        <f>IF(ISNA(VLOOKUP(M95,技能表!$A:$B,2,FALSE)),"",VLOOKUP(M95,技能表!$A:$B,2,FALSE))</f>
        <v/>
      </c>
    </row>
    <row r="96" spans="3:23">
      <c r="C96" s="64"/>
      <c r="N96" t="str">
        <f>IF(ISNA(VLOOKUP(D96,技能表!$A:$B,2,FALSE)),"",VLOOKUP(D96,技能表!$A:$B,2,FALSE))</f>
        <v/>
      </c>
      <c r="O96" t="str">
        <f>IF(ISNA(VLOOKUP(E96,技能表!$A:$B,2,FALSE)),"",VLOOKUP(E96,技能表!$A:$B,2,FALSE))</f>
        <v/>
      </c>
      <c r="P96" t="str">
        <f>IF(ISNA(VLOOKUP(F96,技能表!$A:$B,2,FALSE)),"",VLOOKUP(F96,技能表!$A:$B,2,FALSE))</f>
        <v/>
      </c>
      <c r="Q96" t="str">
        <f>IF(ISNA(VLOOKUP(G96,技能表!$A:$B,2,FALSE)),"",VLOOKUP(G96,技能表!$A:$B,2,FALSE))</f>
        <v/>
      </c>
      <c r="R96" t="str">
        <f>IF(ISNA(VLOOKUP(H96,技能表!$A:$B,2,FALSE)),"",VLOOKUP(H96,技能表!$A:$B,2,FALSE))</f>
        <v/>
      </c>
      <c r="S96" t="str">
        <f>IF(ISNA(VLOOKUP(I96,技能表!$A:$B,2,FALSE)),"",VLOOKUP(I96,技能表!$A:$B,2,FALSE))</f>
        <v/>
      </c>
      <c r="T96" t="str">
        <f>IF(ISNA(VLOOKUP(J96,技能表!$A:$B,2,FALSE)),"",VLOOKUP(J96,技能表!$A:$B,2,FALSE))</f>
        <v/>
      </c>
      <c r="U96" t="str">
        <f>IF(ISNA(VLOOKUP(K96,技能表!$A:$B,2,FALSE)),"",VLOOKUP(K96,技能表!$A:$B,2,FALSE))</f>
        <v/>
      </c>
      <c r="V96" t="str">
        <f>IF(ISNA(VLOOKUP(L96,技能表!$A:$B,2,FALSE)),"",VLOOKUP(L96,技能表!$A:$B,2,FALSE))</f>
        <v/>
      </c>
      <c r="W96" t="str">
        <f>IF(ISNA(VLOOKUP(M96,技能表!$A:$B,2,FALSE)),"",VLOOKUP(M96,技能表!$A:$B,2,FALSE))</f>
        <v/>
      </c>
    </row>
    <row r="97" spans="3:23">
      <c r="C97" s="64"/>
      <c r="N97" t="str">
        <f>IF(ISNA(VLOOKUP(D97,技能表!$A:$B,2,FALSE)),"",VLOOKUP(D97,技能表!$A:$B,2,FALSE))</f>
        <v/>
      </c>
      <c r="O97" t="str">
        <f>IF(ISNA(VLOOKUP(E97,技能表!$A:$B,2,FALSE)),"",VLOOKUP(E97,技能表!$A:$B,2,FALSE))</f>
        <v/>
      </c>
      <c r="P97" t="str">
        <f>IF(ISNA(VLOOKUP(F97,技能表!$A:$B,2,FALSE)),"",VLOOKUP(F97,技能表!$A:$B,2,FALSE))</f>
        <v/>
      </c>
      <c r="Q97" t="str">
        <f>IF(ISNA(VLOOKUP(G97,技能表!$A:$B,2,FALSE)),"",VLOOKUP(G97,技能表!$A:$B,2,FALSE))</f>
        <v/>
      </c>
      <c r="R97" t="str">
        <f>IF(ISNA(VLOOKUP(H97,技能表!$A:$B,2,FALSE)),"",VLOOKUP(H97,技能表!$A:$B,2,FALSE))</f>
        <v/>
      </c>
      <c r="S97" t="str">
        <f>IF(ISNA(VLOOKUP(I97,技能表!$A:$B,2,FALSE)),"",VLOOKUP(I97,技能表!$A:$B,2,FALSE))</f>
        <v/>
      </c>
      <c r="T97" t="str">
        <f>IF(ISNA(VLOOKUP(J97,技能表!$A:$B,2,FALSE)),"",VLOOKUP(J97,技能表!$A:$B,2,FALSE))</f>
        <v/>
      </c>
      <c r="U97" t="str">
        <f>IF(ISNA(VLOOKUP(K97,技能表!$A:$B,2,FALSE)),"",VLOOKUP(K97,技能表!$A:$B,2,FALSE))</f>
        <v/>
      </c>
      <c r="V97" t="str">
        <f>IF(ISNA(VLOOKUP(L97,技能表!$A:$B,2,FALSE)),"",VLOOKUP(L97,技能表!$A:$B,2,FALSE))</f>
        <v/>
      </c>
      <c r="W97" t="str">
        <f>IF(ISNA(VLOOKUP(M97,技能表!$A:$B,2,FALSE)),"",VLOOKUP(M97,技能表!$A:$B,2,FALSE))</f>
        <v/>
      </c>
    </row>
    <row r="98" spans="3:23">
      <c r="C98" s="24"/>
      <c r="N98" t="str">
        <f>IF(ISNA(VLOOKUP(D98,技能表!$A:$B,2,FALSE)),"",VLOOKUP(D98,技能表!$A:$B,2,FALSE))</f>
        <v/>
      </c>
      <c r="O98" t="str">
        <f>IF(ISNA(VLOOKUP(E98,技能表!$A:$B,2,FALSE)),"",VLOOKUP(E98,技能表!$A:$B,2,FALSE))</f>
        <v/>
      </c>
      <c r="P98" t="str">
        <f>IF(ISNA(VLOOKUP(F98,技能表!$A:$B,2,FALSE)),"",VLOOKUP(F98,技能表!$A:$B,2,FALSE))</f>
        <v/>
      </c>
      <c r="Q98" t="str">
        <f>IF(ISNA(VLOOKUP(G98,技能表!$A:$B,2,FALSE)),"",VLOOKUP(G98,技能表!$A:$B,2,FALSE))</f>
        <v/>
      </c>
      <c r="R98" t="str">
        <f>IF(ISNA(VLOOKUP(H98,技能表!$A:$B,2,FALSE)),"",VLOOKUP(H98,技能表!$A:$B,2,FALSE))</f>
        <v/>
      </c>
      <c r="S98" t="str">
        <f>IF(ISNA(VLOOKUP(I98,技能表!$A:$B,2,FALSE)),"",VLOOKUP(I98,技能表!$A:$B,2,FALSE))</f>
        <v/>
      </c>
      <c r="T98" t="str">
        <f>IF(ISNA(VLOOKUP(J98,技能表!$A:$B,2,FALSE)),"",VLOOKUP(J98,技能表!$A:$B,2,FALSE))</f>
        <v/>
      </c>
      <c r="U98" t="str">
        <f>IF(ISNA(VLOOKUP(K98,技能表!$A:$B,2,FALSE)),"",VLOOKUP(K98,技能表!$A:$B,2,FALSE))</f>
        <v/>
      </c>
      <c r="V98" t="str">
        <f>IF(ISNA(VLOOKUP(L98,技能表!$A:$B,2,FALSE)),"",VLOOKUP(L98,技能表!$A:$B,2,FALSE))</f>
        <v/>
      </c>
      <c r="W98" t="str">
        <f>IF(ISNA(VLOOKUP(M98,技能表!$A:$B,2,FALSE)),"",VLOOKUP(M98,技能表!$A:$B,2,FALSE))</f>
        <v/>
      </c>
    </row>
    <row r="99" spans="3:23">
      <c r="C99" s="64"/>
      <c r="N99" t="str">
        <f>IF(ISNA(VLOOKUP(D99,技能表!$A:$B,2,FALSE)),"",VLOOKUP(D99,技能表!$A:$B,2,FALSE))</f>
        <v/>
      </c>
      <c r="O99" t="str">
        <f>IF(ISNA(VLOOKUP(E99,技能表!$A:$B,2,FALSE)),"",VLOOKUP(E99,技能表!$A:$B,2,FALSE))</f>
        <v/>
      </c>
      <c r="P99" t="str">
        <f>IF(ISNA(VLOOKUP(F99,技能表!$A:$B,2,FALSE)),"",VLOOKUP(F99,技能表!$A:$B,2,FALSE))</f>
        <v/>
      </c>
      <c r="Q99" t="str">
        <f>IF(ISNA(VLOOKUP(G99,技能表!$A:$B,2,FALSE)),"",VLOOKUP(G99,技能表!$A:$B,2,FALSE))</f>
        <v/>
      </c>
      <c r="R99" t="str">
        <f>IF(ISNA(VLOOKUP(H99,技能表!$A:$B,2,FALSE)),"",VLOOKUP(H99,技能表!$A:$B,2,FALSE))</f>
        <v/>
      </c>
      <c r="S99" t="str">
        <f>IF(ISNA(VLOOKUP(I99,技能表!$A:$B,2,FALSE)),"",VLOOKUP(I99,技能表!$A:$B,2,FALSE))</f>
        <v/>
      </c>
      <c r="T99" t="str">
        <f>IF(ISNA(VLOOKUP(J99,技能表!$A:$B,2,FALSE)),"",VLOOKUP(J99,技能表!$A:$B,2,FALSE))</f>
        <v/>
      </c>
      <c r="U99" t="str">
        <f>IF(ISNA(VLOOKUP(K99,技能表!$A:$B,2,FALSE)),"",VLOOKUP(K99,技能表!$A:$B,2,FALSE))</f>
        <v/>
      </c>
      <c r="V99" t="str">
        <f>IF(ISNA(VLOOKUP(L99,技能表!$A:$B,2,FALSE)),"",VLOOKUP(L99,技能表!$A:$B,2,FALSE))</f>
        <v/>
      </c>
      <c r="W99" t="str">
        <f>IF(ISNA(VLOOKUP(M99,技能表!$A:$B,2,FALSE)),"",VLOOKUP(M99,技能表!$A:$B,2,FALSE))</f>
        <v/>
      </c>
    </row>
    <row r="100" spans="3:23">
      <c r="C100" s="64"/>
      <c r="N100" t="str">
        <f>IF(ISNA(VLOOKUP(D100,技能表!$A:$B,2,FALSE)),"",VLOOKUP(D100,技能表!$A:$B,2,FALSE))</f>
        <v/>
      </c>
      <c r="O100" t="str">
        <f>IF(ISNA(VLOOKUP(E100,技能表!$A:$B,2,FALSE)),"",VLOOKUP(E100,技能表!$A:$B,2,FALSE))</f>
        <v/>
      </c>
      <c r="P100" t="str">
        <f>IF(ISNA(VLOOKUP(F100,技能表!$A:$B,2,FALSE)),"",VLOOKUP(F100,技能表!$A:$B,2,FALSE))</f>
        <v/>
      </c>
      <c r="Q100" t="str">
        <f>IF(ISNA(VLOOKUP(G100,技能表!$A:$B,2,FALSE)),"",VLOOKUP(G100,技能表!$A:$B,2,FALSE))</f>
        <v/>
      </c>
      <c r="R100" t="str">
        <f>IF(ISNA(VLOOKUP(H100,技能表!$A:$B,2,FALSE)),"",VLOOKUP(H100,技能表!$A:$B,2,FALSE))</f>
        <v/>
      </c>
      <c r="S100" t="str">
        <f>IF(ISNA(VLOOKUP(I100,技能表!$A:$B,2,FALSE)),"",VLOOKUP(I100,技能表!$A:$B,2,FALSE))</f>
        <v/>
      </c>
      <c r="T100" t="str">
        <f>IF(ISNA(VLOOKUP(J100,技能表!$A:$B,2,FALSE)),"",VLOOKUP(J100,技能表!$A:$B,2,FALSE))</f>
        <v/>
      </c>
      <c r="U100" t="str">
        <f>IF(ISNA(VLOOKUP(K100,技能表!$A:$B,2,FALSE)),"",VLOOKUP(K100,技能表!$A:$B,2,FALSE))</f>
        <v/>
      </c>
      <c r="V100" t="str">
        <f>IF(ISNA(VLOOKUP(L100,技能表!$A:$B,2,FALSE)),"",VLOOKUP(L100,技能表!$A:$B,2,FALSE))</f>
        <v/>
      </c>
      <c r="W100" t="str">
        <f>IF(ISNA(VLOOKUP(M100,技能表!$A:$B,2,FALSE)),"",VLOOKUP(M100,技能表!$A:$B,2,FALSE))</f>
        <v/>
      </c>
    </row>
    <row r="101" spans="3:23">
      <c r="C101" s="64"/>
      <c r="N101" t="str">
        <f>IF(ISNA(VLOOKUP(D101,技能表!$A:$B,2,FALSE)),"",VLOOKUP(D101,技能表!$A:$B,2,FALSE))</f>
        <v/>
      </c>
      <c r="O101" t="str">
        <f>IF(ISNA(VLOOKUP(E101,技能表!$A:$B,2,FALSE)),"",VLOOKUP(E101,技能表!$A:$B,2,FALSE))</f>
        <v/>
      </c>
      <c r="P101" t="str">
        <f>IF(ISNA(VLOOKUP(F101,技能表!$A:$B,2,FALSE)),"",VLOOKUP(F101,技能表!$A:$B,2,FALSE))</f>
        <v/>
      </c>
      <c r="Q101" t="str">
        <f>IF(ISNA(VLOOKUP(G101,技能表!$A:$B,2,FALSE)),"",VLOOKUP(G101,技能表!$A:$B,2,FALSE))</f>
        <v/>
      </c>
      <c r="R101" t="str">
        <f>IF(ISNA(VLOOKUP(H101,技能表!$A:$B,2,FALSE)),"",VLOOKUP(H101,技能表!$A:$B,2,FALSE))</f>
        <v/>
      </c>
      <c r="S101" t="str">
        <f>IF(ISNA(VLOOKUP(I101,技能表!$A:$B,2,FALSE)),"",VLOOKUP(I101,技能表!$A:$B,2,FALSE))</f>
        <v/>
      </c>
      <c r="T101" t="str">
        <f>IF(ISNA(VLOOKUP(J101,技能表!$A:$B,2,FALSE)),"",VLOOKUP(J101,技能表!$A:$B,2,FALSE))</f>
        <v/>
      </c>
      <c r="U101" t="str">
        <f>IF(ISNA(VLOOKUP(K101,技能表!$A:$B,2,FALSE)),"",VLOOKUP(K101,技能表!$A:$B,2,FALSE))</f>
        <v/>
      </c>
      <c r="V101" t="str">
        <f>IF(ISNA(VLOOKUP(L101,技能表!$A:$B,2,FALSE)),"",VLOOKUP(L101,技能表!$A:$B,2,FALSE))</f>
        <v/>
      </c>
      <c r="W101" t="str">
        <f>IF(ISNA(VLOOKUP(M101,技能表!$A:$B,2,FALSE)),"",VLOOKUP(M101,技能表!$A:$B,2,FALSE))</f>
        <v/>
      </c>
    </row>
    <row r="102" spans="3:23">
      <c r="C102" s="64"/>
      <c r="N102" t="str">
        <f>IF(ISNA(VLOOKUP(D102,技能表!$A:$B,2,FALSE)),"",VLOOKUP(D102,技能表!$A:$B,2,FALSE))</f>
        <v/>
      </c>
      <c r="O102" t="str">
        <f>IF(ISNA(VLOOKUP(E102,技能表!$A:$B,2,FALSE)),"",VLOOKUP(E102,技能表!$A:$B,2,FALSE))</f>
        <v/>
      </c>
      <c r="P102" t="str">
        <f>IF(ISNA(VLOOKUP(F102,技能表!$A:$B,2,FALSE)),"",VLOOKUP(F102,技能表!$A:$B,2,FALSE))</f>
        <v/>
      </c>
      <c r="Q102" t="str">
        <f>IF(ISNA(VLOOKUP(G102,技能表!$A:$B,2,FALSE)),"",VLOOKUP(G102,技能表!$A:$B,2,FALSE))</f>
        <v/>
      </c>
      <c r="R102" t="str">
        <f>IF(ISNA(VLOOKUP(H102,技能表!$A:$B,2,FALSE)),"",VLOOKUP(H102,技能表!$A:$B,2,FALSE))</f>
        <v/>
      </c>
      <c r="S102" t="str">
        <f>IF(ISNA(VLOOKUP(I102,技能表!$A:$B,2,FALSE)),"",VLOOKUP(I102,技能表!$A:$B,2,FALSE))</f>
        <v/>
      </c>
      <c r="T102" t="str">
        <f>IF(ISNA(VLOOKUP(J102,技能表!$A:$B,2,FALSE)),"",VLOOKUP(J102,技能表!$A:$B,2,FALSE))</f>
        <v/>
      </c>
      <c r="U102" t="str">
        <f>IF(ISNA(VLOOKUP(K102,技能表!$A:$B,2,FALSE)),"",VLOOKUP(K102,技能表!$A:$B,2,FALSE))</f>
        <v/>
      </c>
      <c r="V102" t="str">
        <f>IF(ISNA(VLOOKUP(L102,技能表!$A:$B,2,FALSE)),"",VLOOKUP(L102,技能表!$A:$B,2,FALSE))</f>
        <v/>
      </c>
      <c r="W102" t="str">
        <f>IF(ISNA(VLOOKUP(M102,技能表!$A:$B,2,FALSE)),"",VLOOKUP(M102,技能表!$A:$B,2,FALSE))</f>
        <v/>
      </c>
    </row>
    <row r="103" spans="3:23">
      <c r="C103" s="64"/>
      <c r="N103" t="str">
        <f>IF(ISNA(VLOOKUP(D103,技能表!$A:$B,2,FALSE)),"",VLOOKUP(D103,技能表!$A:$B,2,FALSE))</f>
        <v/>
      </c>
      <c r="O103" t="str">
        <f>IF(ISNA(VLOOKUP(E103,技能表!$A:$B,2,FALSE)),"",VLOOKUP(E103,技能表!$A:$B,2,FALSE))</f>
        <v/>
      </c>
      <c r="P103" t="str">
        <f>IF(ISNA(VLOOKUP(F103,技能表!$A:$B,2,FALSE)),"",VLOOKUP(F103,技能表!$A:$B,2,FALSE))</f>
        <v/>
      </c>
      <c r="Q103" t="str">
        <f>IF(ISNA(VLOOKUP(G103,技能表!$A:$B,2,FALSE)),"",VLOOKUP(G103,技能表!$A:$B,2,FALSE))</f>
        <v/>
      </c>
      <c r="R103" t="str">
        <f>IF(ISNA(VLOOKUP(H103,技能表!$A:$B,2,FALSE)),"",VLOOKUP(H103,技能表!$A:$B,2,FALSE))</f>
        <v/>
      </c>
      <c r="S103" t="str">
        <f>IF(ISNA(VLOOKUP(I103,技能表!$A:$B,2,FALSE)),"",VLOOKUP(I103,技能表!$A:$B,2,FALSE))</f>
        <v/>
      </c>
      <c r="T103" t="str">
        <f>IF(ISNA(VLOOKUP(J103,技能表!$A:$B,2,FALSE)),"",VLOOKUP(J103,技能表!$A:$B,2,FALSE))</f>
        <v/>
      </c>
      <c r="U103" t="str">
        <f>IF(ISNA(VLOOKUP(K103,技能表!$A:$B,2,FALSE)),"",VLOOKUP(K103,技能表!$A:$B,2,FALSE))</f>
        <v/>
      </c>
      <c r="V103" t="str">
        <f>IF(ISNA(VLOOKUP(L103,技能表!$A:$B,2,FALSE)),"",VLOOKUP(L103,技能表!$A:$B,2,FALSE))</f>
        <v/>
      </c>
      <c r="W103" t="str">
        <f>IF(ISNA(VLOOKUP(M103,技能表!$A:$B,2,FALSE)),"",VLOOKUP(M103,技能表!$A:$B,2,FALSE))</f>
        <v/>
      </c>
    </row>
    <row r="104" spans="3:23">
      <c r="C104" s="64"/>
      <c r="N104" t="str">
        <f>IF(ISNA(VLOOKUP(D104,技能表!$A:$B,2,FALSE)),"",VLOOKUP(D104,技能表!$A:$B,2,FALSE))</f>
        <v/>
      </c>
      <c r="O104" t="str">
        <f>IF(ISNA(VLOOKUP(E104,技能表!$A:$B,2,FALSE)),"",VLOOKUP(E104,技能表!$A:$B,2,FALSE))</f>
        <v/>
      </c>
      <c r="P104" t="str">
        <f>IF(ISNA(VLOOKUP(F104,技能表!$A:$B,2,FALSE)),"",VLOOKUP(F104,技能表!$A:$B,2,FALSE))</f>
        <v/>
      </c>
      <c r="Q104" t="str">
        <f>IF(ISNA(VLOOKUP(G104,技能表!$A:$B,2,FALSE)),"",VLOOKUP(G104,技能表!$A:$B,2,FALSE))</f>
        <v/>
      </c>
      <c r="R104" t="str">
        <f>IF(ISNA(VLOOKUP(H104,技能表!$A:$B,2,FALSE)),"",VLOOKUP(H104,技能表!$A:$B,2,FALSE))</f>
        <v/>
      </c>
      <c r="S104" t="str">
        <f>IF(ISNA(VLOOKUP(I104,技能表!$A:$B,2,FALSE)),"",VLOOKUP(I104,技能表!$A:$B,2,FALSE))</f>
        <v/>
      </c>
      <c r="T104" t="str">
        <f>IF(ISNA(VLOOKUP(J104,技能表!$A:$B,2,FALSE)),"",VLOOKUP(J104,技能表!$A:$B,2,FALSE))</f>
        <v/>
      </c>
      <c r="U104" t="str">
        <f>IF(ISNA(VLOOKUP(K104,技能表!$A:$B,2,FALSE)),"",VLOOKUP(K104,技能表!$A:$B,2,FALSE))</f>
        <v/>
      </c>
      <c r="V104" t="str">
        <f>IF(ISNA(VLOOKUP(L104,技能表!$A:$B,2,FALSE)),"",VLOOKUP(L104,技能表!$A:$B,2,FALSE))</f>
        <v/>
      </c>
      <c r="W104" t="str">
        <f>IF(ISNA(VLOOKUP(M104,技能表!$A:$B,2,FALSE)),"",VLOOKUP(M104,技能表!$A:$B,2,FALSE))</f>
        <v/>
      </c>
    </row>
    <row r="105" spans="3:23">
      <c r="C105" s="64"/>
      <c r="N105" t="str">
        <f>IF(ISNA(VLOOKUP(D105,技能表!$A:$B,2,FALSE)),"",VLOOKUP(D105,技能表!$A:$B,2,FALSE))</f>
        <v/>
      </c>
      <c r="O105" t="str">
        <f>IF(ISNA(VLOOKUP(E105,技能表!$A:$B,2,FALSE)),"",VLOOKUP(E105,技能表!$A:$B,2,FALSE))</f>
        <v/>
      </c>
      <c r="P105" t="str">
        <f>IF(ISNA(VLOOKUP(F105,技能表!$A:$B,2,FALSE)),"",VLOOKUP(F105,技能表!$A:$B,2,FALSE))</f>
        <v/>
      </c>
      <c r="Q105" t="str">
        <f>IF(ISNA(VLOOKUP(G105,技能表!$A:$B,2,FALSE)),"",VLOOKUP(G105,技能表!$A:$B,2,FALSE))</f>
        <v/>
      </c>
      <c r="R105" t="str">
        <f>IF(ISNA(VLOOKUP(H105,技能表!$A:$B,2,FALSE)),"",VLOOKUP(H105,技能表!$A:$B,2,FALSE))</f>
        <v/>
      </c>
      <c r="S105" t="str">
        <f>IF(ISNA(VLOOKUP(I105,技能表!$A:$B,2,FALSE)),"",VLOOKUP(I105,技能表!$A:$B,2,FALSE))</f>
        <v/>
      </c>
      <c r="T105" t="str">
        <f>IF(ISNA(VLOOKUP(J105,技能表!$A:$B,2,FALSE)),"",VLOOKUP(J105,技能表!$A:$B,2,FALSE))</f>
        <v/>
      </c>
      <c r="U105" t="str">
        <f>IF(ISNA(VLOOKUP(K105,技能表!$A:$B,2,FALSE)),"",VLOOKUP(K105,技能表!$A:$B,2,FALSE))</f>
        <v/>
      </c>
      <c r="V105" t="str">
        <f>IF(ISNA(VLOOKUP(L105,技能表!$A:$B,2,FALSE)),"",VLOOKUP(L105,技能表!$A:$B,2,FALSE))</f>
        <v/>
      </c>
      <c r="W105" t="str">
        <f>IF(ISNA(VLOOKUP(M105,技能表!$A:$B,2,FALSE)),"",VLOOKUP(M105,技能表!$A:$B,2,FALSE))</f>
        <v/>
      </c>
    </row>
    <row r="106" spans="3:23">
      <c r="C106" s="64"/>
      <c r="N106" t="str">
        <f>IF(ISNA(VLOOKUP(D106,技能表!$A:$B,2,FALSE)),"",VLOOKUP(D106,技能表!$A:$B,2,FALSE))</f>
        <v/>
      </c>
      <c r="O106" t="str">
        <f>IF(ISNA(VLOOKUP(E106,技能表!$A:$B,2,FALSE)),"",VLOOKUP(E106,技能表!$A:$B,2,FALSE))</f>
        <v/>
      </c>
      <c r="P106" t="str">
        <f>IF(ISNA(VLOOKUP(F106,技能表!$A:$B,2,FALSE)),"",VLOOKUP(F106,技能表!$A:$B,2,FALSE))</f>
        <v/>
      </c>
      <c r="Q106" t="str">
        <f>IF(ISNA(VLOOKUP(G106,技能表!$A:$B,2,FALSE)),"",VLOOKUP(G106,技能表!$A:$B,2,FALSE))</f>
        <v/>
      </c>
      <c r="R106" t="str">
        <f>IF(ISNA(VLOOKUP(H106,技能表!$A:$B,2,FALSE)),"",VLOOKUP(H106,技能表!$A:$B,2,FALSE))</f>
        <v/>
      </c>
      <c r="S106" t="str">
        <f>IF(ISNA(VLOOKUP(I106,技能表!$A:$B,2,FALSE)),"",VLOOKUP(I106,技能表!$A:$B,2,FALSE))</f>
        <v/>
      </c>
      <c r="T106" t="str">
        <f>IF(ISNA(VLOOKUP(J106,技能表!$A:$B,2,FALSE)),"",VLOOKUP(J106,技能表!$A:$B,2,FALSE))</f>
        <v/>
      </c>
      <c r="U106" t="str">
        <f>IF(ISNA(VLOOKUP(K106,技能表!$A:$B,2,FALSE)),"",VLOOKUP(K106,技能表!$A:$B,2,FALSE))</f>
        <v/>
      </c>
      <c r="V106" t="str">
        <f>IF(ISNA(VLOOKUP(L106,技能表!$A:$B,2,FALSE)),"",VLOOKUP(L106,技能表!$A:$B,2,FALSE))</f>
        <v/>
      </c>
      <c r="W106" t="str">
        <f>IF(ISNA(VLOOKUP(M106,技能表!$A:$B,2,FALSE)),"",VLOOKUP(M106,技能表!$A:$B,2,FALSE))</f>
        <v/>
      </c>
    </row>
    <row r="107" spans="3:23">
      <c r="C107" s="64"/>
      <c r="N107" t="str">
        <f>IF(ISNA(VLOOKUP(D107,技能表!$A:$B,2,FALSE)),"",VLOOKUP(D107,技能表!$A:$B,2,FALSE))</f>
        <v/>
      </c>
      <c r="O107" t="str">
        <f>IF(ISNA(VLOOKUP(E107,技能表!$A:$B,2,FALSE)),"",VLOOKUP(E107,技能表!$A:$B,2,FALSE))</f>
        <v/>
      </c>
      <c r="P107" t="str">
        <f>IF(ISNA(VLOOKUP(F107,技能表!$A:$B,2,FALSE)),"",VLOOKUP(F107,技能表!$A:$B,2,FALSE))</f>
        <v/>
      </c>
      <c r="Q107" t="str">
        <f>IF(ISNA(VLOOKUP(G107,技能表!$A:$B,2,FALSE)),"",VLOOKUP(G107,技能表!$A:$B,2,FALSE))</f>
        <v/>
      </c>
      <c r="R107" t="str">
        <f>IF(ISNA(VLOOKUP(H107,技能表!$A:$B,2,FALSE)),"",VLOOKUP(H107,技能表!$A:$B,2,FALSE))</f>
        <v/>
      </c>
      <c r="S107" t="str">
        <f>IF(ISNA(VLOOKUP(I107,技能表!$A:$B,2,FALSE)),"",VLOOKUP(I107,技能表!$A:$B,2,FALSE))</f>
        <v/>
      </c>
      <c r="T107" t="str">
        <f>IF(ISNA(VLOOKUP(J107,技能表!$A:$B,2,FALSE)),"",VLOOKUP(J107,技能表!$A:$B,2,FALSE))</f>
        <v/>
      </c>
      <c r="U107" t="str">
        <f>IF(ISNA(VLOOKUP(K107,技能表!$A:$B,2,FALSE)),"",VLOOKUP(K107,技能表!$A:$B,2,FALSE))</f>
        <v/>
      </c>
      <c r="V107" t="str">
        <f>IF(ISNA(VLOOKUP(L107,技能表!$A:$B,2,FALSE)),"",VLOOKUP(L107,技能表!$A:$B,2,FALSE))</f>
        <v/>
      </c>
      <c r="W107" t="str">
        <f>IF(ISNA(VLOOKUP(M107,技能表!$A:$B,2,FALSE)),"",VLOOKUP(M107,技能表!$A:$B,2,FALSE))</f>
        <v/>
      </c>
    </row>
    <row r="108" spans="3:23">
      <c r="C108" s="64"/>
      <c r="N108" t="str">
        <f>IF(ISNA(VLOOKUP(D108,技能表!$A:$B,2,FALSE)),"",VLOOKUP(D108,技能表!$A:$B,2,FALSE))</f>
        <v/>
      </c>
      <c r="O108" t="str">
        <f>IF(ISNA(VLOOKUP(E108,技能表!$A:$B,2,FALSE)),"",VLOOKUP(E108,技能表!$A:$B,2,FALSE))</f>
        <v/>
      </c>
      <c r="P108" t="str">
        <f>IF(ISNA(VLOOKUP(F108,技能表!$A:$B,2,FALSE)),"",VLOOKUP(F108,技能表!$A:$B,2,FALSE))</f>
        <v/>
      </c>
      <c r="Q108" t="str">
        <f>IF(ISNA(VLOOKUP(G108,技能表!$A:$B,2,FALSE)),"",VLOOKUP(G108,技能表!$A:$B,2,FALSE))</f>
        <v/>
      </c>
      <c r="R108" t="str">
        <f>IF(ISNA(VLOOKUP(H108,技能表!$A:$B,2,FALSE)),"",VLOOKUP(H108,技能表!$A:$B,2,FALSE))</f>
        <v/>
      </c>
      <c r="S108" t="str">
        <f>IF(ISNA(VLOOKUP(I108,技能表!$A:$B,2,FALSE)),"",VLOOKUP(I108,技能表!$A:$B,2,FALSE))</f>
        <v/>
      </c>
      <c r="T108" t="str">
        <f>IF(ISNA(VLOOKUP(J108,技能表!$A:$B,2,FALSE)),"",VLOOKUP(J108,技能表!$A:$B,2,FALSE))</f>
        <v/>
      </c>
      <c r="U108" t="str">
        <f>IF(ISNA(VLOOKUP(K108,技能表!$A:$B,2,FALSE)),"",VLOOKUP(K108,技能表!$A:$B,2,FALSE))</f>
        <v/>
      </c>
      <c r="V108" t="str">
        <f>IF(ISNA(VLOOKUP(L108,技能表!$A:$B,2,FALSE)),"",VLOOKUP(L108,技能表!$A:$B,2,FALSE))</f>
        <v/>
      </c>
      <c r="W108" t="str">
        <f>IF(ISNA(VLOOKUP(M108,技能表!$A:$B,2,FALSE)),"",VLOOKUP(M108,技能表!$A:$B,2,FALSE))</f>
        <v/>
      </c>
    </row>
    <row r="109" spans="3:23">
      <c r="C109" s="64"/>
      <c r="N109" t="str">
        <f>IF(ISNA(VLOOKUP(D109,技能表!$A:$B,2,FALSE)),"",VLOOKUP(D109,技能表!$A:$B,2,FALSE))</f>
        <v/>
      </c>
      <c r="O109" t="str">
        <f>IF(ISNA(VLOOKUP(E109,技能表!$A:$B,2,FALSE)),"",VLOOKUP(E109,技能表!$A:$B,2,FALSE))</f>
        <v/>
      </c>
      <c r="P109" t="str">
        <f>IF(ISNA(VLOOKUP(F109,技能表!$A:$B,2,FALSE)),"",VLOOKUP(F109,技能表!$A:$B,2,FALSE))</f>
        <v/>
      </c>
      <c r="Q109" t="str">
        <f>IF(ISNA(VLOOKUP(G109,技能表!$A:$B,2,FALSE)),"",VLOOKUP(G109,技能表!$A:$B,2,FALSE))</f>
        <v/>
      </c>
      <c r="R109" t="str">
        <f>IF(ISNA(VLOOKUP(H109,技能表!$A:$B,2,FALSE)),"",VLOOKUP(H109,技能表!$A:$B,2,FALSE))</f>
        <v/>
      </c>
      <c r="S109" t="str">
        <f>IF(ISNA(VLOOKUP(I109,技能表!$A:$B,2,FALSE)),"",VLOOKUP(I109,技能表!$A:$B,2,FALSE))</f>
        <v/>
      </c>
      <c r="T109" t="str">
        <f>IF(ISNA(VLOOKUP(J109,技能表!$A:$B,2,FALSE)),"",VLOOKUP(J109,技能表!$A:$B,2,FALSE))</f>
        <v/>
      </c>
      <c r="U109" t="str">
        <f>IF(ISNA(VLOOKUP(K109,技能表!$A:$B,2,FALSE)),"",VLOOKUP(K109,技能表!$A:$B,2,FALSE))</f>
        <v/>
      </c>
      <c r="V109" t="str">
        <f>IF(ISNA(VLOOKUP(L109,技能表!$A:$B,2,FALSE)),"",VLOOKUP(L109,技能表!$A:$B,2,FALSE))</f>
        <v/>
      </c>
      <c r="W109" t="str">
        <f>IF(ISNA(VLOOKUP(M109,技能表!$A:$B,2,FALSE)),"",VLOOKUP(M109,技能表!$A:$B,2,FALSE))</f>
        <v/>
      </c>
    </row>
    <row r="110" spans="3:23">
      <c r="C110" s="64"/>
      <c r="N110" t="str">
        <f>IF(ISNA(VLOOKUP(D110,技能表!$A:$B,2,FALSE)),"",VLOOKUP(D110,技能表!$A:$B,2,FALSE))</f>
        <v/>
      </c>
      <c r="O110" t="str">
        <f>IF(ISNA(VLOOKUP(E110,技能表!$A:$B,2,FALSE)),"",VLOOKUP(E110,技能表!$A:$B,2,FALSE))</f>
        <v/>
      </c>
      <c r="P110" t="str">
        <f>IF(ISNA(VLOOKUP(F110,技能表!$A:$B,2,FALSE)),"",VLOOKUP(F110,技能表!$A:$B,2,FALSE))</f>
        <v/>
      </c>
      <c r="Q110" t="str">
        <f>IF(ISNA(VLOOKUP(G110,技能表!$A:$B,2,FALSE)),"",VLOOKUP(G110,技能表!$A:$B,2,FALSE))</f>
        <v/>
      </c>
      <c r="R110" t="str">
        <f>IF(ISNA(VLOOKUP(H110,技能表!$A:$B,2,FALSE)),"",VLOOKUP(H110,技能表!$A:$B,2,FALSE))</f>
        <v/>
      </c>
      <c r="S110" t="str">
        <f>IF(ISNA(VLOOKUP(I110,技能表!$A:$B,2,FALSE)),"",VLOOKUP(I110,技能表!$A:$B,2,FALSE))</f>
        <v/>
      </c>
      <c r="T110" t="str">
        <f>IF(ISNA(VLOOKUP(J110,技能表!$A:$B,2,FALSE)),"",VLOOKUP(J110,技能表!$A:$B,2,FALSE))</f>
        <v/>
      </c>
      <c r="U110" t="str">
        <f>IF(ISNA(VLOOKUP(K110,技能表!$A:$B,2,FALSE)),"",VLOOKUP(K110,技能表!$A:$B,2,FALSE))</f>
        <v/>
      </c>
      <c r="V110" t="str">
        <f>IF(ISNA(VLOOKUP(L110,技能表!$A:$B,2,FALSE)),"",VLOOKUP(L110,技能表!$A:$B,2,FALSE))</f>
        <v/>
      </c>
      <c r="W110" t="str">
        <f>IF(ISNA(VLOOKUP(M110,技能表!$A:$B,2,FALSE)),"",VLOOKUP(M110,技能表!$A:$B,2,FALSE))</f>
        <v/>
      </c>
    </row>
    <row r="111" spans="3:23">
      <c r="C111" s="64"/>
      <c r="D111" s="16"/>
      <c r="N111" t="str">
        <f>IF(ISNA(VLOOKUP(D111,技能表!$A:$B,2,FALSE)),"",VLOOKUP(D111,技能表!$A:$B,2,FALSE))</f>
        <v/>
      </c>
      <c r="O111" t="str">
        <f>IF(ISNA(VLOOKUP(E111,技能表!$A:$B,2,FALSE)),"",VLOOKUP(E111,技能表!$A:$B,2,FALSE))</f>
        <v/>
      </c>
      <c r="P111" t="str">
        <f>IF(ISNA(VLOOKUP(F111,技能表!$A:$B,2,FALSE)),"",VLOOKUP(F111,技能表!$A:$B,2,FALSE))</f>
        <v/>
      </c>
      <c r="Q111" t="str">
        <f>IF(ISNA(VLOOKUP(G111,技能表!$A:$B,2,FALSE)),"",VLOOKUP(G111,技能表!$A:$B,2,FALSE))</f>
        <v/>
      </c>
      <c r="R111" t="str">
        <f>IF(ISNA(VLOOKUP(H111,技能表!$A:$B,2,FALSE)),"",VLOOKUP(H111,技能表!$A:$B,2,FALSE))</f>
        <v/>
      </c>
      <c r="S111" t="str">
        <f>IF(ISNA(VLOOKUP(I111,技能表!$A:$B,2,FALSE)),"",VLOOKUP(I111,技能表!$A:$B,2,FALSE))</f>
        <v/>
      </c>
      <c r="T111" t="str">
        <f>IF(ISNA(VLOOKUP(J111,技能表!$A:$B,2,FALSE)),"",VLOOKUP(J111,技能表!$A:$B,2,FALSE))</f>
        <v/>
      </c>
      <c r="U111" t="str">
        <f>IF(ISNA(VLOOKUP(K111,技能表!$A:$B,2,FALSE)),"",VLOOKUP(K111,技能表!$A:$B,2,FALSE))</f>
        <v/>
      </c>
      <c r="V111" t="str">
        <f>IF(ISNA(VLOOKUP(L111,技能表!$A:$B,2,FALSE)),"",VLOOKUP(L111,技能表!$A:$B,2,FALSE))</f>
        <v/>
      </c>
      <c r="W111" t="str">
        <f>IF(ISNA(VLOOKUP(M111,技能表!$A:$B,2,FALSE)),"",VLOOKUP(M111,技能表!$A:$B,2,FALSE))</f>
        <v/>
      </c>
    </row>
    <row r="112" spans="3:23">
      <c r="C112" s="64"/>
      <c r="D112" s="16"/>
      <c r="N112" t="str">
        <f>IF(ISNA(VLOOKUP(D112,技能表!$A:$B,2,FALSE)),"",VLOOKUP(D112,技能表!$A:$B,2,FALSE))</f>
        <v/>
      </c>
      <c r="O112" t="str">
        <f>IF(ISNA(VLOOKUP(E112,技能表!$A:$B,2,FALSE)),"",VLOOKUP(E112,技能表!$A:$B,2,FALSE))</f>
        <v/>
      </c>
      <c r="P112" t="str">
        <f>IF(ISNA(VLOOKUP(F112,技能表!$A:$B,2,FALSE)),"",VLOOKUP(F112,技能表!$A:$B,2,FALSE))</f>
        <v/>
      </c>
      <c r="Q112" t="str">
        <f>IF(ISNA(VLOOKUP(G112,技能表!$A:$B,2,FALSE)),"",VLOOKUP(G112,技能表!$A:$B,2,FALSE))</f>
        <v/>
      </c>
      <c r="R112" t="str">
        <f>IF(ISNA(VLOOKUP(H112,技能表!$A:$B,2,FALSE)),"",VLOOKUP(H112,技能表!$A:$B,2,FALSE))</f>
        <v/>
      </c>
      <c r="S112" t="str">
        <f>IF(ISNA(VLOOKUP(I112,技能表!$A:$B,2,FALSE)),"",VLOOKUP(I112,技能表!$A:$B,2,FALSE))</f>
        <v/>
      </c>
      <c r="T112" t="str">
        <f>IF(ISNA(VLOOKUP(J112,技能表!$A:$B,2,FALSE)),"",VLOOKUP(J112,技能表!$A:$B,2,FALSE))</f>
        <v/>
      </c>
      <c r="U112" t="str">
        <f>IF(ISNA(VLOOKUP(K112,技能表!$A:$B,2,FALSE)),"",VLOOKUP(K112,技能表!$A:$B,2,FALSE))</f>
        <v/>
      </c>
      <c r="V112" t="str">
        <f>IF(ISNA(VLOOKUP(L112,技能表!$A:$B,2,FALSE)),"",VLOOKUP(L112,技能表!$A:$B,2,FALSE))</f>
        <v/>
      </c>
      <c r="W112" t="str">
        <f>IF(ISNA(VLOOKUP(M112,技能表!$A:$B,2,FALSE)),"",VLOOKUP(M112,技能表!$A:$B,2,FALSE))</f>
        <v/>
      </c>
    </row>
    <row r="113" spans="3:23">
      <c r="C113" s="64"/>
      <c r="N113" t="str">
        <f>IF(ISNA(VLOOKUP(D113,技能表!$A:$B,2,FALSE)),"",VLOOKUP(D113,技能表!$A:$B,2,FALSE))</f>
        <v/>
      </c>
      <c r="O113" t="str">
        <f>IF(ISNA(VLOOKUP(E113,技能表!$A:$B,2,FALSE)),"",VLOOKUP(E113,技能表!$A:$B,2,FALSE))</f>
        <v/>
      </c>
      <c r="P113" t="str">
        <f>IF(ISNA(VLOOKUP(F113,技能表!$A:$B,2,FALSE)),"",VLOOKUP(F113,技能表!$A:$B,2,FALSE))</f>
        <v/>
      </c>
      <c r="Q113" t="str">
        <f>IF(ISNA(VLOOKUP(G113,技能表!$A:$B,2,FALSE)),"",VLOOKUP(G113,技能表!$A:$B,2,FALSE))</f>
        <v/>
      </c>
      <c r="R113" t="str">
        <f>IF(ISNA(VLOOKUP(H113,技能表!$A:$B,2,FALSE)),"",VLOOKUP(H113,技能表!$A:$B,2,FALSE))</f>
        <v/>
      </c>
      <c r="S113" t="str">
        <f>IF(ISNA(VLOOKUP(I113,技能表!$A:$B,2,FALSE)),"",VLOOKUP(I113,技能表!$A:$B,2,FALSE))</f>
        <v/>
      </c>
      <c r="T113" t="str">
        <f>IF(ISNA(VLOOKUP(J113,技能表!$A:$B,2,FALSE)),"",VLOOKUP(J113,技能表!$A:$B,2,FALSE))</f>
        <v/>
      </c>
      <c r="U113" t="str">
        <f>IF(ISNA(VLOOKUP(K113,技能表!$A:$B,2,FALSE)),"",VLOOKUP(K113,技能表!$A:$B,2,FALSE))</f>
        <v/>
      </c>
      <c r="V113" t="str">
        <f>IF(ISNA(VLOOKUP(L113,技能表!$A:$B,2,FALSE)),"",VLOOKUP(L113,技能表!$A:$B,2,FALSE))</f>
        <v/>
      </c>
      <c r="W113" t="str">
        <f>IF(ISNA(VLOOKUP(M113,技能表!$A:$B,2,FALSE)),"",VLOOKUP(M113,技能表!$A:$B,2,FALSE))</f>
        <v/>
      </c>
    </row>
    <row r="114" spans="3:23">
      <c r="C114" s="64"/>
      <c r="N114" t="str">
        <f>IF(ISNA(VLOOKUP(D114,技能表!$A:$B,2,FALSE)),"",VLOOKUP(D114,技能表!$A:$B,2,FALSE))</f>
        <v/>
      </c>
      <c r="O114" t="str">
        <f>IF(ISNA(VLOOKUP(E114,技能表!$A:$B,2,FALSE)),"",VLOOKUP(E114,技能表!$A:$B,2,FALSE))</f>
        <v/>
      </c>
      <c r="P114" t="str">
        <f>IF(ISNA(VLOOKUP(F114,技能表!$A:$B,2,FALSE)),"",VLOOKUP(F114,技能表!$A:$B,2,FALSE))</f>
        <v/>
      </c>
      <c r="Q114" t="str">
        <f>IF(ISNA(VLOOKUP(G114,技能表!$A:$B,2,FALSE)),"",VLOOKUP(G114,技能表!$A:$B,2,FALSE))</f>
        <v/>
      </c>
      <c r="R114" t="str">
        <f>IF(ISNA(VLOOKUP(H114,技能表!$A:$B,2,FALSE)),"",VLOOKUP(H114,技能表!$A:$B,2,FALSE))</f>
        <v/>
      </c>
      <c r="S114" t="str">
        <f>IF(ISNA(VLOOKUP(I114,技能表!$A:$B,2,FALSE)),"",VLOOKUP(I114,技能表!$A:$B,2,FALSE))</f>
        <v/>
      </c>
      <c r="T114" t="str">
        <f>IF(ISNA(VLOOKUP(J114,技能表!$A:$B,2,FALSE)),"",VLOOKUP(J114,技能表!$A:$B,2,FALSE))</f>
        <v/>
      </c>
      <c r="U114" t="str">
        <f>IF(ISNA(VLOOKUP(K114,技能表!$A:$B,2,FALSE)),"",VLOOKUP(K114,技能表!$A:$B,2,FALSE))</f>
        <v/>
      </c>
      <c r="V114" t="str">
        <f>IF(ISNA(VLOOKUP(L114,技能表!$A:$B,2,FALSE)),"",VLOOKUP(L114,技能表!$A:$B,2,FALSE))</f>
        <v/>
      </c>
      <c r="W114" t="str">
        <f>IF(ISNA(VLOOKUP(M114,技能表!$A:$B,2,FALSE)),"",VLOOKUP(M114,技能表!$A:$B,2,FALSE))</f>
        <v/>
      </c>
    </row>
    <row r="115" spans="3:23">
      <c r="C115" s="64"/>
      <c r="D115" s="16"/>
      <c r="N115" t="str">
        <f>IF(ISNA(VLOOKUP(D115,技能表!$A:$B,2,FALSE)),"",VLOOKUP(D115,技能表!$A:$B,2,FALSE))</f>
        <v/>
      </c>
      <c r="O115" t="str">
        <f>IF(ISNA(VLOOKUP(E115,技能表!$A:$B,2,FALSE)),"",VLOOKUP(E115,技能表!$A:$B,2,FALSE))</f>
        <v/>
      </c>
      <c r="P115" t="str">
        <f>IF(ISNA(VLOOKUP(F115,技能表!$A:$B,2,FALSE)),"",VLOOKUP(F115,技能表!$A:$B,2,FALSE))</f>
        <v/>
      </c>
      <c r="Q115" t="str">
        <f>IF(ISNA(VLOOKUP(G115,技能表!$A:$B,2,FALSE)),"",VLOOKUP(G115,技能表!$A:$B,2,FALSE))</f>
        <v/>
      </c>
      <c r="R115" t="str">
        <f>IF(ISNA(VLOOKUP(H115,技能表!$A:$B,2,FALSE)),"",VLOOKUP(H115,技能表!$A:$B,2,FALSE))</f>
        <v/>
      </c>
      <c r="S115" t="str">
        <f>IF(ISNA(VLOOKUP(I115,技能表!$A:$B,2,FALSE)),"",VLOOKUP(I115,技能表!$A:$B,2,FALSE))</f>
        <v/>
      </c>
      <c r="T115" t="str">
        <f>IF(ISNA(VLOOKUP(J115,技能表!$A:$B,2,FALSE)),"",VLOOKUP(J115,技能表!$A:$B,2,FALSE))</f>
        <v/>
      </c>
      <c r="U115" t="str">
        <f>IF(ISNA(VLOOKUP(K115,技能表!$A:$B,2,FALSE)),"",VLOOKUP(K115,技能表!$A:$B,2,FALSE))</f>
        <v/>
      </c>
      <c r="V115" t="str">
        <f>IF(ISNA(VLOOKUP(L115,技能表!$A:$B,2,FALSE)),"",VLOOKUP(L115,技能表!$A:$B,2,FALSE))</f>
        <v/>
      </c>
      <c r="W115" t="str">
        <f>IF(ISNA(VLOOKUP(M115,技能表!$A:$B,2,FALSE)),"",VLOOKUP(M115,技能表!$A:$B,2,FALSE))</f>
        <v/>
      </c>
    </row>
    <row r="116" spans="3:23">
      <c r="C116" s="64"/>
      <c r="N116" t="str">
        <f>IF(ISNA(VLOOKUP(D116,技能表!$A:$B,2,FALSE)),"",VLOOKUP(D116,技能表!$A:$B,2,FALSE))</f>
        <v/>
      </c>
      <c r="O116" t="str">
        <f>IF(ISNA(VLOOKUP(E116,技能表!$A:$B,2,FALSE)),"",VLOOKUP(E116,技能表!$A:$B,2,FALSE))</f>
        <v/>
      </c>
      <c r="P116" t="str">
        <f>IF(ISNA(VLOOKUP(F116,技能表!$A:$B,2,FALSE)),"",VLOOKUP(F116,技能表!$A:$B,2,FALSE))</f>
        <v/>
      </c>
      <c r="Q116" t="str">
        <f>IF(ISNA(VLOOKUP(G116,技能表!$A:$B,2,FALSE)),"",VLOOKUP(G116,技能表!$A:$B,2,FALSE))</f>
        <v/>
      </c>
      <c r="R116" t="str">
        <f>IF(ISNA(VLOOKUP(H116,技能表!$A:$B,2,FALSE)),"",VLOOKUP(H116,技能表!$A:$B,2,FALSE))</f>
        <v/>
      </c>
      <c r="S116" t="str">
        <f>IF(ISNA(VLOOKUP(I116,技能表!$A:$B,2,FALSE)),"",VLOOKUP(I116,技能表!$A:$B,2,FALSE))</f>
        <v/>
      </c>
      <c r="T116" t="str">
        <f>IF(ISNA(VLOOKUP(J116,技能表!$A:$B,2,FALSE)),"",VLOOKUP(J116,技能表!$A:$B,2,FALSE))</f>
        <v/>
      </c>
      <c r="U116" t="str">
        <f>IF(ISNA(VLOOKUP(K116,技能表!$A:$B,2,FALSE)),"",VLOOKUP(K116,技能表!$A:$B,2,FALSE))</f>
        <v/>
      </c>
      <c r="V116" t="str">
        <f>IF(ISNA(VLOOKUP(L116,技能表!$A:$B,2,FALSE)),"",VLOOKUP(L116,技能表!$A:$B,2,FALSE))</f>
        <v/>
      </c>
      <c r="W116" t="str">
        <f>IF(ISNA(VLOOKUP(M116,技能表!$A:$B,2,FALSE)),"",VLOOKUP(M116,技能表!$A:$B,2,FALSE))</f>
        <v/>
      </c>
    </row>
    <row r="117" spans="3:23">
      <c r="C117" s="64"/>
      <c r="D117" s="16"/>
      <c r="N117" t="str">
        <f>IF(ISNA(VLOOKUP(D117,技能表!$A:$B,2,FALSE)),"",VLOOKUP(D117,技能表!$A:$B,2,FALSE))</f>
        <v/>
      </c>
      <c r="O117" t="str">
        <f>IF(ISNA(VLOOKUP(E117,技能表!$A:$B,2,FALSE)),"",VLOOKUP(E117,技能表!$A:$B,2,FALSE))</f>
        <v/>
      </c>
      <c r="P117" t="str">
        <f>IF(ISNA(VLOOKUP(F117,技能表!$A:$B,2,FALSE)),"",VLOOKUP(F117,技能表!$A:$B,2,FALSE))</f>
        <v/>
      </c>
      <c r="Q117" t="str">
        <f>IF(ISNA(VLOOKUP(G117,技能表!$A:$B,2,FALSE)),"",VLOOKUP(G117,技能表!$A:$B,2,FALSE))</f>
        <v/>
      </c>
      <c r="R117" t="str">
        <f>IF(ISNA(VLOOKUP(H117,技能表!$A:$B,2,FALSE)),"",VLOOKUP(H117,技能表!$A:$B,2,FALSE))</f>
        <v/>
      </c>
      <c r="S117" t="str">
        <f>IF(ISNA(VLOOKUP(I117,技能表!$A:$B,2,FALSE)),"",VLOOKUP(I117,技能表!$A:$B,2,FALSE))</f>
        <v/>
      </c>
      <c r="T117" t="str">
        <f>IF(ISNA(VLOOKUP(J117,技能表!$A:$B,2,FALSE)),"",VLOOKUP(J117,技能表!$A:$B,2,FALSE))</f>
        <v/>
      </c>
      <c r="U117" t="str">
        <f>IF(ISNA(VLOOKUP(K117,技能表!$A:$B,2,FALSE)),"",VLOOKUP(K117,技能表!$A:$B,2,FALSE))</f>
        <v/>
      </c>
      <c r="V117" t="str">
        <f>IF(ISNA(VLOOKUP(L117,技能表!$A:$B,2,FALSE)),"",VLOOKUP(L117,技能表!$A:$B,2,FALSE))</f>
        <v/>
      </c>
      <c r="W117" t="str">
        <f>IF(ISNA(VLOOKUP(M117,技能表!$A:$B,2,FALSE)),"",VLOOKUP(M117,技能表!$A:$B,2,FALSE))</f>
        <v/>
      </c>
    </row>
    <row r="118" spans="3:23">
      <c r="C118" s="64"/>
      <c r="D118" s="16"/>
      <c r="N118" t="str">
        <f>IF(ISNA(VLOOKUP(D118,技能表!$A:$B,2,FALSE)),"",VLOOKUP(D118,技能表!$A:$B,2,FALSE))</f>
        <v/>
      </c>
      <c r="O118" t="str">
        <f>IF(ISNA(VLOOKUP(E118,技能表!$A:$B,2,FALSE)),"",VLOOKUP(E118,技能表!$A:$B,2,FALSE))</f>
        <v/>
      </c>
      <c r="P118" t="str">
        <f>IF(ISNA(VLOOKUP(F118,技能表!$A:$B,2,FALSE)),"",VLOOKUP(F118,技能表!$A:$B,2,FALSE))</f>
        <v/>
      </c>
      <c r="Q118" t="str">
        <f>IF(ISNA(VLOOKUP(G118,技能表!$A:$B,2,FALSE)),"",VLOOKUP(G118,技能表!$A:$B,2,FALSE))</f>
        <v/>
      </c>
      <c r="R118" t="str">
        <f>IF(ISNA(VLOOKUP(H118,技能表!$A:$B,2,FALSE)),"",VLOOKUP(H118,技能表!$A:$B,2,FALSE))</f>
        <v/>
      </c>
      <c r="S118" t="str">
        <f>IF(ISNA(VLOOKUP(I118,技能表!$A:$B,2,FALSE)),"",VLOOKUP(I118,技能表!$A:$B,2,FALSE))</f>
        <v/>
      </c>
      <c r="T118" t="str">
        <f>IF(ISNA(VLOOKUP(J118,技能表!$A:$B,2,FALSE)),"",VLOOKUP(J118,技能表!$A:$B,2,FALSE))</f>
        <v/>
      </c>
      <c r="U118" t="str">
        <f>IF(ISNA(VLOOKUP(K118,技能表!$A:$B,2,FALSE)),"",VLOOKUP(K118,技能表!$A:$B,2,FALSE))</f>
        <v/>
      </c>
      <c r="V118" t="str">
        <f>IF(ISNA(VLOOKUP(L118,技能表!$A:$B,2,FALSE)),"",VLOOKUP(L118,技能表!$A:$B,2,FALSE))</f>
        <v/>
      </c>
      <c r="W118" t="str">
        <f>IF(ISNA(VLOOKUP(M118,技能表!$A:$B,2,FALSE)),"",VLOOKUP(M118,技能表!$A:$B,2,FALSE))</f>
        <v/>
      </c>
    </row>
    <row r="119" spans="3:23">
      <c r="C119" s="64"/>
      <c r="N119" t="str">
        <f>IF(ISNA(VLOOKUP(D119,技能表!$A:$B,2,FALSE)),"",VLOOKUP(D119,技能表!$A:$B,2,FALSE))</f>
        <v/>
      </c>
      <c r="O119" t="str">
        <f>IF(ISNA(VLOOKUP(E119,技能表!$A:$B,2,FALSE)),"",VLOOKUP(E119,技能表!$A:$B,2,FALSE))</f>
        <v/>
      </c>
      <c r="P119" t="str">
        <f>IF(ISNA(VLOOKUP(F119,技能表!$A:$B,2,FALSE)),"",VLOOKUP(F119,技能表!$A:$B,2,FALSE))</f>
        <v/>
      </c>
      <c r="Q119" t="str">
        <f>IF(ISNA(VLOOKUP(G119,技能表!$A:$B,2,FALSE)),"",VLOOKUP(G119,技能表!$A:$B,2,FALSE))</f>
        <v/>
      </c>
      <c r="R119" t="str">
        <f>IF(ISNA(VLOOKUP(H119,技能表!$A:$B,2,FALSE)),"",VLOOKUP(H119,技能表!$A:$B,2,FALSE))</f>
        <v/>
      </c>
      <c r="S119" t="str">
        <f>IF(ISNA(VLOOKUP(I119,技能表!$A:$B,2,FALSE)),"",VLOOKUP(I119,技能表!$A:$B,2,FALSE))</f>
        <v/>
      </c>
      <c r="T119" t="str">
        <f>IF(ISNA(VLOOKUP(J119,技能表!$A:$B,2,FALSE)),"",VLOOKUP(J119,技能表!$A:$B,2,FALSE))</f>
        <v/>
      </c>
      <c r="U119" t="str">
        <f>IF(ISNA(VLOOKUP(K119,技能表!$A:$B,2,FALSE)),"",VLOOKUP(K119,技能表!$A:$B,2,FALSE))</f>
        <v/>
      </c>
      <c r="V119" t="str">
        <f>IF(ISNA(VLOOKUP(L119,技能表!$A:$B,2,FALSE)),"",VLOOKUP(L119,技能表!$A:$B,2,FALSE))</f>
        <v/>
      </c>
      <c r="W119" t="str">
        <f>IF(ISNA(VLOOKUP(M119,技能表!$A:$B,2,FALSE)),"",VLOOKUP(M119,技能表!$A:$B,2,FALSE))</f>
        <v/>
      </c>
    </row>
    <row r="120" spans="3:23">
      <c r="C120" s="64"/>
      <c r="N120" t="str">
        <f>IF(ISNA(VLOOKUP(D120,技能表!$A:$B,2,FALSE)),"",VLOOKUP(D120,技能表!$A:$B,2,FALSE))</f>
        <v/>
      </c>
      <c r="O120" t="str">
        <f>IF(ISNA(VLOOKUP(E120,技能表!$A:$B,2,FALSE)),"",VLOOKUP(E120,技能表!$A:$B,2,FALSE))</f>
        <v/>
      </c>
      <c r="P120" t="str">
        <f>IF(ISNA(VLOOKUP(F120,技能表!$A:$B,2,FALSE)),"",VLOOKUP(F120,技能表!$A:$B,2,FALSE))</f>
        <v/>
      </c>
      <c r="Q120" t="str">
        <f>IF(ISNA(VLOOKUP(G120,技能表!$A:$B,2,FALSE)),"",VLOOKUP(G120,技能表!$A:$B,2,FALSE))</f>
        <v/>
      </c>
      <c r="R120" t="str">
        <f>IF(ISNA(VLOOKUP(H120,技能表!$A:$B,2,FALSE)),"",VLOOKUP(H120,技能表!$A:$B,2,FALSE))</f>
        <v/>
      </c>
      <c r="S120" t="str">
        <f>IF(ISNA(VLOOKUP(I120,技能表!$A:$B,2,FALSE)),"",VLOOKUP(I120,技能表!$A:$B,2,FALSE))</f>
        <v/>
      </c>
      <c r="T120" t="str">
        <f>IF(ISNA(VLOOKUP(J120,技能表!$A:$B,2,FALSE)),"",VLOOKUP(J120,技能表!$A:$B,2,FALSE))</f>
        <v/>
      </c>
      <c r="U120" t="str">
        <f>IF(ISNA(VLOOKUP(K120,技能表!$A:$B,2,FALSE)),"",VLOOKUP(K120,技能表!$A:$B,2,FALSE))</f>
        <v/>
      </c>
      <c r="V120" t="str">
        <f>IF(ISNA(VLOOKUP(L120,技能表!$A:$B,2,FALSE)),"",VLOOKUP(L120,技能表!$A:$B,2,FALSE))</f>
        <v/>
      </c>
      <c r="W120" t="str">
        <f>IF(ISNA(VLOOKUP(M120,技能表!$A:$B,2,FALSE)),"",VLOOKUP(M120,技能表!$A:$B,2,FALSE))</f>
        <v/>
      </c>
    </row>
    <row r="121" spans="3:23">
      <c r="C121" s="64"/>
      <c r="D121" s="16"/>
      <c r="N121" t="str">
        <f>IF(ISNA(VLOOKUP(D121,技能表!$A:$B,2,FALSE)),"",VLOOKUP(D121,技能表!$A:$B,2,FALSE))</f>
        <v/>
      </c>
      <c r="O121" t="str">
        <f>IF(ISNA(VLOOKUP(F121,技能表!$A:$B,2,FALSE)),"",VLOOKUP(F121,技能表!$A:$B,2,FALSE))</f>
        <v/>
      </c>
      <c r="P121" t="str">
        <f>IF(ISNA(VLOOKUP(G121,技能表!$A:$B,2,FALSE)),"",VLOOKUP(G121,技能表!$A:$B,2,FALSE))</f>
        <v/>
      </c>
      <c r="Q121" t="str">
        <f>IF(ISNA(VLOOKUP(H121,技能表!$A:$B,2,FALSE)),"",VLOOKUP(H121,技能表!$A:$B,2,FALSE))</f>
        <v/>
      </c>
      <c r="R121" t="str">
        <f>IF(ISNA(VLOOKUP(H121,技能表!$A:$B,2,FALSE)),"",VLOOKUP(H121,技能表!$A:$B,2,FALSE))</f>
        <v/>
      </c>
      <c r="S121" t="str">
        <f>IF(ISNA(VLOOKUP(I121,技能表!$A:$B,2,FALSE)),"",VLOOKUP(I121,技能表!$A:$B,2,FALSE))</f>
        <v/>
      </c>
      <c r="T121" t="str">
        <f>IF(ISNA(VLOOKUP(J121,技能表!$A:$B,2,FALSE)),"",VLOOKUP(J121,技能表!$A:$B,2,FALSE))</f>
        <v/>
      </c>
      <c r="U121" t="str">
        <f>IF(ISNA(VLOOKUP(K121,技能表!$A:$B,2,FALSE)),"",VLOOKUP(K121,技能表!$A:$B,2,FALSE))</f>
        <v/>
      </c>
      <c r="V121" t="str">
        <f>IF(ISNA(VLOOKUP(L121,技能表!$A:$B,2,FALSE)),"",VLOOKUP(L121,技能表!$A:$B,2,FALSE))</f>
        <v/>
      </c>
      <c r="W121" t="str">
        <f>IF(ISNA(VLOOKUP(M121,技能表!$A:$B,2,FALSE)),"",VLOOKUP(M121,技能表!$A:$B,2,FALSE))</f>
        <v/>
      </c>
    </row>
    <row r="122" spans="3:23">
      <c r="C122" s="64"/>
      <c r="D122" s="16"/>
      <c r="N122" t="str">
        <f>IF(ISNA(VLOOKUP(D122,技能表!$A:$B,2,FALSE)),"",VLOOKUP(D122,技能表!$A:$B,2,FALSE))</f>
        <v/>
      </c>
      <c r="O122" t="str">
        <f>IF(ISNA(VLOOKUP(E122,技能表!$A:$B,2,FALSE)),"",VLOOKUP(E122,技能表!$A:$B,2,FALSE))</f>
        <v/>
      </c>
      <c r="P122" t="str">
        <f>IF(ISNA(VLOOKUP(F122,技能表!$A:$B,2,FALSE)),"",VLOOKUP(F122,技能表!$A:$B,2,FALSE))</f>
        <v/>
      </c>
      <c r="Q122" t="str">
        <f>IF(ISNA(VLOOKUP(G122,技能表!$A:$B,2,FALSE)),"",VLOOKUP(G122,技能表!$A:$B,2,FALSE))</f>
        <v/>
      </c>
      <c r="R122" t="str">
        <f>IF(ISNA(VLOOKUP(H122,技能表!$A:$B,2,FALSE)),"",VLOOKUP(H122,技能表!$A:$B,2,FALSE))</f>
        <v/>
      </c>
      <c r="S122" t="str">
        <f>IF(ISNA(VLOOKUP(I122,技能表!$A:$B,2,FALSE)),"",VLOOKUP(I122,技能表!$A:$B,2,FALSE))</f>
        <v/>
      </c>
      <c r="T122" t="str">
        <f>IF(ISNA(VLOOKUP(J122,技能表!$A:$B,2,FALSE)),"",VLOOKUP(J122,技能表!$A:$B,2,FALSE))</f>
        <v/>
      </c>
      <c r="U122" t="str">
        <f>IF(ISNA(VLOOKUP(K122,技能表!$A:$B,2,FALSE)),"",VLOOKUP(K122,技能表!$A:$B,2,FALSE))</f>
        <v/>
      </c>
      <c r="V122" t="str">
        <f>IF(ISNA(VLOOKUP(L122,技能表!$A:$B,2,FALSE)),"",VLOOKUP(L122,技能表!$A:$B,2,FALSE))</f>
        <v/>
      </c>
      <c r="W122" t="str">
        <f>IF(ISNA(VLOOKUP(M122,技能表!$A:$B,2,FALSE)),"",VLOOKUP(M122,技能表!$A:$B,2,FALSE))</f>
        <v/>
      </c>
    </row>
    <row r="123" spans="3:23">
      <c r="C123" s="64"/>
      <c r="N123" t="str">
        <f>IF(ISNA(VLOOKUP(D123,技能表!$A:$B,2,FALSE)),"",VLOOKUP(D123,技能表!$A:$B,2,FALSE))</f>
        <v/>
      </c>
      <c r="O123" t="str">
        <f>IF(ISNA(VLOOKUP(E123,技能表!$A:$B,2,FALSE)),"",VLOOKUP(E123,技能表!$A:$B,2,FALSE))</f>
        <v/>
      </c>
      <c r="P123" t="str">
        <f>IF(ISNA(VLOOKUP(F123,技能表!$A:$B,2,FALSE)),"",VLOOKUP(F123,技能表!$A:$B,2,FALSE))</f>
        <v/>
      </c>
      <c r="Q123" t="str">
        <f>IF(ISNA(VLOOKUP(G123,技能表!$A:$B,2,FALSE)),"",VLOOKUP(G123,技能表!$A:$B,2,FALSE))</f>
        <v/>
      </c>
      <c r="R123" t="str">
        <f>IF(ISNA(VLOOKUP(H123,技能表!$A:$B,2,FALSE)),"",VLOOKUP(H123,技能表!$A:$B,2,FALSE))</f>
        <v/>
      </c>
      <c r="S123" t="str">
        <f>IF(ISNA(VLOOKUP(I123,技能表!$A:$B,2,FALSE)),"",VLOOKUP(I123,技能表!$A:$B,2,FALSE))</f>
        <v/>
      </c>
      <c r="T123" t="str">
        <f>IF(ISNA(VLOOKUP(J123,技能表!$A:$B,2,FALSE)),"",VLOOKUP(J123,技能表!$A:$B,2,FALSE))</f>
        <v/>
      </c>
      <c r="U123" t="str">
        <f>IF(ISNA(VLOOKUP(K123,技能表!$A:$B,2,FALSE)),"",VLOOKUP(K123,技能表!$A:$B,2,FALSE))</f>
        <v/>
      </c>
      <c r="V123" t="str">
        <f>IF(ISNA(VLOOKUP(L123,技能表!$A:$B,2,FALSE)),"",VLOOKUP(L123,技能表!$A:$B,2,FALSE))</f>
        <v/>
      </c>
      <c r="W123" t="str">
        <f>IF(ISNA(VLOOKUP(M123,技能表!$A:$B,2,FALSE)),"",VLOOKUP(M123,技能表!$A:$B,2,FALSE))</f>
        <v/>
      </c>
    </row>
    <row r="124" spans="3:23">
      <c r="C124" s="64"/>
      <c r="N124" t="str">
        <f>IF(ISNA(VLOOKUP(D124,技能表!$A:$B,2,FALSE)),"",VLOOKUP(D124,技能表!$A:$B,2,FALSE))</f>
        <v/>
      </c>
      <c r="O124" t="str">
        <f>IF(ISNA(VLOOKUP(E124,技能表!$A:$B,2,FALSE)),"",VLOOKUP(E124,技能表!$A:$B,2,FALSE))</f>
        <v/>
      </c>
      <c r="P124" t="str">
        <f>IF(ISNA(VLOOKUP(F124,技能表!$A:$B,2,FALSE)),"",VLOOKUP(F124,技能表!$A:$B,2,FALSE))</f>
        <v/>
      </c>
      <c r="Q124" t="str">
        <f>IF(ISNA(VLOOKUP(G124,技能表!$A:$B,2,FALSE)),"",VLOOKUP(G124,技能表!$A:$B,2,FALSE))</f>
        <v/>
      </c>
      <c r="R124" t="str">
        <f>IF(ISNA(VLOOKUP(H124,技能表!$A:$B,2,FALSE)),"",VLOOKUP(H124,技能表!$A:$B,2,FALSE))</f>
        <v/>
      </c>
      <c r="S124" t="str">
        <f>IF(ISNA(VLOOKUP(I124,技能表!$A:$B,2,FALSE)),"",VLOOKUP(I124,技能表!$A:$B,2,FALSE))</f>
        <v/>
      </c>
      <c r="T124" t="str">
        <f>IF(ISNA(VLOOKUP(J124,技能表!$A:$B,2,FALSE)),"",VLOOKUP(J124,技能表!$A:$B,2,FALSE))</f>
        <v/>
      </c>
      <c r="U124" t="str">
        <f>IF(ISNA(VLOOKUP(K124,技能表!$A:$B,2,FALSE)),"",VLOOKUP(K124,技能表!$A:$B,2,FALSE))</f>
        <v/>
      </c>
      <c r="V124" t="str">
        <f>IF(ISNA(VLOOKUP(L124,技能表!$A:$B,2,FALSE)),"",VLOOKUP(L124,技能表!$A:$B,2,FALSE))</f>
        <v/>
      </c>
      <c r="W124" t="str">
        <f>IF(ISNA(VLOOKUP(M124,技能表!$A:$B,2,FALSE)),"",VLOOKUP(M124,技能表!$A:$B,2,FALSE))</f>
        <v/>
      </c>
    </row>
    <row r="125" spans="3:23">
      <c r="C125" s="64"/>
      <c r="N125" t="str">
        <f>IF(ISNA(VLOOKUP(D125,技能表!$A:$B,2,FALSE)),"",VLOOKUP(D125,技能表!$A:$B,2,FALSE))</f>
        <v/>
      </c>
      <c r="O125" t="str">
        <f>IF(ISNA(VLOOKUP(E125,技能表!$A:$B,2,FALSE)),"",VLOOKUP(E125,技能表!$A:$B,2,FALSE))</f>
        <v/>
      </c>
      <c r="P125" t="str">
        <f>IF(ISNA(VLOOKUP(F125,技能表!$A:$B,2,FALSE)),"",VLOOKUP(F125,技能表!$A:$B,2,FALSE))</f>
        <v/>
      </c>
      <c r="Q125" t="str">
        <f>IF(ISNA(VLOOKUP(G125,技能表!$A:$B,2,FALSE)),"",VLOOKUP(G125,技能表!$A:$B,2,FALSE))</f>
        <v/>
      </c>
      <c r="R125" t="str">
        <f>IF(ISNA(VLOOKUP(H125,技能表!$A:$B,2,FALSE)),"",VLOOKUP(H125,技能表!$A:$B,2,FALSE))</f>
        <v/>
      </c>
      <c r="S125" t="str">
        <f>IF(ISNA(VLOOKUP(I125,技能表!$A:$B,2,FALSE)),"",VLOOKUP(I125,技能表!$A:$B,2,FALSE))</f>
        <v/>
      </c>
      <c r="T125" t="str">
        <f>IF(ISNA(VLOOKUP(J125,技能表!$A:$B,2,FALSE)),"",VLOOKUP(J125,技能表!$A:$B,2,FALSE))</f>
        <v/>
      </c>
      <c r="U125" t="str">
        <f>IF(ISNA(VLOOKUP(K125,技能表!$A:$B,2,FALSE)),"",VLOOKUP(K125,技能表!$A:$B,2,FALSE))</f>
        <v/>
      </c>
      <c r="V125" t="str">
        <f>IF(ISNA(VLOOKUP(L125,技能表!$A:$B,2,FALSE)),"",VLOOKUP(L125,技能表!$A:$B,2,FALSE))</f>
        <v/>
      </c>
      <c r="W125" t="str">
        <f>IF(ISNA(VLOOKUP(M125,技能表!$A:$B,2,FALSE)),"",VLOOKUP(M125,技能表!$A:$B,2,FALSE))</f>
        <v/>
      </c>
    </row>
    <row r="126" spans="3:23">
      <c r="C126" s="64"/>
      <c r="N126" t="str">
        <f>IF(ISNA(VLOOKUP(D126,技能表!$A:$B,2,FALSE)),"",VLOOKUP(D126,技能表!$A:$B,2,FALSE))</f>
        <v/>
      </c>
      <c r="O126" t="str">
        <f>IF(ISNA(VLOOKUP(E126,技能表!$A:$B,2,FALSE)),"",VLOOKUP(E126,技能表!$A:$B,2,FALSE))</f>
        <v/>
      </c>
      <c r="P126" t="str">
        <f>IF(ISNA(VLOOKUP(F126,技能表!$A:$B,2,FALSE)),"",VLOOKUP(F126,技能表!$A:$B,2,FALSE))</f>
        <v/>
      </c>
      <c r="Q126" t="str">
        <f>IF(ISNA(VLOOKUP(G126,技能表!$A:$B,2,FALSE)),"",VLOOKUP(G126,技能表!$A:$B,2,FALSE))</f>
        <v/>
      </c>
      <c r="R126" t="str">
        <f>IF(ISNA(VLOOKUP(H126,技能表!$A:$B,2,FALSE)),"",VLOOKUP(H126,技能表!$A:$B,2,FALSE))</f>
        <v/>
      </c>
      <c r="S126" t="str">
        <f>IF(ISNA(VLOOKUP(I126,技能表!$A:$B,2,FALSE)),"",VLOOKUP(I126,技能表!$A:$B,2,FALSE))</f>
        <v/>
      </c>
      <c r="T126" t="str">
        <f>IF(ISNA(VLOOKUP(J126,技能表!$A:$B,2,FALSE)),"",VLOOKUP(J126,技能表!$A:$B,2,FALSE))</f>
        <v/>
      </c>
      <c r="U126" t="str">
        <f>IF(ISNA(VLOOKUP(K126,技能表!$A:$B,2,FALSE)),"",VLOOKUP(K126,技能表!$A:$B,2,FALSE))</f>
        <v/>
      </c>
      <c r="V126" t="str">
        <f>IF(ISNA(VLOOKUP(L126,技能表!$A:$B,2,FALSE)),"",VLOOKUP(L126,技能表!$A:$B,2,FALSE))</f>
        <v/>
      </c>
      <c r="W126" t="str">
        <f>IF(ISNA(VLOOKUP(M126,技能表!$A:$B,2,FALSE)),"",VLOOKUP(M126,技能表!$A:$B,2,FALSE))</f>
        <v/>
      </c>
    </row>
    <row r="127" spans="3:23">
      <c r="C127" s="64"/>
      <c r="N127" t="str">
        <f>IF(ISNA(VLOOKUP(D127,技能表!$A:$B,2,FALSE)),"",VLOOKUP(D127,技能表!$A:$B,2,FALSE))</f>
        <v/>
      </c>
      <c r="O127" t="str">
        <f>IF(ISNA(VLOOKUP(E127,技能表!$A:$B,2,FALSE)),"",VLOOKUP(E127,技能表!$A:$B,2,FALSE))</f>
        <v/>
      </c>
      <c r="P127" t="str">
        <f>IF(ISNA(VLOOKUP(F127,技能表!$A:$B,2,FALSE)),"",VLOOKUP(F127,技能表!$A:$B,2,FALSE))</f>
        <v/>
      </c>
      <c r="Q127" t="str">
        <f>IF(ISNA(VLOOKUP(G127,技能表!$A:$B,2,FALSE)),"",VLOOKUP(G127,技能表!$A:$B,2,FALSE))</f>
        <v/>
      </c>
      <c r="R127" t="str">
        <f>IF(ISNA(VLOOKUP(H127,技能表!$A:$B,2,FALSE)),"",VLOOKUP(H127,技能表!$A:$B,2,FALSE))</f>
        <v/>
      </c>
      <c r="S127" t="str">
        <f>IF(ISNA(VLOOKUP(I127,技能表!$A:$B,2,FALSE)),"",VLOOKUP(I127,技能表!$A:$B,2,FALSE))</f>
        <v/>
      </c>
      <c r="T127" t="str">
        <f>IF(ISNA(VLOOKUP(J127,技能表!$A:$B,2,FALSE)),"",VLOOKUP(J127,技能表!$A:$B,2,FALSE))</f>
        <v/>
      </c>
      <c r="U127" t="str">
        <f>IF(ISNA(VLOOKUP(K127,技能表!$A:$B,2,FALSE)),"",VLOOKUP(K127,技能表!$A:$B,2,FALSE))</f>
        <v/>
      </c>
      <c r="V127" t="str">
        <f>IF(ISNA(VLOOKUP(L127,技能表!$A:$B,2,FALSE)),"",VLOOKUP(L127,技能表!$A:$B,2,FALSE))</f>
        <v/>
      </c>
      <c r="W127" t="str">
        <f>IF(ISNA(VLOOKUP(M127,技能表!$A:$B,2,FALSE)),"",VLOOKUP(M127,技能表!$A:$B,2,FALSE))</f>
        <v/>
      </c>
    </row>
    <row r="128" spans="3:23">
      <c r="C128" s="64"/>
      <c r="N128" t="str">
        <f>IF(ISNA(VLOOKUP(D128,技能表!$A:$B,2,FALSE)),"",VLOOKUP(D128,技能表!$A:$B,2,FALSE))</f>
        <v/>
      </c>
      <c r="O128" t="str">
        <f>IF(ISNA(VLOOKUP(E128,技能表!$A:$B,2,FALSE)),"",VLOOKUP(E128,技能表!$A:$B,2,FALSE))</f>
        <v/>
      </c>
      <c r="P128" t="str">
        <f>IF(ISNA(VLOOKUP(F128,技能表!$A:$B,2,FALSE)),"",VLOOKUP(F128,技能表!$A:$B,2,FALSE))</f>
        <v/>
      </c>
      <c r="Q128" t="str">
        <f>IF(ISNA(VLOOKUP(G128,技能表!$A:$B,2,FALSE)),"",VLOOKUP(G128,技能表!$A:$B,2,FALSE))</f>
        <v/>
      </c>
      <c r="R128" t="str">
        <f>IF(ISNA(VLOOKUP(H128,技能表!$A:$B,2,FALSE)),"",VLOOKUP(H128,技能表!$A:$B,2,FALSE))</f>
        <v/>
      </c>
      <c r="S128" t="str">
        <f>IF(ISNA(VLOOKUP(I128,技能表!$A:$B,2,FALSE)),"",VLOOKUP(I128,技能表!$A:$B,2,FALSE))</f>
        <v/>
      </c>
      <c r="T128" t="str">
        <f>IF(ISNA(VLOOKUP(J128,技能表!$A:$B,2,FALSE)),"",VLOOKUP(J128,技能表!$A:$B,2,FALSE))</f>
        <v/>
      </c>
      <c r="U128" t="str">
        <f>IF(ISNA(VLOOKUP(K128,技能表!$A:$B,2,FALSE)),"",VLOOKUP(K128,技能表!$A:$B,2,FALSE))</f>
        <v/>
      </c>
      <c r="V128" t="str">
        <f>IF(ISNA(VLOOKUP(L128,技能表!$A:$B,2,FALSE)),"",VLOOKUP(L128,技能表!$A:$B,2,FALSE))</f>
        <v/>
      </c>
      <c r="W128" t="str">
        <f>IF(ISNA(VLOOKUP(M128,技能表!$A:$B,2,FALSE)),"",VLOOKUP(M128,技能表!$A:$B,2,FALSE))</f>
        <v/>
      </c>
    </row>
    <row r="129" spans="3:23">
      <c r="C129" s="64"/>
      <c r="N129" t="str">
        <f>IF(ISNA(VLOOKUP(D129,技能表!$A:$B,2,FALSE)),"",VLOOKUP(D129,技能表!$A:$B,2,FALSE))</f>
        <v/>
      </c>
      <c r="O129" t="str">
        <f>IF(ISNA(VLOOKUP(E129,技能表!$A:$B,2,FALSE)),"",VLOOKUP(E129,技能表!$A:$B,2,FALSE))</f>
        <v/>
      </c>
      <c r="P129" t="str">
        <f>IF(ISNA(VLOOKUP(F129,技能表!$A:$B,2,FALSE)),"",VLOOKUP(F129,技能表!$A:$B,2,FALSE))</f>
        <v/>
      </c>
      <c r="Q129" t="str">
        <f>IF(ISNA(VLOOKUP(G129,技能表!$A:$B,2,FALSE)),"",VLOOKUP(G129,技能表!$A:$B,2,FALSE))</f>
        <v/>
      </c>
      <c r="R129" t="str">
        <f>IF(ISNA(VLOOKUP(H129,技能表!$A:$B,2,FALSE)),"",VLOOKUP(H129,技能表!$A:$B,2,FALSE))</f>
        <v/>
      </c>
      <c r="S129" t="str">
        <f>IF(ISNA(VLOOKUP(I129,技能表!$A:$B,2,FALSE)),"",VLOOKUP(I129,技能表!$A:$B,2,FALSE))</f>
        <v/>
      </c>
      <c r="T129" t="str">
        <f>IF(ISNA(VLOOKUP(J129,技能表!$A:$B,2,FALSE)),"",VLOOKUP(J129,技能表!$A:$B,2,FALSE))</f>
        <v/>
      </c>
      <c r="U129" t="str">
        <f>IF(ISNA(VLOOKUP(K129,技能表!$A:$B,2,FALSE)),"",VLOOKUP(K129,技能表!$A:$B,2,FALSE))</f>
        <v/>
      </c>
      <c r="V129" t="str">
        <f>IF(ISNA(VLOOKUP(L129,技能表!$A:$B,2,FALSE)),"",VLOOKUP(L129,技能表!$A:$B,2,FALSE))</f>
        <v/>
      </c>
      <c r="W129" t="str">
        <f>IF(ISNA(VLOOKUP(M129,技能表!$A:$B,2,FALSE)),"",VLOOKUP(M129,技能表!$A:$B,2,FALSE))</f>
        <v/>
      </c>
    </row>
    <row r="130" spans="3:23">
      <c r="N130" t="str">
        <f>IF(ISNA(VLOOKUP(D130,技能表!$A:$B,2,FALSE)),"",VLOOKUP(D130,技能表!$A:$B,2,FALSE))</f>
        <v/>
      </c>
      <c r="O130" t="str">
        <f>IF(ISNA(VLOOKUP(E130,技能表!$A:$B,2,FALSE)),"",VLOOKUP(E130,技能表!$A:$B,2,FALSE))</f>
        <v/>
      </c>
      <c r="P130" t="str">
        <f>IF(ISNA(VLOOKUP(F130,技能表!$A:$B,2,FALSE)),"",VLOOKUP(F130,技能表!$A:$B,2,FALSE))</f>
        <v/>
      </c>
      <c r="Q130" t="str">
        <f>IF(ISNA(VLOOKUP(G130,技能表!$A:$B,2,FALSE)),"",VLOOKUP(G130,技能表!$A:$B,2,FALSE))</f>
        <v/>
      </c>
      <c r="R130" t="str">
        <f>IF(ISNA(VLOOKUP(H130,技能表!$A:$B,2,FALSE)),"",VLOOKUP(H130,技能表!$A:$B,2,FALSE))</f>
        <v/>
      </c>
      <c r="S130" t="str">
        <f>IF(ISNA(VLOOKUP(I130,技能表!$A:$B,2,FALSE)),"",VLOOKUP(I130,技能表!$A:$B,2,FALSE))</f>
        <v/>
      </c>
      <c r="T130" t="str">
        <f>IF(ISNA(VLOOKUP(J130,技能表!$A:$B,2,FALSE)),"",VLOOKUP(J130,技能表!$A:$B,2,FALSE))</f>
        <v/>
      </c>
      <c r="U130" t="str">
        <f>IF(ISNA(VLOOKUP(K130,技能表!$A:$B,2,FALSE)),"",VLOOKUP(K130,技能表!$A:$B,2,FALSE))</f>
        <v/>
      </c>
      <c r="V130" t="str">
        <f>IF(ISNA(VLOOKUP(L130,技能表!$A:$B,2,FALSE)),"",VLOOKUP(L130,技能表!$A:$B,2,FALSE))</f>
        <v/>
      </c>
      <c r="W130" t="str">
        <f>IF(ISNA(VLOOKUP(M130,技能表!$A:$B,2,FALSE)),"",VLOOKUP(M130,技能表!$A:$B,2,FALSE))</f>
        <v/>
      </c>
    </row>
    <row r="131" spans="3:23">
      <c r="N131" t="str">
        <f>IF(ISNA(VLOOKUP(D131,技能表!$A:$B,2,FALSE)),"",VLOOKUP(D131,技能表!$A:$B,2,FALSE))</f>
        <v/>
      </c>
      <c r="O131" t="str">
        <f>IF(ISNA(VLOOKUP(E131,技能表!$A:$B,2,FALSE)),"",VLOOKUP(E131,技能表!$A:$B,2,FALSE))</f>
        <v/>
      </c>
      <c r="P131" t="str">
        <f>IF(ISNA(VLOOKUP(F131,技能表!$A:$B,2,FALSE)),"",VLOOKUP(F131,技能表!$A:$B,2,FALSE))</f>
        <v/>
      </c>
      <c r="Q131" t="str">
        <f>IF(ISNA(VLOOKUP(G131,技能表!$A:$B,2,FALSE)),"",VLOOKUP(G131,技能表!$A:$B,2,FALSE))</f>
        <v/>
      </c>
      <c r="R131" t="str">
        <f>IF(ISNA(VLOOKUP(H131,技能表!$A:$B,2,FALSE)),"",VLOOKUP(H131,技能表!$A:$B,2,FALSE))</f>
        <v/>
      </c>
      <c r="S131" t="str">
        <f>IF(ISNA(VLOOKUP(I131,技能表!$A:$B,2,FALSE)),"",VLOOKUP(I131,技能表!$A:$B,2,FALSE))</f>
        <v/>
      </c>
      <c r="T131" t="str">
        <f>IF(ISNA(VLOOKUP(J131,技能表!$A:$B,2,FALSE)),"",VLOOKUP(J131,技能表!$A:$B,2,FALSE))</f>
        <v/>
      </c>
      <c r="U131" t="str">
        <f>IF(ISNA(VLOOKUP(K131,技能表!$A:$B,2,FALSE)),"",VLOOKUP(K131,技能表!$A:$B,2,FALSE))</f>
        <v/>
      </c>
      <c r="V131" t="str">
        <f>IF(ISNA(VLOOKUP(L131,技能表!$A:$B,2,FALSE)),"",VLOOKUP(L131,技能表!$A:$B,2,FALSE))</f>
        <v/>
      </c>
      <c r="W131" t="str">
        <f>IF(ISNA(VLOOKUP(M131,技能表!$A:$B,2,FALSE)),"",VLOOKUP(M131,技能表!$A:$B,2,FALSE))</f>
        <v/>
      </c>
    </row>
    <row r="132" spans="3:23">
      <c r="N132" t="str">
        <f>IF(ISNA(VLOOKUP(D132,技能表!$A:$B,2,FALSE)),"",VLOOKUP(D132,技能表!$A:$B,2,FALSE))</f>
        <v/>
      </c>
      <c r="O132" t="str">
        <f>IF(ISNA(VLOOKUP(E132,技能表!$A:$B,2,FALSE)),"",VLOOKUP(E132,技能表!$A:$B,2,FALSE))</f>
        <v/>
      </c>
      <c r="P132" t="str">
        <f>IF(ISNA(VLOOKUP(F132,技能表!$A:$B,2,FALSE)),"",VLOOKUP(F132,技能表!$A:$B,2,FALSE))</f>
        <v/>
      </c>
      <c r="Q132" t="str">
        <f>IF(ISNA(VLOOKUP(G132,技能表!$A:$B,2,FALSE)),"",VLOOKUP(G132,技能表!$A:$B,2,FALSE))</f>
        <v/>
      </c>
      <c r="R132" t="str">
        <f>IF(ISNA(VLOOKUP(H132,技能表!$A:$B,2,FALSE)),"",VLOOKUP(H132,技能表!$A:$B,2,FALSE))</f>
        <v/>
      </c>
      <c r="S132" t="str">
        <f>IF(ISNA(VLOOKUP(I132,技能表!$A:$B,2,FALSE)),"",VLOOKUP(I132,技能表!$A:$B,2,FALSE))</f>
        <v/>
      </c>
      <c r="T132" t="str">
        <f>IF(ISNA(VLOOKUP(J132,技能表!$A:$B,2,FALSE)),"",VLOOKUP(J132,技能表!$A:$B,2,FALSE))</f>
        <v/>
      </c>
      <c r="U132" t="str">
        <f>IF(ISNA(VLOOKUP(K132,技能表!$A:$B,2,FALSE)),"",VLOOKUP(K132,技能表!$A:$B,2,FALSE))</f>
        <v/>
      </c>
      <c r="V132" t="str">
        <f>IF(ISNA(VLOOKUP(L132,技能表!$A:$B,2,FALSE)),"",VLOOKUP(L132,技能表!$A:$B,2,FALSE))</f>
        <v/>
      </c>
      <c r="W132" t="str">
        <f>IF(ISNA(VLOOKUP(M132,技能表!$A:$B,2,FALSE)),"",VLOOKUP(M132,技能表!$A:$B,2,FALSE))</f>
        <v/>
      </c>
    </row>
    <row r="133" spans="3:23">
      <c r="N133" t="str">
        <f>IF(ISNA(VLOOKUP(D133,技能表!$A:$B,2,FALSE)),"",VLOOKUP(D133,技能表!$A:$B,2,FALSE))</f>
        <v/>
      </c>
      <c r="O133" t="str">
        <f>IF(ISNA(VLOOKUP(E133,技能表!$A:$B,2,FALSE)),"",VLOOKUP(E133,技能表!$A:$B,2,FALSE))</f>
        <v/>
      </c>
      <c r="P133" t="str">
        <f>IF(ISNA(VLOOKUP(F133,技能表!$A:$B,2,FALSE)),"",VLOOKUP(F133,技能表!$A:$B,2,FALSE))</f>
        <v/>
      </c>
      <c r="Q133" t="str">
        <f>IF(ISNA(VLOOKUP(G133,技能表!$A:$B,2,FALSE)),"",VLOOKUP(G133,技能表!$A:$B,2,FALSE))</f>
        <v/>
      </c>
      <c r="R133" t="str">
        <f>IF(ISNA(VLOOKUP(H133,技能表!$A:$B,2,FALSE)),"",VLOOKUP(H133,技能表!$A:$B,2,FALSE))</f>
        <v/>
      </c>
      <c r="S133" t="str">
        <f>IF(ISNA(VLOOKUP(I133,技能表!$A:$B,2,FALSE)),"",VLOOKUP(I133,技能表!$A:$B,2,FALSE))</f>
        <v/>
      </c>
      <c r="T133" t="str">
        <f>IF(ISNA(VLOOKUP(J133,技能表!$A:$B,2,FALSE)),"",VLOOKUP(J133,技能表!$A:$B,2,FALSE))</f>
        <v/>
      </c>
      <c r="U133" t="str">
        <f>IF(ISNA(VLOOKUP(K133,技能表!$A:$B,2,FALSE)),"",VLOOKUP(K133,技能表!$A:$B,2,FALSE))</f>
        <v/>
      </c>
      <c r="V133" t="str">
        <f>IF(ISNA(VLOOKUP(L133,技能表!$A:$B,2,FALSE)),"",VLOOKUP(L133,技能表!$A:$B,2,FALSE))</f>
        <v/>
      </c>
      <c r="W133" t="str">
        <f>IF(ISNA(VLOOKUP(M133,技能表!$A:$B,2,FALSE)),"",VLOOKUP(M133,技能表!$A:$B,2,FALSE))</f>
        <v/>
      </c>
    </row>
    <row r="134" spans="3:23">
      <c r="N134" t="str">
        <f>IF(ISNA(VLOOKUP(D134,技能表!$A:$B,2,FALSE)),"",VLOOKUP(D134,技能表!$A:$B,2,FALSE))</f>
        <v/>
      </c>
      <c r="O134" t="str">
        <f>IF(ISNA(VLOOKUP(E134,技能表!$A:$B,2,FALSE)),"",VLOOKUP(E134,技能表!$A:$B,2,FALSE))</f>
        <v/>
      </c>
      <c r="P134" t="str">
        <f>IF(ISNA(VLOOKUP(F134,技能表!$A:$B,2,FALSE)),"",VLOOKUP(F134,技能表!$A:$B,2,FALSE))</f>
        <v/>
      </c>
      <c r="Q134" t="str">
        <f>IF(ISNA(VLOOKUP(G134,技能表!$A:$B,2,FALSE)),"",VLOOKUP(G134,技能表!$A:$B,2,FALSE))</f>
        <v/>
      </c>
      <c r="R134" t="str">
        <f>IF(ISNA(VLOOKUP(H134,技能表!$A:$B,2,FALSE)),"",VLOOKUP(H134,技能表!$A:$B,2,FALSE))</f>
        <v/>
      </c>
      <c r="S134" t="str">
        <f>IF(ISNA(VLOOKUP(I134,技能表!$A:$B,2,FALSE)),"",VLOOKUP(I134,技能表!$A:$B,2,FALSE))</f>
        <v/>
      </c>
      <c r="T134" t="str">
        <f>IF(ISNA(VLOOKUP(J134,技能表!$A:$B,2,FALSE)),"",VLOOKUP(J134,技能表!$A:$B,2,FALSE))</f>
        <v/>
      </c>
      <c r="U134" t="str">
        <f>IF(ISNA(VLOOKUP(K134,技能表!$A:$B,2,FALSE)),"",VLOOKUP(K134,技能表!$A:$B,2,FALSE))</f>
        <v/>
      </c>
      <c r="V134" t="str">
        <f>IF(ISNA(VLOOKUP(L134,技能表!$A:$B,2,FALSE)),"",VLOOKUP(L134,技能表!$A:$B,2,FALSE))</f>
        <v/>
      </c>
      <c r="W134" t="str">
        <f>IF(ISNA(VLOOKUP(M134,技能表!$A:$B,2,FALSE)),"",VLOOKUP(M134,技能表!$A:$B,2,FALSE))</f>
        <v/>
      </c>
    </row>
    <row r="135" spans="3:23">
      <c r="N135" t="str">
        <f>IF(ISNA(VLOOKUP(D135,技能表!$A:$B,2,FALSE)),"",VLOOKUP(D135,技能表!$A:$B,2,FALSE))</f>
        <v/>
      </c>
      <c r="O135" t="str">
        <f>IF(ISNA(VLOOKUP(E135,技能表!$A:$B,2,FALSE)),"",VLOOKUP(E135,技能表!$A:$B,2,FALSE))</f>
        <v/>
      </c>
      <c r="P135" t="str">
        <f>IF(ISNA(VLOOKUP(F135,技能表!$A:$B,2,FALSE)),"",VLOOKUP(F135,技能表!$A:$B,2,FALSE))</f>
        <v/>
      </c>
      <c r="Q135" t="str">
        <f>IF(ISNA(VLOOKUP(G135,技能表!$A:$B,2,FALSE)),"",VLOOKUP(G135,技能表!$A:$B,2,FALSE))</f>
        <v/>
      </c>
      <c r="R135" t="str">
        <f>IF(ISNA(VLOOKUP(H135,技能表!$A:$B,2,FALSE)),"",VLOOKUP(H135,技能表!$A:$B,2,FALSE))</f>
        <v/>
      </c>
      <c r="S135" t="str">
        <f>IF(ISNA(VLOOKUP(I135,技能表!$A:$B,2,FALSE)),"",VLOOKUP(I135,技能表!$A:$B,2,FALSE))</f>
        <v/>
      </c>
      <c r="T135" t="str">
        <f>IF(ISNA(VLOOKUP(J135,技能表!$A:$B,2,FALSE)),"",VLOOKUP(J135,技能表!$A:$B,2,FALSE))</f>
        <v/>
      </c>
      <c r="U135" t="str">
        <f>IF(ISNA(VLOOKUP(K135,技能表!$A:$B,2,FALSE)),"",VLOOKUP(K135,技能表!$A:$B,2,FALSE))</f>
        <v/>
      </c>
      <c r="V135" t="str">
        <f>IF(ISNA(VLOOKUP(L135,技能表!$A:$B,2,FALSE)),"",VLOOKUP(L135,技能表!$A:$B,2,FALSE))</f>
        <v/>
      </c>
      <c r="W135" t="str">
        <f>IF(ISNA(VLOOKUP(M135,技能表!$A:$B,2,FALSE)),"",VLOOKUP(M135,技能表!$A:$B,2,FALSE))</f>
        <v/>
      </c>
    </row>
    <row r="136" spans="3:23">
      <c r="N136" t="str">
        <f>IF(ISNA(VLOOKUP(D136,技能表!$A:$B,2,FALSE)),"",VLOOKUP(D136,技能表!$A:$B,2,FALSE))</f>
        <v/>
      </c>
      <c r="O136" t="str">
        <f>IF(ISNA(VLOOKUP(E136,技能表!$A:$B,2,FALSE)),"",VLOOKUP(E136,技能表!$A:$B,2,FALSE))</f>
        <v/>
      </c>
      <c r="P136" t="str">
        <f>IF(ISNA(VLOOKUP(F136,技能表!$A:$B,2,FALSE)),"",VLOOKUP(F136,技能表!$A:$B,2,FALSE))</f>
        <v/>
      </c>
      <c r="Q136" t="str">
        <f>IF(ISNA(VLOOKUP(G136,技能表!$A:$B,2,FALSE)),"",VLOOKUP(G136,技能表!$A:$B,2,FALSE))</f>
        <v/>
      </c>
      <c r="R136" t="str">
        <f>IF(ISNA(VLOOKUP(H136,技能表!$A:$B,2,FALSE)),"",VLOOKUP(H136,技能表!$A:$B,2,FALSE))</f>
        <v/>
      </c>
      <c r="S136" t="str">
        <f>IF(ISNA(VLOOKUP(I136,技能表!$A:$B,2,FALSE)),"",VLOOKUP(I136,技能表!$A:$B,2,FALSE))</f>
        <v/>
      </c>
      <c r="T136" t="str">
        <f>IF(ISNA(VLOOKUP(J136,技能表!$A:$B,2,FALSE)),"",VLOOKUP(J136,技能表!$A:$B,2,FALSE))</f>
        <v/>
      </c>
      <c r="U136" t="str">
        <f>IF(ISNA(VLOOKUP(K136,技能表!$A:$B,2,FALSE)),"",VLOOKUP(K136,技能表!$A:$B,2,FALSE))</f>
        <v/>
      </c>
      <c r="V136" t="str">
        <f>IF(ISNA(VLOOKUP(L136,技能表!$A:$B,2,FALSE)),"",VLOOKUP(L136,技能表!$A:$B,2,FALSE))</f>
        <v/>
      </c>
      <c r="W136" t="str">
        <f>IF(ISNA(VLOOKUP(M136,技能表!$A:$B,2,FALSE)),"",VLOOKUP(M136,技能表!$A:$B,2,FALSE))</f>
        <v/>
      </c>
    </row>
    <row r="137" spans="3:23">
      <c r="N137" t="str">
        <f>IF(ISNA(VLOOKUP(D137,技能表!$A:$B,2,FALSE)),"",VLOOKUP(D137,技能表!$A:$B,2,FALSE))</f>
        <v/>
      </c>
      <c r="O137" t="str">
        <f>IF(ISNA(VLOOKUP(E137,技能表!$A:$B,2,FALSE)),"",VLOOKUP(E137,技能表!$A:$B,2,FALSE))</f>
        <v/>
      </c>
      <c r="P137" t="str">
        <f>IF(ISNA(VLOOKUP(F137,技能表!$A:$B,2,FALSE)),"",VLOOKUP(F137,技能表!$A:$B,2,FALSE))</f>
        <v/>
      </c>
      <c r="Q137" t="str">
        <f>IF(ISNA(VLOOKUP(G137,技能表!$A:$B,2,FALSE)),"",VLOOKUP(G137,技能表!$A:$B,2,FALSE))</f>
        <v/>
      </c>
      <c r="R137" t="str">
        <f>IF(ISNA(VLOOKUP(H137,技能表!$A:$B,2,FALSE)),"",VLOOKUP(H137,技能表!$A:$B,2,FALSE))</f>
        <v/>
      </c>
      <c r="S137" t="str">
        <f>IF(ISNA(VLOOKUP(I137,技能表!$A:$B,2,FALSE)),"",VLOOKUP(I137,技能表!$A:$B,2,FALSE))</f>
        <v/>
      </c>
      <c r="T137" t="str">
        <f>IF(ISNA(VLOOKUP(J137,技能表!$A:$B,2,FALSE)),"",VLOOKUP(J137,技能表!$A:$B,2,FALSE))</f>
        <v/>
      </c>
      <c r="U137" t="str">
        <f>IF(ISNA(VLOOKUP(K137,技能表!$A:$B,2,FALSE)),"",VLOOKUP(K137,技能表!$A:$B,2,FALSE))</f>
        <v/>
      </c>
      <c r="V137" t="str">
        <f>IF(ISNA(VLOOKUP(L137,技能表!$A:$B,2,FALSE)),"",VLOOKUP(L137,技能表!$A:$B,2,FALSE))</f>
        <v/>
      </c>
      <c r="W137" t="str">
        <f>IF(ISNA(VLOOKUP(M137,技能表!$A:$B,2,FALSE)),"",VLOOKUP(M137,技能表!$A:$B,2,FALSE))</f>
        <v/>
      </c>
    </row>
    <row r="138" spans="3:23">
      <c r="N138" t="str">
        <f>IF(ISNA(VLOOKUP(D138,技能表!$A:$B,2,FALSE)),"",VLOOKUP(D138,技能表!$A:$B,2,FALSE))</f>
        <v/>
      </c>
      <c r="O138" t="str">
        <f>IF(ISNA(VLOOKUP(E138,技能表!$A:$B,2,FALSE)),"",VLOOKUP(E138,技能表!$A:$B,2,FALSE))</f>
        <v/>
      </c>
      <c r="P138" t="str">
        <f>IF(ISNA(VLOOKUP(F138,技能表!$A:$B,2,FALSE)),"",VLOOKUP(F138,技能表!$A:$B,2,FALSE))</f>
        <v/>
      </c>
      <c r="Q138" t="str">
        <f>IF(ISNA(VLOOKUP(G138,技能表!$A:$B,2,FALSE)),"",VLOOKUP(G138,技能表!$A:$B,2,FALSE))</f>
        <v/>
      </c>
      <c r="R138" t="str">
        <f>IF(ISNA(VLOOKUP(H138,技能表!$A:$B,2,FALSE)),"",VLOOKUP(H138,技能表!$A:$B,2,FALSE))</f>
        <v/>
      </c>
      <c r="S138" t="str">
        <f>IF(ISNA(VLOOKUP(I138,技能表!$A:$B,2,FALSE)),"",VLOOKUP(I138,技能表!$A:$B,2,FALSE))</f>
        <v/>
      </c>
      <c r="T138" t="str">
        <f>IF(ISNA(VLOOKUP(J138,技能表!$A:$B,2,FALSE)),"",VLOOKUP(J138,技能表!$A:$B,2,FALSE))</f>
        <v/>
      </c>
      <c r="U138" t="str">
        <f>IF(ISNA(VLOOKUP(K138,技能表!$A:$B,2,FALSE)),"",VLOOKUP(K138,技能表!$A:$B,2,FALSE))</f>
        <v/>
      </c>
      <c r="V138" t="str">
        <f>IF(ISNA(VLOOKUP(L138,技能表!$A:$B,2,FALSE)),"",VLOOKUP(L138,技能表!$A:$B,2,FALSE))</f>
        <v/>
      </c>
      <c r="W138" t="str">
        <f>IF(ISNA(VLOOKUP(M138,技能表!$A:$B,2,FALSE)),"",VLOOKUP(M138,技能表!$A:$B,2,FALSE))</f>
        <v/>
      </c>
    </row>
    <row r="139" spans="3:23">
      <c r="N139" t="str">
        <f>IF(ISNA(VLOOKUP(D139,技能表!$A:$B,2,FALSE)),"",VLOOKUP(D139,技能表!$A:$B,2,FALSE))</f>
        <v/>
      </c>
      <c r="O139" t="str">
        <f>IF(ISNA(VLOOKUP(E139,技能表!$A:$B,2,FALSE)),"",VLOOKUP(E139,技能表!$A:$B,2,FALSE))</f>
        <v/>
      </c>
      <c r="P139" t="str">
        <f>IF(ISNA(VLOOKUP(F139,技能表!$A:$B,2,FALSE)),"",VLOOKUP(F139,技能表!$A:$B,2,FALSE))</f>
        <v/>
      </c>
      <c r="Q139" t="str">
        <f>IF(ISNA(VLOOKUP(G139,技能表!$A:$B,2,FALSE)),"",VLOOKUP(G139,技能表!$A:$B,2,FALSE))</f>
        <v/>
      </c>
      <c r="R139" t="str">
        <f>IF(ISNA(VLOOKUP(H139,技能表!$A:$B,2,FALSE)),"",VLOOKUP(H139,技能表!$A:$B,2,FALSE))</f>
        <v/>
      </c>
      <c r="S139" t="str">
        <f>IF(ISNA(VLOOKUP(I139,技能表!$A:$B,2,FALSE)),"",VLOOKUP(I139,技能表!$A:$B,2,FALSE))</f>
        <v/>
      </c>
      <c r="T139" t="str">
        <f>IF(ISNA(VLOOKUP(J139,技能表!$A:$B,2,FALSE)),"",VLOOKUP(J139,技能表!$A:$B,2,FALSE))</f>
        <v/>
      </c>
      <c r="U139" t="str">
        <f>IF(ISNA(VLOOKUP(K139,技能表!$A:$B,2,FALSE)),"",VLOOKUP(K139,技能表!$A:$B,2,FALSE))</f>
        <v/>
      </c>
      <c r="V139" t="str">
        <f>IF(ISNA(VLOOKUP(L139,技能表!$A:$B,2,FALSE)),"",VLOOKUP(L139,技能表!$A:$B,2,FALSE))</f>
        <v/>
      </c>
      <c r="W139" t="str">
        <f>IF(ISNA(VLOOKUP(M139,技能表!$A:$B,2,FALSE)),"",VLOOKUP(M139,技能表!$A:$B,2,FALSE))</f>
        <v/>
      </c>
    </row>
    <row r="140" spans="3:23">
      <c r="N140" t="str">
        <f>IF(ISNA(VLOOKUP(D140,技能表!$A:$B,2,FALSE)),"",VLOOKUP(D140,技能表!$A:$B,2,FALSE))</f>
        <v/>
      </c>
      <c r="O140" t="str">
        <f>IF(ISNA(VLOOKUP(E140,技能表!$A:$B,2,FALSE)),"",VLOOKUP(E140,技能表!$A:$B,2,FALSE))</f>
        <v/>
      </c>
      <c r="P140" t="str">
        <f>IF(ISNA(VLOOKUP(F140,技能表!$A:$B,2,FALSE)),"",VLOOKUP(F140,技能表!$A:$B,2,FALSE))</f>
        <v/>
      </c>
      <c r="Q140" t="str">
        <f>IF(ISNA(VLOOKUP(G140,技能表!$A:$B,2,FALSE)),"",VLOOKUP(G140,技能表!$A:$B,2,FALSE))</f>
        <v/>
      </c>
      <c r="R140" t="str">
        <f>IF(ISNA(VLOOKUP(H140,技能表!$A:$B,2,FALSE)),"",VLOOKUP(H140,技能表!$A:$B,2,FALSE))</f>
        <v/>
      </c>
      <c r="S140" t="str">
        <f>IF(ISNA(VLOOKUP(I140,技能表!$A:$B,2,FALSE)),"",VLOOKUP(I140,技能表!$A:$B,2,FALSE))</f>
        <v/>
      </c>
      <c r="T140" t="str">
        <f>IF(ISNA(VLOOKUP(J140,技能表!$A:$B,2,FALSE)),"",VLOOKUP(J140,技能表!$A:$B,2,FALSE))</f>
        <v/>
      </c>
      <c r="U140" t="str">
        <f>IF(ISNA(VLOOKUP(K140,技能表!$A:$B,2,FALSE)),"",VLOOKUP(K140,技能表!$A:$B,2,FALSE))</f>
        <v/>
      </c>
      <c r="V140" t="str">
        <f>IF(ISNA(VLOOKUP(L140,技能表!$A:$B,2,FALSE)),"",VLOOKUP(L140,技能表!$A:$B,2,FALSE))</f>
        <v/>
      </c>
      <c r="W140" t="str">
        <f>IF(ISNA(VLOOKUP(M140,技能表!$A:$B,2,FALSE)),"",VLOOKUP(M140,技能表!$A:$B,2,FALSE))</f>
        <v/>
      </c>
    </row>
    <row r="141" spans="3:23">
      <c r="N141" t="str">
        <f>IF(ISNA(VLOOKUP(D141,技能表!$A:$B,2,FALSE)),"",VLOOKUP(D141,技能表!$A:$B,2,FALSE))</f>
        <v/>
      </c>
      <c r="O141" t="str">
        <f>IF(ISNA(VLOOKUP(E141,技能表!$A:$B,2,FALSE)),"",VLOOKUP(E141,技能表!$A:$B,2,FALSE))</f>
        <v/>
      </c>
      <c r="P141" t="str">
        <f>IF(ISNA(VLOOKUP(F141,技能表!$A:$B,2,FALSE)),"",VLOOKUP(F141,技能表!$A:$B,2,FALSE))</f>
        <v/>
      </c>
      <c r="Q141" t="str">
        <f>IF(ISNA(VLOOKUP(G141,技能表!$A:$B,2,FALSE)),"",VLOOKUP(G141,技能表!$A:$B,2,FALSE))</f>
        <v/>
      </c>
      <c r="R141" t="str">
        <f>IF(ISNA(VLOOKUP(H141,技能表!$A:$B,2,FALSE)),"",VLOOKUP(H141,技能表!$A:$B,2,FALSE))</f>
        <v/>
      </c>
      <c r="S141" t="str">
        <f>IF(ISNA(VLOOKUP(I141,技能表!$A:$B,2,FALSE)),"",VLOOKUP(I141,技能表!$A:$B,2,FALSE))</f>
        <v/>
      </c>
      <c r="T141" t="str">
        <f>IF(ISNA(VLOOKUP(J141,技能表!$A:$B,2,FALSE)),"",VLOOKUP(J141,技能表!$A:$B,2,FALSE))</f>
        <v/>
      </c>
      <c r="U141" t="str">
        <f>IF(ISNA(VLOOKUP(K141,技能表!$A:$B,2,FALSE)),"",VLOOKUP(K141,技能表!$A:$B,2,FALSE))</f>
        <v/>
      </c>
      <c r="V141" t="str">
        <f>IF(ISNA(VLOOKUP(L141,技能表!$A:$B,2,FALSE)),"",VLOOKUP(L141,技能表!$A:$B,2,FALSE))</f>
        <v/>
      </c>
      <c r="W141" t="str">
        <f>IF(ISNA(VLOOKUP(M141,技能表!$A:$B,2,FALSE)),"",VLOOKUP(M141,技能表!$A:$B,2,FALSE))</f>
        <v/>
      </c>
    </row>
    <row r="142" spans="3:23">
      <c r="N142" t="str">
        <f>IF(ISNA(VLOOKUP(D142,技能表!$A:$B,2,FALSE)),"",VLOOKUP(D142,技能表!$A:$B,2,FALSE))</f>
        <v/>
      </c>
      <c r="O142" t="str">
        <f>IF(ISNA(VLOOKUP(E142,技能表!$A:$B,2,FALSE)),"",VLOOKUP(E142,技能表!$A:$B,2,FALSE))</f>
        <v/>
      </c>
      <c r="P142" t="str">
        <f>IF(ISNA(VLOOKUP(F142,技能表!$A:$B,2,FALSE)),"",VLOOKUP(F142,技能表!$A:$B,2,FALSE))</f>
        <v/>
      </c>
      <c r="Q142" t="str">
        <f>IF(ISNA(VLOOKUP(G142,技能表!$A:$B,2,FALSE)),"",VLOOKUP(G142,技能表!$A:$B,2,FALSE))</f>
        <v/>
      </c>
      <c r="R142" t="str">
        <f>IF(ISNA(VLOOKUP(H142,技能表!$A:$B,2,FALSE)),"",VLOOKUP(H142,技能表!$A:$B,2,FALSE))</f>
        <v/>
      </c>
      <c r="S142" t="str">
        <f>IF(ISNA(VLOOKUP(I142,技能表!$A:$B,2,FALSE)),"",VLOOKUP(I142,技能表!$A:$B,2,FALSE))</f>
        <v/>
      </c>
      <c r="T142" t="str">
        <f>IF(ISNA(VLOOKUP(J142,技能表!$A:$B,2,FALSE)),"",VLOOKUP(J142,技能表!$A:$B,2,FALSE))</f>
        <v/>
      </c>
      <c r="U142" t="str">
        <f>IF(ISNA(VLOOKUP(K142,技能表!$A:$B,2,FALSE)),"",VLOOKUP(K142,技能表!$A:$B,2,FALSE))</f>
        <v/>
      </c>
      <c r="V142" t="str">
        <f>IF(ISNA(VLOOKUP(L142,技能表!$A:$B,2,FALSE)),"",VLOOKUP(L142,技能表!$A:$B,2,FALSE))</f>
        <v/>
      </c>
      <c r="W142" t="str">
        <f>IF(ISNA(VLOOKUP(M142,技能表!$A:$B,2,FALSE)),"",VLOOKUP(M142,技能表!$A:$B,2,FALSE))</f>
        <v/>
      </c>
    </row>
    <row r="143" spans="3:23">
      <c r="N143" t="str">
        <f>IF(ISNA(VLOOKUP(D143,技能表!$A:$B,2,FALSE)),"",VLOOKUP(D143,技能表!$A:$B,2,FALSE))</f>
        <v/>
      </c>
      <c r="O143" t="str">
        <f>IF(ISNA(VLOOKUP(E143,技能表!$A:$B,2,FALSE)),"",VLOOKUP(E143,技能表!$A:$B,2,FALSE))</f>
        <v/>
      </c>
      <c r="P143" t="str">
        <f>IF(ISNA(VLOOKUP(F143,技能表!$A:$B,2,FALSE)),"",VLOOKUP(F143,技能表!$A:$B,2,FALSE))</f>
        <v/>
      </c>
      <c r="Q143" t="str">
        <f>IF(ISNA(VLOOKUP(G143,技能表!$A:$B,2,FALSE)),"",VLOOKUP(G143,技能表!$A:$B,2,FALSE))</f>
        <v/>
      </c>
      <c r="R143" t="str">
        <f>IF(ISNA(VLOOKUP(H143,技能表!$A:$B,2,FALSE)),"",VLOOKUP(H143,技能表!$A:$B,2,FALSE))</f>
        <v/>
      </c>
      <c r="S143" t="str">
        <f>IF(ISNA(VLOOKUP(I143,技能表!$A:$B,2,FALSE)),"",VLOOKUP(I143,技能表!$A:$B,2,FALSE))</f>
        <v/>
      </c>
      <c r="T143" t="str">
        <f>IF(ISNA(VLOOKUP(J143,技能表!$A:$B,2,FALSE)),"",VLOOKUP(J143,技能表!$A:$B,2,FALSE))</f>
        <v/>
      </c>
      <c r="U143" t="str">
        <f>IF(ISNA(VLOOKUP(K143,技能表!$A:$B,2,FALSE)),"",VLOOKUP(K143,技能表!$A:$B,2,FALSE))</f>
        <v/>
      </c>
      <c r="V143" t="str">
        <f>IF(ISNA(VLOOKUP(L143,技能表!$A:$B,2,FALSE)),"",VLOOKUP(L143,技能表!$A:$B,2,FALSE))</f>
        <v/>
      </c>
      <c r="W143" t="str">
        <f>IF(ISNA(VLOOKUP(M143,技能表!$A:$B,2,FALSE)),"",VLOOKUP(M143,技能表!$A:$B,2,FALSE))</f>
        <v/>
      </c>
    </row>
    <row r="144" spans="3:23">
      <c r="N144" t="str">
        <f>IF(ISNA(VLOOKUP(D144,技能表!$A:$B,2,FALSE)),"",VLOOKUP(D144,技能表!$A:$B,2,FALSE))</f>
        <v/>
      </c>
      <c r="O144" t="str">
        <f>IF(ISNA(VLOOKUP(E144,技能表!$A:$B,2,FALSE)),"",VLOOKUP(E144,技能表!$A:$B,2,FALSE))</f>
        <v/>
      </c>
      <c r="P144" t="str">
        <f>IF(ISNA(VLOOKUP(F144,技能表!$A:$B,2,FALSE)),"",VLOOKUP(F144,技能表!$A:$B,2,FALSE))</f>
        <v/>
      </c>
      <c r="Q144" t="str">
        <f>IF(ISNA(VLOOKUP(G144,技能表!$A:$B,2,FALSE)),"",VLOOKUP(G144,技能表!$A:$B,2,FALSE))</f>
        <v/>
      </c>
      <c r="R144" t="str">
        <f>IF(ISNA(VLOOKUP(H144,技能表!$A:$B,2,FALSE)),"",VLOOKUP(H144,技能表!$A:$B,2,FALSE))</f>
        <v/>
      </c>
      <c r="S144" t="str">
        <f>IF(ISNA(VLOOKUP(I144,技能表!$A:$B,2,FALSE)),"",VLOOKUP(I144,技能表!$A:$B,2,FALSE))</f>
        <v/>
      </c>
      <c r="T144" t="str">
        <f>IF(ISNA(VLOOKUP(J144,技能表!$A:$B,2,FALSE)),"",VLOOKUP(J144,技能表!$A:$B,2,FALSE))</f>
        <v/>
      </c>
      <c r="U144" t="str">
        <f>IF(ISNA(VLOOKUP(K144,技能表!$A:$B,2,FALSE)),"",VLOOKUP(K144,技能表!$A:$B,2,FALSE))</f>
        <v/>
      </c>
      <c r="V144" t="str">
        <f>IF(ISNA(VLOOKUP(L144,技能表!$A:$B,2,FALSE)),"",VLOOKUP(L144,技能表!$A:$B,2,FALSE))</f>
        <v/>
      </c>
      <c r="W144" t="str">
        <f>IF(ISNA(VLOOKUP(M144,技能表!$A:$B,2,FALSE)),"",VLOOKUP(M144,技能表!$A:$B,2,FALSE))</f>
        <v/>
      </c>
    </row>
    <row r="145" spans="14:23">
      <c r="N145" t="str">
        <f>IF(ISNA(VLOOKUP(D145,技能表!$A:$B,2,FALSE)),"",VLOOKUP(D145,技能表!$A:$B,2,FALSE))</f>
        <v/>
      </c>
      <c r="O145" t="str">
        <f>IF(ISNA(VLOOKUP(E145,技能表!$A:$B,2,FALSE)),"",VLOOKUP(E145,技能表!$A:$B,2,FALSE))</f>
        <v/>
      </c>
      <c r="P145" t="str">
        <f>IF(ISNA(VLOOKUP(F145,技能表!$A:$B,2,FALSE)),"",VLOOKUP(F145,技能表!$A:$B,2,FALSE))</f>
        <v/>
      </c>
      <c r="Q145" t="str">
        <f>IF(ISNA(VLOOKUP(G145,技能表!$A:$B,2,FALSE)),"",VLOOKUP(G145,技能表!$A:$B,2,FALSE))</f>
        <v/>
      </c>
      <c r="R145" t="str">
        <f>IF(ISNA(VLOOKUP(H145,技能表!$A:$B,2,FALSE)),"",VLOOKUP(H145,技能表!$A:$B,2,FALSE))</f>
        <v/>
      </c>
      <c r="S145" t="str">
        <f>IF(ISNA(VLOOKUP(I145,技能表!$A:$B,2,FALSE)),"",VLOOKUP(I145,技能表!$A:$B,2,FALSE))</f>
        <v/>
      </c>
      <c r="T145" t="str">
        <f>IF(ISNA(VLOOKUP(J145,技能表!$A:$B,2,FALSE)),"",VLOOKUP(J145,技能表!$A:$B,2,FALSE))</f>
        <v/>
      </c>
      <c r="U145" t="str">
        <f>IF(ISNA(VLOOKUP(K145,技能表!$A:$B,2,FALSE)),"",VLOOKUP(K145,技能表!$A:$B,2,FALSE))</f>
        <v/>
      </c>
      <c r="V145" t="str">
        <f>IF(ISNA(VLOOKUP(L145,技能表!$A:$B,2,FALSE)),"",VLOOKUP(L145,技能表!$A:$B,2,FALSE))</f>
        <v/>
      </c>
      <c r="W145" t="str">
        <f>IF(ISNA(VLOOKUP(M145,技能表!$A:$B,2,FALSE)),"",VLOOKUP(M145,技能表!$A:$B,2,FALSE))</f>
        <v/>
      </c>
    </row>
    <row r="146" spans="14:23">
      <c r="N146" t="str">
        <f>IF(ISNA(VLOOKUP(D146,技能表!$A:$B,2,FALSE)),"",VLOOKUP(D146,技能表!$A:$B,2,FALSE))</f>
        <v/>
      </c>
      <c r="O146" t="str">
        <f>IF(ISNA(VLOOKUP(E146,技能表!$A:$B,2,FALSE)),"",VLOOKUP(E146,技能表!$A:$B,2,FALSE))</f>
        <v/>
      </c>
      <c r="P146" t="str">
        <f>IF(ISNA(VLOOKUP(F146,技能表!$A:$B,2,FALSE)),"",VLOOKUP(F146,技能表!$A:$B,2,FALSE))</f>
        <v/>
      </c>
      <c r="Q146" t="str">
        <f>IF(ISNA(VLOOKUP(G146,技能表!$A:$B,2,FALSE)),"",VLOOKUP(G146,技能表!$A:$B,2,FALSE))</f>
        <v/>
      </c>
      <c r="R146" t="str">
        <f>IF(ISNA(VLOOKUP(H146,技能表!$A:$B,2,FALSE)),"",VLOOKUP(H146,技能表!$A:$B,2,FALSE))</f>
        <v/>
      </c>
      <c r="S146" t="str">
        <f>IF(ISNA(VLOOKUP(I146,技能表!$A:$B,2,FALSE)),"",VLOOKUP(I146,技能表!$A:$B,2,FALSE))</f>
        <v/>
      </c>
      <c r="T146" t="str">
        <f>IF(ISNA(VLOOKUP(J146,技能表!$A:$B,2,FALSE)),"",VLOOKUP(J146,技能表!$A:$B,2,FALSE))</f>
        <v/>
      </c>
      <c r="U146" t="str">
        <f>IF(ISNA(VLOOKUP(K146,技能表!$A:$B,2,FALSE)),"",VLOOKUP(K146,技能表!$A:$B,2,FALSE))</f>
        <v/>
      </c>
      <c r="V146" t="str">
        <f>IF(ISNA(VLOOKUP(L146,技能表!$A:$B,2,FALSE)),"",VLOOKUP(L146,技能表!$A:$B,2,FALSE))</f>
        <v/>
      </c>
      <c r="W146" t="str">
        <f>IF(ISNA(VLOOKUP(M146,技能表!$A:$B,2,FALSE)),"",VLOOKUP(M146,技能表!$A:$B,2,FALSE))</f>
        <v/>
      </c>
    </row>
    <row r="147" spans="14:23">
      <c r="N147" t="str">
        <f>IF(ISNA(VLOOKUP(D147,技能表!$A:$B,2,FALSE)),"",VLOOKUP(D147,技能表!$A:$B,2,FALSE))</f>
        <v/>
      </c>
      <c r="O147" t="str">
        <f>IF(ISNA(VLOOKUP(E147,技能表!$A:$B,2,FALSE)),"",VLOOKUP(E147,技能表!$A:$B,2,FALSE))</f>
        <v/>
      </c>
      <c r="P147" t="str">
        <f>IF(ISNA(VLOOKUP(F147,技能表!$A:$B,2,FALSE)),"",VLOOKUP(F147,技能表!$A:$B,2,FALSE))</f>
        <v/>
      </c>
      <c r="Q147" t="str">
        <f>IF(ISNA(VLOOKUP(G147,技能表!$A:$B,2,FALSE)),"",VLOOKUP(G147,技能表!$A:$B,2,FALSE))</f>
        <v/>
      </c>
      <c r="R147" t="str">
        <f>IF(ISNA(VLOOKUP(H147,技能表!$A:$B,2,FALSE)),"",VLOOKUP(H147,技能表!$A:$B,2,FALSE))</f>
        <v/>
      </c>
      <c r="S147" t="str">
        <f>IF(ISNA(VLOOKUP(I147,技能表!$A:$B,2,FALSE)),"",VLOOKUP(I147,技能表!$A:$B,2,FALSE))</f>
        <v/>
      </c>
      <c r="T147" t="str">
        <f>IF(ISNA(VLOOKUP(J147,技能表!$A:$B,2,FALSE)),"",VLOOKUP(J147,技能表!$A:$B,2,FALSE))</f>
        <v/>
      </c>
      <c r="U147" t="str">
        <f>IF(ISNA(VLOOKUP(K147,技能表!$A:$B,2,FALSE)),"",VLOOKUP(K147,技能表!$A:$B,2,FALSE))</f>
        <v/>
      </c>
      <c r="V147" t="str">
        <f>IF(ISNA(VLOOKUP(L147,技能表!$A:$B,2,FALSE)),"",VLOOKUP(L147,技能表!$A:$B,2,FALSE))</f>
        <v/>
      </c>
      <c r="W147" t="str">
        <f>IF(ISNA(VLOOKUP(M147,技能表!$A:$B,2,FALSE)),"",VLOOKUP(M147,技能表!$A:$B,2,FALSE))</f>
        <v/>
      </c>
    </row>
    <row r="148" spans="14:23">
      <c r="N148" t="str">
        <f>IF(ISNA(VLOOKUP(D148,技能表!$A:$B,2,FALSE)),"",VLOOKUP(D148,技能表!$A:$B,2,FALSE))</f>
        <v/>
      </c>
      <c r="O148" t="str">
        <f>IF(ISNA(VLOOKUP(E148,技能表!$A:$B,2,FALSE)),"",VLOOKUP(E148,技能表!$A:$B,2,FALSE))</f>
        <v/>
      </c>
      <c r="P148" t="str">
        <f>IF(ISNA(VLOOKUP(F148,技能表!$A:$B,2,FALSE)),"",VLOOKUP(F148,技能表!$A:$B,2,FALSE))</f>
        <v/>
      </c>
      <c r="Q148" t="str">
        <f>IF(ISNA(VLOOKUP(G148,技能表!$A:$B,2,FALSE)),"",VLOOKUP(G148,技能表!$A:$B,2,FALSE))</f>
        <v/>
      </c>
      <c r="R148" t="str">
        <f>IF(ISNA(VLOOKUP(H148,技能表!$A:$B,2,FALSE)),"",VLOOKUP(H148,技能表!$A:$B,2,FALSE))</f>
        <v/>
      </c>
      <c r="S148" t="str">
        <f>IF(ISNA(VLOOKUP(I148,技能表!$A:$B,2,FALSE)),"",VLOOKUP(I148,技能表!$A:$B,2,FALSE))</f>
        <v/>
      </c>
      <c r="T148" t="str">
        <f>IF(ISNA(VLOOKUP(J148,技能表!$A:$B,2,FALSE)),"",VLOOKUP(J148,技能表!$A:$B,2,FALSE))</f>
        <v/>
      </c>
      <c r="U148" t="str">
        <f>IF(ISNA(VLOOKUP(K148,技能表!$A:$B,2,FALSE)),"",VLOOKUP(K148,技能表!$A:$B,2,FALSE))</f>
        <v/>
      </c>
      <c r="V148" t="str">
        <f>IF(ISNA(VLOOKUP(L148,技能表!$A:$B,2,FALSE)),"",VLOOKUP(L148,技能表!$A:$B,2,FALSE))</f>
        <v/>
      </c>
      <c r="W148" t="str">
        <f>IF(ISNA(VLOOKUP(M148,技能表!$A:$B,2,FALSE)),"",VLOOKUP(M148,技能表!$A:$B,2,FALSE))</f>
        <v/>
      </c>
    </row>
    <row r="149" spans="14:23">
      <c r="N149" t="str">
        <f>IF(ISNA(VLOOKUP(D149,技能表!$A:$B,2,FALSE)),"",VLOOKUP(D149,技能表!$A:$B,2,FALSE))</f>
        <v/>
      </c>
      <c r="O149" t="str">
        <f>IF(ISNA(VLOOKUP(E149,技能表!$A:$B,2,FALSE)),"",VLOOKUP(E149,技能表!$A:$B,2,FALSE))</f>
        <v/>
      </c>
      <c r="P149" t="str">
        <f>IF(ISNA(VLOOKUP(F149,技能表!$A:$B,2,FALSE)),"",VLOOKUP(F149,技能表!$A:$B,2,FALSE))</f>
        <v/>
      </c>
      <c r="Q149" t="str">
        <f>IF(ISNA(VLOOKUP(G149,技能表!$A:$B,2,FALSE)),"",VLOOKUP(G149,技能表!$A:$B,2,FALSE))</f>
        <v/>
      </c>
      <c r="R149" t="str">
        <f>IF(ISNA(VLOOKUP(H149,技能表!$A:$B,2,FALSE)),"",VLOOKUP(H149,技能表!$A:$B,2,FALSE))</f>
        <v/>
      </c>
      <c r="S149" t="str">
        <f>IF(ISNA(VLOOKUP(I149,技能表!$A:$B,2,FALSE)),"",VLOOKUP(I149,技能表!$A:$B,2,FALSE))</f>
        <v/>
      </c>
      <c r="T149" t="str">
        <f>IF(ISNA(VLOOKUP(J149,技能表!$A:$B,2,FALSE)),"",VLOOKUP(J149,技能表!$A:$B,2,FALSE))</f>
        <v/>
      </c>
      <c r="U149" t="str">
        <f>IF(ISNA(VLOOKUP(K149,技能表!$A:$B,2,FALSE)),"",VLOOKUP(K149,技能表!$A:$B,2,FALSE))</f>
        <v/>
      </c>
      <c r="V149" t="str">
        <f>IF(ISNA(VLOOKUP(L149,技能表!$A:$B,2,FALSE)),"",VLOOKUP(L149,技能表!$A:$B,2,FALSE))</f>
        <v/>
      </c>
      <c r="W149" t="str">
        <f>IF(ISNA(VLOOKUP(M149,技能表!$A:$B,2,FALSE)),"",VLOOKUP(M149,技能表!$A:$B,2,FALSE))</f>
        <v/>
      </c>
    </row>
    <row r="150" spans="14:23">
      <c r="N150" t="str">
        <f>IF(ISNA(VLOOKUP(D150,技能表!$A:$B,2,FALSE)),"",VLOOKUP(D150,技能表!$A:$B,2,FALSE))</f>
        <v/>
      </c>
      <c r="O150" t="str">
        <f>IF(ISNA(VLOOKUP(E150,技能表!$A:$B,2,FALSE)),"",VLOOKUP(E150,技能表!$A:$B,2,FALSE))</f>
        <v/>
      </c>
      <c r="P150" t="str">
        <f>IF(ISNA(VLOOKUP(F150,技能表!$A:$B,2,FALSE)),"",VLOOKUP(F150,技能表!$A:$B,2,FALSE))</f>
        <v/>
      </c>
      <c r="Q150" t="str">
        <f>IF(ISNA(VLOOKUP(G150,技能表!$A:$B,2,FALSE)),"",VLOOKUP(G150,技能表!$A:$B,2,FALSE))</f>
        <v/>
      </c>
      <c r="R150" t="str">
        <f>IF(ISNA(VLOOKUP(H150,技能表!$A:$B,2,FALSE)),"",VLOOKUP(H150,技能表!$A:$B,2,FALSE))</f>
        <v/>
      </c>
      <c r="S150" t="str">
        <f>IF(ISNA(VLOOKUP(I150,技能表!$A:$B,2,FALSE)),"",VLOOKUP(I150,技能表!$A:$B,2,FALSE))</f>
        <v/>
      </c>
      <c r="T150" t="str">
        <f>IF(ISNA(VLOOKUP(J150,技能表!$A:$B,2,FALSE)),"",VLOOKUP(J150,技能表!$A:$B,2,FALSE))</f>
        <v/>
      </c>
      <c r="U150" t="str">
        <f>IF(ISNA(VLOOKUP(K150,技能表!$A:$B,2,FALSE)),"",VLOOKUP(K150,技能表!$A:$B,2,FALSE))</f>
        <v/>
      </c>
      <c r="V150" t="str">
        <f>IF(ISNA(VLOOKUP(L150,技能表!$A:$B,2,FALSE)),"",VLOOKUP(L150,技能表!$A:$B,2,FALSE))</f>
        <v/>
      </c>
      <c r="W150" t="str">
        <f>IF(ISNA(VLOOKUP(M150,技能表!$A:$B,2,FALSE)),"",VLOOKUP(M150,技能表!$A:$B,2,FALSE))</f>
        <v/>
      </c>
    </row>
    <row r="151" spans="14:23">
      <c r="N151" t="str">
        <f>IF(ISNA(VLOOKUP(D151,技能表!$A:$B,2,FALSE)),"",VLOOKUP(D151,技能表!$A:$B,2,FALSE))</f>
        <v/>
      </c>
      <c r="O151" t="str">
        <f>IF(ISNA(VLOOKUP(E151,技能表!$A:$B,2,FALSE)),"",VLOOKUP(E151,技能表!$A:$B,2,FALSE))</f>
        <v/>
      </c>
      <c r="P151" t="str">
        <f>IF(ISNA(VLOOKUP(F151,技能表!$A:$B,2,FALSE)),"",VLOOKUP(F151,技能表!$A:$B,2,FALSE))</f>
        <v/>
      </c>
      <c r="Q151" t="str">
        <f>IF(ISNA(VLOOKUP(G151,技能表!$A:$B,2,FALSE)),"",VLOOKUP(G151,技能表!$A:$B,2,FALSE))</f>
        <v/>
      </c>
      <c r="R151" t="str">
        <f>IF(ISNA(VLOOKUP(H151,技能表!$A:$B,2,FALSE)),"",VLOOKUP(H151,技能表!$A:$B,2,FALSE))</f>
        <v/>
      </c>
      <c r="S151" t="str">
        <f>IF(ISNA(VLOOKUP(I151,技能表!$A:$B,2,FALSE)),"",VLOOKUP(I151,技能表!$A:$B,2,FALSE))</f>
        <v/>
      </c>
      <c r="T151" t="str">
        <f>IF(ISNA(VLOOKUP(J151,技能表!$A:$B,2,FALSE)),"",VLOOKUP(J151,技能表!$A:$B,2,FALSE))</f>
        <v/>
      </c>
      <c r="U151" t="str">
        <f>IF(ISNA(VLOOKUP(K151,技能表!$A:$B,2,FALSE)),"",VLOOKUP(K151,技能表!$A:$B,2,FALSE))</f>
        <v/>
      </c>
      <c r="V151" t="str">
        <f>IF(ISNA(VLOOKUP(L151,技能表!$A:$B,2,FALSE)),"",VLOOKUP(L151,技能表!$A:$B,2,FALSE))</f>
        <v/>
      </c>
      <c r="W151" t="str">
        <f>IF(ISNA(VLOOKUP(M151,技能表!$A:$B,2,FALSE)),"",VLOOKUP(M151,技能表!$A:$B,2,FALSE))</f>
        <v/>
      </c>
    </row>
    <row r="152" spans="14:23">
      <c r="N152" t="str">
        <f>IF(ISNA(VLOOKUP(D152,技能表!$A:$B,2,FALSE)),"",VLOOKUP(D152,技能表!$A:$B,2,FALSE))</f>
        <v/>
      </c>
      <c r="O152" t="str">
        <f>IF(ISNA(VLOOKUP(E152,技能表!$A:$B,2,FALSE)),"",VLOOKUP(E152,技能表!$A:$B,2,FALSE))</f>
        <v/>
      </c>
      <c r="P152" t="str">
        <f>IF(ISNA(VLOOKUP(F152,技能表!$A:$B,2,FALSE)),"",VLOOKUP(F152,技能表!$A:$B,2,FALSE))</f>
        <v/>
      </c>
      <c r="Q152" t="str">
        <f>IF(ISNA(VLOOKUP(G152,技能表!$A:$B,2,FALSE)),"",VLOOKUP(G152,技能表!$A:$B,2,FALSE))</f>
        <v/>
      </c>
      <c r="R152" t="str">
        <f>IF(ISNA(VLOOKUP(H152,技能表!$A:$B,2,FALSE)),"",VLOOKUP(H152,技能表!$A:$B,2,FALSE))</f>
        <v/>
      </c>
      <c r="S152" t="str">
        <f>IF(ISNA(VLOOKUP(I152,技能表!$A:$B,2,FALSE)),"",VLOOKUP(I152,技能表!$A:$B,2,FALSE))</f>
        <v/>
      </c>
      <c r="T152" t="str">
        <f>IF(ISNA(VLOOKUP(J152,技能表!$A:$B,2,FALSE)),"",VLOOKUP(J152,技能表!$A:$B,2,FALSE))</f>
        <v/>
      </c>
      <c r="U152" t="str">
        <f>IF(ISNA(VLOOKUP(K152,技能表!$A:$B,2,FALSE)),"",VLOOKUP(K152,技能表!$A:$B,2,FALSE))</f>
        <v/>
      </c>
      <c r="V152" t="str">
        <f>IF(ISNA(VLOOKUP(L152,技能表!$A:$B,2,FALSE)),"",VLOOKUP(L152,技能表!$A:$B,2,FALSE))</f>
        <v/>
      </c>
      <c r="W152" t="str">
        <f>IF(ISNA(VLOOKUP(M152,技能表!$A:$B,2,FALSE)),"",VLOOKUP(M152,技能表!$A:$B,2,FALSE))</f>
        <v/>
      </c>
    </row>
    <row r="153" spans="14:23">
      <c r="N153" t="str">
        <f>IF(ISNA(VLOOKUP(D153,技能表!$A:$B,2,FALSE)),"",VLOOKUP(D153,技能表!$A:$B,2,FALSE))</f>
        <v/>
      </c>
      <c r="O153" t="str">
        <f>IF(ISNA(VLOOKUP(E153,技能表!$A:$B,2,FALSE)),"",VLOOKUP(E153,技能表!$A:$B,2,FALSE))</f>
        <v/>
      </c>
      <c r="P153" t="str">
        <f>IF(ISNA(VLOOKUP(F153,技能表!$A:$B,2,FALSE)),"",VLOOKUP(F153,技能表!$A:$B,2,FALSE))</f>
        <v/>
      </c>
      <c r="Q153" t="str">
        <f>IF(ISNA(VLOOKUP(G153,技能表!$A:$B,2,FALSE)),"",VLOOKUP(G153,技能表!$A:$B,2,FALSE))</f>
        <v/>
      </c>
      <c r="R153" t="str">
        <f>IF(ISNA(VLOOKUP(H153,技能表!$A:$B,2,FALSE)),"",VLOOKUP(H153,技能表!$A:$B,2,FALSE))</f>
        <v/>
      </c>
      <c r="S153" t="str">
        <f>IF(ISNA(VLOOKUP(I153,技能表!$A:$B,2,FALSE)),"",VLOOKUP(I153,技能表!$A:$B,2,FALSE))</f>
        <v/>
      </c>
      <c r="T153" t="str">
        <f>IF(ISNA(VLOOKUP(J153,技能表!$A:$B,2,FALSE)),"",VLOOKUP(J153,技能表!$A:$B,2,FALSE))</f>
        <v/>
      </c>
      <c r="U153" t="str">
        <f>IF(ISNA(VLOOKUP(K153,技能表!$A:$B,2,FALSE)),"",VLOOKUP(K153,技能表!$A:$B,2,FALSE))</f>
        <v/>
      </c>
      <c r="V153" t="str">
        <f>IF(ISNA(VLOOKUP(L153,技能表!$A:$B,2,FALSE)),"",VLOOKUP(L153,技能表!$A:$B,2,FALSE))</f>
        <v/>
      </c>
      <c r="W153" t="str">
        <f>IF(ISNA(VLOOKUP(M153,技能表!$A:$B,2,FALSE)),"",VLOOKUP(M153,技能表!$A:$B,2,FALSE))</f>
        <v/>
      </c>
    </row>
    <row r="154" spans="14:23">
      <c r="N154" t="str">
        <f>IF(ISNA(VLOOKUP(D154,技能表!$A:$B,2,FALSE)),"",VLOOKUP(D154,技能表!$A:$B,2,FALSE))</f>
        <v/>
      </c>
      <c r="O154" t="str">
        <f>IF(ISNA(VLOOKUP(E154,技能表!$A:$B,2,FALSE)),"",VLOOKUP(E154,技能表!$A:$B,2,FALSE))</f>
        <v/>
      </c>
      <c r="P154" t="str">
        <f>IF(ISNA(VLOOKUP(F154,技能表!$A:$B,2,FALSE)),"",VLOOKUP(F154,技能表!$A:$B,2,FALSE))</f>
        <v/>
      </c>
      <c r="Q154" t="str">
        <f>IF(ISNA(VLOOKUP(G154,技能表!$A:$B,2,FALSE)),"",VLOOKUP(G154,技能表!$A:$B,2,FALSE))</f>
        <v/>
      </c>
      <c r="R154" t="str">
        <f>IF(ISNA(VLOOKUP(H154,技能表!$A:$B,2,FALSE)),"",VLOOKUP(H154,技能表!$A:$B,2,FALSE))</f>
        <v/>
      </c>
      <c r="S154" t="str">
        <f>IF(ISNA(VLOOKUP(I154,技能表!$A:$B,2,FALSE)),"",VLOOKUP(I154,技能表!$A:$B,2,FALSE))</f>
        <v/>
      </c>
      <c r="T154" t="str">
        <f>IF(ISNA(VLOOKUP(J154,技能表!$A:$B,2,FALSE)),"",VLOOKUP(J154,技能表!$A:$B,2,FALSE))</f>
        <v/>
      </c>
      <c r="U154" t="str">
        <f>IF(ISNA(VLOOKUP(K154,技能表!$A:$B,2,FALSE)),"",VLOOKUP(K154,技能表!$A:$B,2,FALSE))</f>
        <v/>
      </c>
      <c r="V154" t="str">
        <f>IF(ISNA(VLOOKUP(L154,技能表!$A:$B,2,FALSE)),"",VLOOKUP(L154,技能表!$A:$B,2,FALSE))</f>
        <v/>
      </c>
      <c r="W154" t="str">
        <f>IF(ISNA(VLOOKUP(M154,技能表!$A:$B,2,FALSE)),"",VLOOKUP(M154,技能表!$A:$B,2,FALSE))</f>
        <v/>
      </c>
    </row>
    <row r="155" spans="14:23">
      <c r="N155" t="str">
        <f>IF(ISNA(VLOOKUP(D155,技能表!$A:$B,2,FALSE)),"",VLOOKUP(D155,技能表!$A:$B,2,FALSE))</f>
        <v/>
      </c>
      <c r="O155" t="str">
        <f>IF(ISNA(VLOOKUP(E155,技能表!$A:$B,2,FALSE)),"",VLOOKUP(E155,技能表!$A:$B,2,FALSE))</f>
        <v/>
      </c>
      <c r="P155" t="str">
        <f>IF(ISNA(VLOOKUP(F155,技能表!$A:$B,2,FALSE)),"",VLOOKUP(F155,技能表!$A:$B,2,FALSE))</f>
        <v/>
      </c>
      <c r="Q155" t="str">
        <f>IF(ISNA(VLOOKUP(G155,技能表!$A:$B,2,FALSE)),"",VLOOKUP(G155,技能表!$A:$B,2,FALSE))</f>
        <v/>
      </c>
      <c r="R155" t="str">
        <f>IF(ISNA(VLOOKUP(H155,技能表!$A:$B,2,FALSE)),"",VLOOKUP(H155,技能表!$A:$B,2,FALSE))</f>
        <v/>
      </c>
      <c r="S155" t="str">
        <f>IF(ISNA(VLOOKUP(I155,技能表!$A:$B,2,FALSE)),"",VLOOKUP(I155,技能表!$A:$B,2,FALSE))</f>
        <v/>
      </c>
      <c r="T155" t="str">
        <f>IF(ISNA(VLOOKUP(J155,技能表!$A:$B,2,FALSE)),"",VLOOKUP(J155,技能表!$A:$B,2,FALSE))</f>
        <v/>
      </c>
      <c r="U155" t="str">
        <f>IF(ISNA(VLOOKUP(K155,技能表!$A:$B,2,FALSE)),"",VLOOKUP(K155,技能表!$A:$B,2,FALSE))</f>
        <v/>
      </c>
      <c r="V155" t="str">
        <f>IF(ISNA(VLOOKUP(L155,技能表!$A:$B,2,FALSE)),"",VLOOKUP(L155,技能表!$A:$B,2,FALSE))</f>
        <v/>
      </c>
      <c r="W155" t="str">
        <f>IF(ISNA(VLOOKUP(M155,技能表!$A:$B,2,FALSE)),"",VLOOKUP(M155,技能表!$A:$B,2,FALSE))</f>
        <v/>
      </c>
    </row>
    <row r="156" spans="14:23">
      <c r="N156" t="str">
        <f>IF(ISNA(VLOOKUP(D156,技能表!$A:$B,2,FALSE)),"",VLOOKUP(D156,技能表!$A:$B,2,FALSE))</f>
        <v/>
      </c>
      <c r="O156" t="str">
        <f>IF(ISNA(VLOOKUP(E156,技能表!$A:$B,2,FALSE)),"",VLOOKUP(E156,技能表!$A:$B,2,FALSE))</f>
        <v/>
      </c>
      <c r="P156" t="str">
        <f>IF(ISNA(VLOOKUP(F156,技能表!$A:$B,2,FALSE)),"",VLOOKUP(F156,技能表!$A:$B,2,FALSE))</f>
        <v/>
      </c>
      <c r="Q156" t="str">
        <f>IF(ISNA(VLOOKUP(G156,技能表!$A:$B,2,FALSE)),"",VLOOKUP(G156,技能表!$A:$B,2,FALSE))</f>
        <v/>
      </c>
      <c r="R156" t="str">
        <f>IF(ISNA(VLOOKUP(H156,技能表!$A:$B,2,FALSE)),"",VLOOKUP(H156,技能表!$A:$B,2,FALSE))</f>
        <v/>
      </c>
      <c r="S156" t="str">
        <f>IF(ISNA(VLOOKUP(I156,技能表!$A:$B,2,FALSE)),"",VLOOKUP(I156,技能表!$A:$B,2,FALSE))</f>
        <v/>
      </c>
      <c r="T156" t="str">
        <f>IF(ISNA(VLOOKUP(J156,技能表!$A:$B,2,FALSE)),"",VLOOKUP(J156,技能表!$A:$B,2,FALSE))</f>
        <v/>
      </c>
      <c r="U156" t="str">
        <f>IF(ISNA(VLOOKUP(K156,技能表!$A:$B,2,FALSE)),"",VLOOKUP(K156,技能表!$A:$B,2,FALSE))</f>
        <v/>
      </c>
      <c r="V156" t="str">
        <f>IF(ISNA(VLOOKUP(L156,技能表!$A:$B,2,FALSE)),"",VLOOKUP(L156,技能表!$A:$B,2,FALSE))</f>
        <v/>
      </c>
      <c r="W156" t="str">
        <f>IF(ISNA(VLOOKUP(M156,技能表!$A:$B,2,FALSE)),"",VLOOKUP(M156,技能表!$A:$B,2,FALSE))</f>
        <v/>
      </c>
    </row>
    <row r="157" spans="14:23">
      <c r="N157" t="str">
        <f>IF(ISNA(VLOOKUP(D157,技能表!$A:$B,2,FALSE)),"",VLOOKUP(D157,技能表!$A:$B,2,FALSE))</f>
        <v/>
      </c>
      <c r="O157" t="str">
        <f>IF(ISNA(VLOOKUP(E157,技能表!$A:$B,2,FALSE)),"",VLOOKUP(E157,技能表!$A:$B,2,FALSE))</f>
        <v/>
      </c>
      <c r="P157" t="str">
        <f>IF(ISNA(VLOOKUP(F157,技能表!$A:$B,2,FALSE)),"",VLOOKUP(F157,技能表!$A:$B,2,FALSE))</f>
        <v/>
      </c>
      <c r="Q157" t="str">
        <f>IF(ISNA(VLOOKUP(G157,技能表!$A:$B,2,FALSE)),"",VLOOKUP(G157,技能表!$A:$B,2,FALSE))</f>
        <v/>
      </c>
      <c r="R157" t="str">
        <f>IF(ISNA(VLOOKUP(H157,技能表!$A:$B,2,FALSE)),"",VLOOKUP(H157,技能表!$A:$B,2,FALSE))</f>
        <v/>
      </c>
      <c r="S157" t="str">
        <f>IF(ISNA(VLOOKUP(I157,技能表!$A:$B,2,FALSE)),"",VLOOKUP(I157,技能表!$A:$B,2,FALSE))</f>
        <v/>
      </c>
      <c r="T157" t="str">
        <f>IF(ISNA(VLOOKUP(J157,技能表!$A:$B,2,FALSE)),"",VLOOKUP(J157,技能表!$A:$B,2,FALSE))</f>
        <v/>
      </c>
      <c r="U157" t="str">
        <f>IF(ISNA(VLOOKUP(K157,技能表!$A:$B,2,FALSE)),"",VLOOKUP(K157,技能表!$A:$B,2,FALSE))</f>
        <v/>
      </c>
      <c r="V157" t="str">
        <f>IF(ISNA(VLOOKUP(L157,技能表!$A:$B,2,FALSE)),"",VLOOKUP(L157,技能表!$A:$B,2,FALSE))</f>
        <v/>
      </c>
      <c r="W157" t="str">
        <f>IF(ISNA(VLOOKUP(M157,技能表!$A:$B,2,FALSE)),"",VLOOKUP(M157,技能表!$A:$B,2,FALSE))</f>
        <v/>
      </c>
    </row>
    <row r="158" spans="14:23">
      <c r="N158" t="str">
        <f>IF(ISNA(VLOOKUP(D158,技能表!$A:$B,2,FALSE)),"",VLOOKUP(D158,技能表!$A:$B,2,FALSE))</f>
        <v/>
      </c>
      <c r="O158" t="str">
        <f>IF(ISNA(VLOOKUP(E158,技能表!$A:$B,2,FALSE)),"",VLOOKUP(E158,技能表!$A:$B,2,FALSE))</f>
        <v/>
      </c>
      <c r="P158" t="str">
        <f>IF(ISNA(VLOOKUP(F158,技能表!$A:$B,2,FALSE)),"",VLOOKUP(F158,技能表!$A:$B,2,FALSE))</f>
        <v/>
      </c>
      <c r="Q158" t="str">
        <f>IF(ISNA(VLOOKUP(G158,技能表!$A:$B,2,FALSE)),"",VLOOKUP(G158,技能表!$A:$B,2,FALSE))</f>
        <v/>
      </c>
      <c r="R158" t="str">
        <f>IF(ISNA(VLOOKUP(H158,技能表!$A:$B,2,FALSE)),"",VLOOKUP(H158,技能表!$A:$B,2,FALSE))</f>
        <v/>
      </c>
      <c r="S158" t="str">
        <f>IF(ISNA(VLOOKUP(I158,技能表!$A:$B,2,FALSE)),"",VLOOKUP(I158,技能表!$A:$B,2,FALSE))</f>
        <v/>
      </c>
      <c r="T158" t="str">
        <f>IF(ISNA(VLOOKUP(J158,技能表!$A:$B,2,FALSE)),"",VLOOKUP(J158,技能表!$A:$B,2,FALSE))</f>
        <v/>
      </c>
      <c r="U158" t="str">
        <f>IF(ISNA(VLOOKUP(K158,技能表!$A:$B,2,FALSE)),"",VLOOKUP(K158,技能表!$A:$B,2,FALSE))</f>
        <v/>
      </c>
      <c r="V158" t="str">
        <f>IF(ISNA(VLOOKUP(L158,技能表!$A:$B,2,FALSE)),"",VLOOKUP(L158,技能表!$A:$B,2,FALSE))</f>
        <v/>
      </c>
      <c r="W158" t="str">
        <f>IF(ISNA(VLOOKUP(M158,技能表!$A:$B,2,FALSE)),"",VLOOKUP(M158,技能表!$A:$B,2,FALSE))</f>
        <v/>
      </c>
    </row>
    <row r="159" spans="14:23">
      <c r="N159" t="str">
        <f>IF(ISNA(VLOOKUP(D159,技能表!$A:$B,2,FALSE)),"",VLOOKUP(D159,技能表!$A:$B,2,FALSE))</f>
        <v/>
      </c>
      <c r="O159" t="str">
        <f>IF(ISNA(VLOOKUP(E159,技能表!$A:$B,2,FALSE)),"",VLOOKUP(E159,技能表!$A:$B,2,FALSE))</f>
        <v/>
      </c>
      <c r="P159" t="str">
        <f>IF(ISNA(VLOOKUP(F159,技能表!$A:$B,2,FALSE)),"",VLOOKUP(F159,技能表!$A:$B,2,FALSE))</f>
        <v/>
      </c>
      <c r="Q159" t="str">
        <f>IF(ISNA(VLOOKUP(G159,技能表!$A:$B,2,FALSE)),"",VLOOKUP(G159,技能表!$A:$B,2,FALSE))</f>
        <v/>
      </c>
      <c r="R159" t="str">
        <f>IF(ISNA(VLOOKUP(H159,技能表!$A:$B,2,FALSE)),"",VLOOKUP(H159,技能表!$A:$B,2,FALSE))</f>
        <v/>
      </c>
      <c r="S159" t="str">
        <f>IF(ISNA(VLOOKUP(I159,技能表!$A:$B,2,FALSE)),"",VLOOKUP(I159,技能表!$A:$B,2,FALSE))</f>
        <v/>
      </c>
      <c r="T159" t="str">
        <f>IF(ISNA(VLOOKUP(J159,技能表!$A:$B,2,FALSE)),"",VLOOKUP(J159,技能表!$A:$B,2,FALSE))</f>
        <v/>
      </c>
      <c r="U159" t="str">
        <f>IF(ISNA(VLOOKUP(K159,技能表!$A:$B,2,FALSE)),"",VLOOKUP(K159,技能表!$A:$B,2,FALSE))</f>
        <v/>
      </c>
      <c r="V159" t="str">
        <f>IF(ISNA(VLOOKUP(L159,技能表!$A:$B,2,FALSE)),"",VLOOKUP(L159,技能表!$A:$B,2,FALSE))</f>
        <v/>
      </c>
      <c r="W159" t="str">
        <f>IF(ISNA(VLOOKUP(M159,技能表!$A:$B,2,FALSE)),"",VLOOKUP(M159,技能表!$A:$B,2,FALSE))</f>
        <v/>
      </c>
    </row>
    <row r="160" spans="14:23">
      <c r="N160" t="str">
        <f>IF(ISNA(VLOOKUP(D160,技能表!$A:$B,2,FALSE)),"",VLOOKUP(D160,技能表!$A:$B,2,FALSE))</f>
        <v/>
      </c>
      <c r="O160" t="str">
        <f>IF(ISNA(VLOOKUP(E160,技能表!$A:$B,2,FALSE)),"",VLOOKUP(E160,技能表!$A:$B,2,FALSE))</f>
        <v/>
      </c>
      <c r="P160" t="str">
        <f>IF(ISNA(VLOOKUP(F160,技能表!$A:$B,2,FALSE)),"",VLOOKUP(F160,技能表!$A:$B,2,FALSE))</f>
        <v/>
      </c>
      <c r="Q160" t="str">
        <f>IF(ISNA(VLOOKUP(G160,技能表!$A:$B,2,FALSE)),"",VLOOKUP(G160,技能表!$A:$B,2,FALSE))</f>
        <v/>
      </c>
      <c r="R160" t="str">
        <f>IF(ISNA(VLOOKUP(H160,技能表!$A:$B,2,FALSE)),"",VLOOKUP(H160,技能表!$A:$B,2,FALSE))</f>
        <v/>
      </c>
      <c r="S160" t="str">
        <f>IF(ISNA(VLOOKUP(I160,技能表!$A:$B,2,FALSE)),"",VLOOKUP(I160,技能表!$A:$B,2,FALSE))</f>
        <v/>
      </c>
      <c r="T160" t="str">
        <f>IF(ISNA(VLOOKUP(J160,技能表!$A:$B,2,FALSE)),"",VLOOKUP(J160,技能表!$A:$B,2,FALSE))</f>
        <v/>
      </c>
      <c r="U160" t="str">
        <f>IF(ISNA(VLOOKUP(K160,技能表!$A:$B,2,FALSE)),"",VLOOKUP(K160,技能表!$A:$B,2,FALSE))</f>
        <v/>
      </c>
      <c r="V160" t="str">
        <f>IF(ISNA(VLOOKUP(L160,技能表!$A:$B,2,FALSE)),"",VLOOKUP(L160,技能表!$A:$B,2,FALSE))</f>
        <v/>
      </c>
      <c r="W160" t="str">
        <f>IF(ISNA(VLOOKUP(M160,技能表!$A:$B,2,FALSE)),"",VLOOKUP(M160,技能表!$A:$B,2,FALSE))</f>
        <v/>
      </c>
    </row>
    <row r="161" spans="14:23">
      <c r="N161" t="str">
        <f>IF(ISNA(VLOOKUP(D161,技能表!$A:$B,2,FALSE)),"",VLOOKUP(D161,技能表!$A:$B,2,FALSE))</f>
        <v/>
      </c>
      <c r="O161" t="str">
        <f>IF(ISNA(VLOOKUP(E161,技能表!$A:$B,2,FALSE)),"",VLOOKUP(E161,技能表!$A:$B,2,FALSE))</f>
        <v/>
      </c>
      <c r="P161" t="str">
        <f>IF(ISNA(VLOOKUP(F161,技能表!$A:$B,2,FALSE)),"",VLOOKUP(F161,技能表!$A:$B,2,FALSE))</f>
        <v/>
      </c>
      <c r="Q161" t="str">
        <f>IF(ISNA(VLOOKUP(G161,技能表!$A:$B,2,FALSE)),"",VLOOKUP(G161,技能表!$A:$B,2,FALSE))</f>
        <v/>
      </c>
      <c r="R161" t="str">
        <f>IF(ISNA(VLOOKUP(H161,技能表!$A:$B,2,FALSE)),"",VLOOKUP(H161,技能表!$A:$B,2,FALSE))</f>
        <v/>
      </c>
      <c r="S161" t="str">
        <f>IF(ISNA(VLOOKUP(I161,技能表!$A:$B,2,FALSE)),"",VLOOKUP(I161,技能表!$A:$B,2,FALSE))</f>
        <v/>
      </c>
      <c r="T161" t="str">
        <f>IF(ISNA(VLOOKUP(J161,技能表!$A:$B,2,FALSE)),"",VLOOKUP(J161,技能表!$A:$B,2,FALSE))</f>
        <v/>
      </c>
      <c r="U161" t="str">
        <f>IF(ISNA(VLOOKUP(K161,技能表!$A:$B,2,FALSE)),"",VLOOKUP(K161,技能表!$A:$B,2,FALSE))</f>
        <v/>
      </c>
      <c r="V161" t="str">
        <f>IF(ISNA(VLOOKUP(L161,技能表!$A:$B,2,FALSE)),"",VLOOKUP(L161,技能表!$A:$B,2,FALSE))</f>
        <v/>
      </c>
      <c r="W161" t="str">
        <f>IF(ISNA(VLOOKUP(M161,技能表!$A:$B,2,FALSE)),"",VLOOKUP(M161,技能表!$A:$B,2,FALSE))</f>
        <v/>
      </c>
    </row>
    <row r="162" spans="14:23">
      <c r="N162" t="str">
        <f>IF(ISNA(VLOOKUP(D162,技能表!$A:$B,2,FALSE)),"",VLOOKUP(D162,技能表!$A:$B,2,FALSE))</f>
        <v/>
      </c>
      <c r="O162" t="str">
        <f>IF(ISNA(VLOOKUP(E162,技能表!$A:$B,2,FALSE)),"",VLOOKUP(E162,技能表!$A:$B,2,FALSE))</f>
        <v/>
      </c>
      <c r="P162" t="str">
        <f>IF(ISNA(VLOOKUP(F162,技能表!$A:$B,2,FALSE)),"",VLOOKUP(F162,技能表!$A:$B,2,FALSE))</f>
        <v/>
      </c>
      <c r="Q162" t="str">
        <f>IF(ISNA(VLOOKUP(G162,技能表!$A:$B,2,FALSE)),"",VLOOKUP(G162,技能表!$A:$B,2,FALSE))</f>
        <v/>
      </c>
      <c r="R162" t="str">
        <f>IF(ISNA(VLOOKUP(H162,技能表!$A:$B,2,FALSE)),"",VLOOKUP(H162,技能表!$A:$B,2,FALSE))</f>
        <v/>
      </c>
      <c r="S162" t="str">
        <f>IF(ISNA(VLOOKUP(I162,技能表!$A:$B,2,FALSE)),"",VLOOKUP(I162,技能表!$A:$B,2,FALSE))</f>
        <v/>
      </c>
      <c r="T162" t="str">
        <f>IF(ISNA(VLOOKUP(J162,技能表!$A:$B,2,FALSE)),"",VLOOKUP(J162,技能表!$A:$B,2,FALSE))</f>
        <v/>
      </c>
      <c r="U162" t="str">
        <f>IF(ISNA(VLOOKUP(K162,技能表!$A:$B,2,FALSE)),"",VLOOKUP(K162,技能表!$A:$B,2,FALSE))</f>
        <v/>
      </c>
      <c r="V162" t="str">
        <f>IF(ISNA(VLOOKUP(L162,技能表!$A:$B,2,FALSE)),"",VLOOKUP(L162,技能表!$A:$B,2,FALSE))</f>
        <v/>
      </c>
      <c r="W162" t="str">
        <f>IF(ISNA(VLOOKUP(M162,技能表!$A:$B,2,FALSE)),"",VLOOKUP(M162,技能表!$A:$B,2,FALSE))</f>
        <v/>
      </c>
    </row>
    <row r="163" spans="14:23">
      <c r="N163" t="str">
        <f>IF(ISNA(VLOOKUP(D163,技能表!$A:$B,2,FALSE)),"",VLOOKUP(D163,技能表!$A:$B,2,FALSE))</f>
        <v/>
      </c>
      <c r="O163" t="str">
        <f>IF(ISNA(VLOOKUP(E163,技能表!$A:$B,2,FALSE)),"",VLOOKUP(E163,技能表!$A:$B,2,FALSE))</f>
        <v/>
      </c>
      <c r="P163" t="str">
        <f>IF(ISNA(VLOOKUP(F163,技能表!$A:$B,2,FALSE)),"",VLOOKUP(F163,技能表!$A:$B,2,FALSE))</f>
        <v/>
      </c>
      <c r="Q163" t="str">
        <f>IF(ISNA(VLOOKUP(G163,技能表!$A:$B,2,FALSE)),"",VLOOKUP(G163,技能表!$A:$B,2,FALSE))</f>
        <v/>
      </c>
      <c r="R163" t="str">
        <f>IF(ISNA(VLOOKUP(H163,技能表!$A:$B,2,FALSE)),"",VLOOKUP(H163,技能表!$A:$B,2,FALSE))</f>
        <v/>
      </c>
      <c r="S163" t="str">
        <f>IF(ISNA(VLOOKUP(I163,技能表!$A:$B,2,FALSE)),"",VLOOKUP(I163,技能表!$A:$B,2,FALSE))</f>
        <v/>
      </c>
      <c r="T163" t="str">
        <f>IF(ISNA(VLOOKUP(J163,技能表!$A:$B,2,FALSE)),"",VLOOKUP(J163,技能表!$A:$B,2,FALSE))</f>
        <v/>
      </c>
      <c r="U163" t="str">
        <f>IF(ISNA(VLOOKUP(K163,技能表!$A:$B,2,FALSE)),"",VLOOKUP(K163,技能表!$A:$B,2,FALSE))</f>
        <v/>
      </c>
      <c r="V163" t="str">
        <f>IF(ISNA(VLOOKUP(L163,技能表!$A:$B,2,FALSE)),"",VLOOKUP(L163,技能表!$A:$B,2,FALSE))</f>
        <v/>
      </c>
      <c r="W163" t="str">
        <f>IF(ISNA(VLOOKUP(M163,技能表!$A:$B,2,FALSE)),"",VLOOKUP(M163,技能表!$A:$B,2,FALSE))</f>
        <v/>
      </c>
    </row>
    <row r="164" spans="14:23">
      <c r="N164" t="str">
        <f>IF(ISNA(VLOOKUP(D164,技能表!$A:$B,2,FALSE)),"",VLOOKUP(D164,技能表!$A:$B,2,FALSE))</f>
        <v/>
      </c>
      <c r="O164" t="str">
        <f>IF(ISNA(VLOOKUP(E164,技能表!$A:$B,2,FALSE)),"",VLOOKUP(E164,技能表!$A:$B,2,FALSE))</f>
        <v/>
      </c>
      <c r="P164" t="str">
        <f>IF(ISNA(VLOOKUP(F164,技能表!$A:$B,2,FALSE)),"",VLOOKUP(F164,技能表!$A:$B,2,FALSE))</f>
        <v/>
      </c>
      <c r="Q164" t="str">
        <f>IF(ISNA(VLOOKUP(G164,技能表!$A:$B,2,FALSE)),"",VLOOKUP(G164,技能表!$A:$B,2,FALSE))</f>
        <v/>
      </c>
      <c r="R164" t="str">
        <f>IF(ISNA(VLOOKUP(H164,技能表!$A:$B,2,FALSE)),"",VLOOKUP(H164,技能表!$A:$B,2,FALSE))</f>
        <v/>
      </c>
      <c r="S164" t="str">
        <f>IF(ISNA(VLOOKUP(I164,技能表!$A:$B,2,FALSE)),"",VLOOKUP(I164,技能表!$A:$B,2,FALSE))</f>
        <v/>
      </c>
      <c r="T164" t="str">
        <f>IF(ISNA(VLOOKUP(J164,技能表!$A:$B,2,FALSE)),"",VLOOKUP(J164,技能表!$A:$B,2,FALSE))</f>
        <v/>
      </c>
      <c r="U164" t="str">
        <f>IF(ISNA(VLOOKUP(K164,技能表!$A:$B,2,FALSE)),"",VLOOKUP(K164,技能表!$A:$B,2,FALSE))</f>
        <v/>
      </c>
      <c r="V164" t="str">
        <f>IF(ISNA(VLOOKUP(L164,技能表!$A:$B,2,FALSE)),"",VLOOKUP(L164,技能表!$A:$B,2,FALSE))</f>
        <v/>
      </c>
      <c r="W164" t="str">
        <f>IF(ISNA(VLOOKUP(M164,技能表!$A:$B,2,FALSE)),"",VLOOKUP(M164,技能表!$A:$B,2,FALSE))</f>
        <v/>
      </c>
    </row>
    <row r="165" spans="14:23">
      <c r="N165" t="str">
        <f>IF(ISNA(VLOOKUP(D165,技能表!$A:$B,2,FALSE)),"",VLOOKUP(D165,技能表!$A:$B,2,FALSE))</f>
        <v/>
      </c>
      <c r="O165" t="str">
        <f>IF(ISNA(VLOOKUP(E165,技能表!$A:$B,2,FALSE)),"",VLOOKUP(E165,技能表!$A:$B,2,FALSE))</f>
        <v/>
      </c>
      <c r="P165" t="str">
        <f>IF(ISNA(VLOOKUP(F165,技能表!$A:$B,2,FALSE)),"",VLOOKUP(F165,技能表!$A:$B,2,FALSE))</f>
        <v/>
      </c>
      <c r="Q165" t="str">
        <f>IF(ISNA(VLOOKUP(G165,技能表!$A:$B,2,FALSE)),"",VLOOKUP(G165,技能表!$A:$B,2,FALSE))</f>
        <v/>
      </c>
      <c r="R165" t="str">
        <f>IF(ISNA(VLOOKUP(H165,技能表!$A:$B,2,FALSE)),"",VLOOKUP(H165,技能表!$A:$B,2,FALSE))</f>
        <v/>
      </c>
      <c r="S165" t="str">
        <f>IF(ISNA(VLOOKUP(I165,技能表!$A:$B,2,FALSE)),"",VLOOKUP(I165,技能表!$A:$B,2,FALSE))</f>
        <v/>
      </c>
      <c r="T165" t="str">
        <f>IF(ISNA(VLOOKUP(J165,技能表!$A:$B,2,FALSE)),"",VLOOKUP(J165,技能表!$A:$B,2,FALSE))</f>
        <v/>
      </c>
      <c r="U165" t="str">
        <f>IF(ISNA(VLOOKUP(K165,技能表!$A:$B,2,FALSE)),"",VLOOKUP(K165,技能表!$A:$B,2,FALSE))</f>
        <v/>
      </c>
      <c r="V165" t="str">
        <f>IF(ISNA(VLOOKUP(L165,技能表!$A:$B,2,FALSE)),"",VLOOKUP(L165,技能表!$A:$B,2,FALSE))</f>
        <v/>
      </c>
      <c r="W165" t="str">
        <f>IF(ISNA(VLOOKUP(M165,技能表!$A:$B,2,FALSE)),"",VLOOKUP(M165,技能表!$A:$B,2,FALSE))</f>
        <v/>
      </c>
    </row>
    <row r="166" spans="14:23">
      <c r="N166" t="str">
        <f>IF(ISNA(VLOOKUP(D166,技能表!$A:$B,2,FALSE)),"",VLOOKUP(D166,技能表!$A:$B,2,FALSE))</f>
        <v/>
      </c>
      <c r="O166" t="str">
        <f>IF(ISNA(VLOOKUP(E166,技能表!$A:$B,2,FALSE)),"",VLOOKUP(E166,技能表!$A:$B,2,FALSE))</f>
        <v/>
      </c>
      <c r="P166" t="str">
        <f>IF(ISNA(VLOOKUP(F166,技能表!$A:$B,2,FALSE)),"",VLOOKUP(F166,技能表!$A:$B,2,FALSE))</f>
        <v/>
      </c>
      <c r="Q166" t="str">
        <f>IF(ISNA(VLOOKUP(G166,技能表!$A:$B,2,FALSE)),"",VLOOKUP(G166,技能表!$A:$B,2,FALSE))</f>
        <v/>
      </c>
      <c r="R166" t="str">
        <f>IF(ISNA(VLOOKUP(H166,技能表!$A:$B,2,FALSE)),"",VLOOKUP(H166,技能表!$A:$B,2,FALSE))</f>
        <v/>
      </c>
      <c r="S166" t="str">
        <f>IF(ISNA(VLOOKUP(I166,技能表!$A:$B,2,FALSE)),"",VLOOKUP(I166,技能表!$A:$B,2,FALSE))</f>
        <v/>
      </c>
      <c r="T166" t="str">
        <f>IF(ISNA(VLOOKUP(J166,技能表!$A:$B,2,FALSE)),"",VLOOKUP(J166,技能表!$A:$B,2,FALSE))</f>
        <v/>
      </c>
      <c r="U166" t="str">
        <f>IF(ISNA(VLOOKUP(K166,技能表!$A:$B,2,FALSE)),"",VLOOKUP(K166,技能表!$A:$B,2,FALSE))</f>
        <v/>
      </c>
      <c r="V166" t="str">
        <f>IF(ISNA(VLOOKUP(L166,技能表!$A:$B,2,FALSE)),"",VLOOKUP(L166,技能表!$A:$B,2,FALSE))</f>
        <v/>
      </c>
      <c r="W166" t="str">
        <f>IF(ISNA(VLOOKUP(M166,技能表!$A:$B,2,FALSE)),"",VLOOKUP(M166,技能表!$A:$B,2,FALSE))</f>
        <v/>
      </c>
    </row>
    <row r="167" spans="14:23">
      <c r="N167" t="str">
        <f>IF(ISNA(VLOOKUP(D167,技能表!$A:$B,2,FALSE)),"",VLOOKUP(D167,技能表!$A:$B,2,FALSE))</f>
        <v/>
      </c>
      <c r="O167" t="str">
        <f>IF(ISNA(VLOOKUP(E167,技能表!$A:$B,2,FALSE)),"",VLOOKUP(E167,技能表!$A:$B,2,FALSE))</f>
        <v/>
      </c>
      <c r="P167" t="str">
        <f>IF(ISNA(VLOOKUP(F167,技能表!$A:$B,2,FALSE)),"",VLOOKUP(F167,技能表!$A:$B,2,FALSE))</f>
        <v/>
      </c>
      <c r="Q167" t="str">
        <f>IF(ISNA(VLOOKUP(G167,技能表!$A:$B,2,FALSE)),"",VLOOKUP(G167,技能表!$A:$B,2,FALSE))</f>
        <v/>
      </c>
      <c r="R167" t="str">
        <f>IF(ISNA(VLOOKUP(H167,技能表!$A:$B,2,FALSE)),"",VLOOKUP(H167,技能表!$A:$B,2,FALSE))</f>
        <v/>
      </c>
      <c r="S167" t="str">
        <f>IF(ISNA(VLOOKUP(I167,技能表!$A:$B,2,FALSE)),"",VLOOKUP(I167,技能表!$A:$B,2,FALSE))</f>
        <v/>
      </c>
      <c r="T167" t="str">
        <f>IF(ISNA(VLOOKUP(J167,技能表!$A:$B,2,FALSE)),"",VLOOKUP(J167,技能表!$A:$B,2,FALSE))</f>
        <v/>
      </c>
      <c r="U167" t="str">
        <f>IF(ISNA(VLOOKUP(K167,技能表!$A:$B,2,FALSE)),"",VLOOKUP(K167,技能表!$A:$B,2,FALSE))</f>
        <v/>
      </c>
      <c r="V167" t="str">
        <f>IF(ISNA(VLOOKUP(L167,技能表!$A:$B,2,FALSE)),"",VLOOKUP(L167,技能表!$A:$B,2,FALSE))</f>
        <v/>
      </c>
      <c r="W167" t="str">
        <f>IF(ISNA(VLOOKUP(M167,技能表!$A:$B,2,FALSE)),"",VLOOKUP(M167,技能表!$A:$B,2,FALSE))</f>
        <v/>
      </c>
    </row>
    <row r="168" spans="14:23">
      <c r="N168" t="str">
        <f>IF(ISNA(VLOOKUP(D168,技能表!$A:$B,2,FALSE)),"",VLOOKUP(D168,技能表!$A:$B,2,FALSE))</f>
        <v/>
      </c>
      <c r="O168" t="str">
        <f>IF(ISNA(VLOOKUP(E168,技能表!$A:$B,2,FALSE)),"",VLOOKUP(E168,技能表!$A:$B,2,FALSE))</f>
        <v/>
      </c>
      <c r="P168" t="str">
        <f>IF(ISNA(VLOOKUP(F168,技能表!$A:$B,2,FALSE)),"",VLOOKUP(F168,技能表!$A:$B,2,FALSE))</f>
        <v/>
      </c>
      <c r="Q168" t="str">
        <f>IF(ISNA(VLOOKUP(G168,技能表!$A:$B,2,FALSE)),"",VLOOKUP(G168,技能表!$A:$B,2,FALSE))</f>
        <v/>
      </c>
      <c r="R168" t="str">
        <f>IF(ISNA(VLOOKUP(H168,技能表!$A:$B,2,FALSE)),"",VLOOKUP(H168,技能表!$A:$B,2,FALSE))</f>
        <v/>
      </c>
      <c r="S168" t="str">
        <f>IF(ISNA(VLOOKUP(I168,技能表!$A:$B,2,FALSE)),"",VLOOKUP(I168,技能表!$A:$B,2,FALSE))</f>
        <v/>
      </c>
      <c r="T168" t="str">
        <f>IF(ISNA(VLOOKUP(J168,技能表!$A:$B,2,FALSE)),"",VLOOKUP(J168,技能表!$A:$B,2,FALSE))</f>
        <v/>
      </c>
      <c r="U168" t="str">
        <f>IF(ISNA(VLOOKUP(K168,技能表!$A:$B,2,FALSE)),"",VLOOKUP(K168,技能表!$A:$B,2,FALSE))</f>
        <v/>
      </c>
      <c r="V168" t="str">
        <f>IF(ISNA(VLOOKUP(L168,技能表!$A:$B,2,FALSE)),"",VLOOKUP(L168,技能表!$A:$B,2,FALSE))</f>
        <v/>
      </c>
      <c r="W168" t="str">
        <f>IF(ISNA(VLOOKUP(M168,技能表!$A:$B,2,FALSE)),"",VLOOKUP(M168,技能表!$A:$B,2,FALSE))</f>
        <v/>
      </c>
    </row>
    <row r="169" spans="14:23">
      <c r="N169" t="str">
        <f>IF(ISNA(VLOOKUP(D169,技能表!$A:$B,2,FALSE)),"",VLOOKUP(D169,技能表!$A:$B,2,FALSE))</f>
        <v/>
      </c>
      <c r="O169" t="str">
        <f>IF(ISNA(VLOOKUP(E169,技能表!$A:$B,2,FALSE)),"",VLOOKUP(E169,技能表!$A:$B,2,FALSE))</f>
        <v/>
      </c>
      <c r="P169" t="str">
        <f>IF(ISNA(VLOOKUP(F169,技能表!$A:$B,2,FALSE)),"",VLOOKUP(F169,技能表!$A:$B,2,FALSE))</f>
        <v/>
      </c>
      <c r="Q169" t="str">
        <f>IF(ISNA(VLOOKUP(G169,技能表!$A:$B,2,FALSE)),"",VLOOKUP(G169,技能表!$A:$B,2,FALSE))</f>
        <v/>
      </c>
      <c r="R169" t="str">
        <f>IF(ISNA(VLOOKUP(H169,技能表!$A:$B,2,FALSE)),"",VLOOKUP(H169,技能表!$A:$B,2,FALSE))</f>
        <v/>
      </c>
      <c r="S169" t="str">
        <f>IF(ISNA(VLOOKUP(I169,技能表!$A:$B,2,FALSE)),"",VLOOKUP(I169,技能表!$A:$B,2,FALSE))</f>
        <v/>
      </c>
      <c r="T169" t="str">
        <f>IF(ISNA(VLOOKUP(J169,技能表!$A:$B,2,FALSE)),"",VLOOKUP(J169,技能表!$A:$B,2,FALSE))</f>
        <v/>
      </c>
      <c r="U169" t="str">
        <f>IF(ISNA(VLOOKUP(K169,技能表!$A:$B,2,FALSE)),"",VLOOKUP(K169,技能表!$A:$B,2,FALSE))</f>
        <v/>
      </c>
      <c r="V169" t="str">
        <f>IF(ISNA(VLOOKUP(L169,技能表!$A:$B,2,FALSE)),"",VLOOKUP(L169,技能表!$A:$B,2,FALSE))</f>
        <v/>
      </c>
      <c r="W169" t="str">
        <f>IF(ISNA(VLOOKUP(M169,技能表!$A:$B,2,FALSE)),"",VLOOKUP(M169,技能表!$A:$B,2,FALSE))</f>
        <v/>
      </c>
    </row>
    <row r="170" spans="14:23">
      <c r="N170" t="str">
        <f>IF(ISNA(VLOOKUP(D170,技能表!$A:$B,2,FALSE)),"",VLOOKUP(D170,技能表!$A:$B,2,FALSE))</f>
        <v/>
      </c>
      <c r="O170" t="str">
        <f>IF(ISNA(VLOOKUP(E170,技能表!$A:$B,2,FALSE)),"",VLOOKUP(E170,技能表!$A:$B,2,FALSE))</f>
        <v/>
      </c>
      <c r="P170" t="str">
        <f>IF(ISNA(VLOOKUP(F170,技能表!$A:$B,2,FALSE)),"",VLOOKUP(F170,技能表!$A:$B,2,FALSE))</f>
        <v/>
      </c>
      <c r="Q170" t="str">
        <f>IF(ISNA(VLOOKUP(G170,技能表!$A:$B,2,FALSE)),"",VLOOKUP(G170,技能表!$A:$B,2,FALSE))</f>
        <v/>
      </c>
      <c r="R170" t="str">
        <f>IF(ISNA(VLOOKUP(H170,技能表!$A:$B,2,FALSE)),"",VLOOKUP(H170,技能表!$A:$B,2,FALSE))</f>
        <v/>
      </c>
      <c r="S170" t="str">
        <f>IF(ISNA(VLOOKUP(I170,技能表!$A:$B,2,FALSE)),"",VLOOKUP(I170,技能表!$A:$B,2,FALSE))</f>
        <v/>
      </c>
      <c r="T170" t="str">
        <f>IF(ISNA(VLOOKUP(J170,技能表!$A:$B,2,FALSE)),"",VLOOKUP(J170,技能表!$A:$B,2,FALSE))</f>
        <v/>
      </c>
      <c r="U170" t="str">
        <f>IF(ISNA(VLOOKUP(K170,技能表!$A:$B,2,FALSE)),"",VLOOKUP(K170,技能表!$A:$B,2,FALSE))</f>
        <v/>
      </c>
      <c r="V170" t="str">
        <f>IF(ISNA(VLOOKUP(L170,技能表!$A:$B,2,FALSE)),"",VLOOKUP(L170,技能表!$A:$B,2,FALSE))</f>
        <v/>
      </c>
      <c r="W170" t="str">
        <f>IF(ISNA(VLOOKUP(M170,技能表!$A:$B,2,FALSE)),"",VLOOKUP(M170,技能表!$A:$B,2,FALSE))</f>
        <v/>
      </c>
    </row>
    <row r="171" spans="14:23">
      <c r="N171" t="str">
        <f>IF(ISNA(VLOOKUP(D171,技能表!$A:$B,2,FALSE)),"",VLOOKUP(D171,技能表!$A:$B,2,FALSE))</f>
        <v/>
      </c>
      <c r="O171" t="str">
        <f>IF(ISNA(VLOOKUP(E171,技能表!$A:$B,2,FALSE)),"",VLOOKUP(E171,技能表!$A:$B,2,FALSE))</f>
        <v/>
      </c>
      <c r="P171" t="str">
        <f>IF(ISNA(VLOOKUP(F171,技能表!$A:$B,2,FALSE)),"",VLOOKUP(F171,技能表!$A:$B,2,FALSE))</f>
        <v/>
      </c>
      <c r="Q171" t="str">
        <f>IF(ISNA(VLOOKUP(G171,技能表!$A:$B,2,FALSE)),"",VLOOKUP(G171,技能表!$A:$B,2,FALSE))</f>
        <v/>
      </c>
      <c r="R171" t="str">
        <f>IF(ISNA(VLOOKUP(H171,技能表!$A:$B,2,FALSE)),"",VLOOKUP(H171,技能表!$A:$B,2,FALSE))</f>
        <v/>
      </c>
      <c r="S171" t="str">
        <f>IF(ISNA(VLOOKUP(I171,技能表!$A:$B,2,FALSE)),"",VLOOKUP(I171,技能表!$A:$B,2,FALSE))</f>
        <v/>
      </c>
      <c r="T171" t="str">
        <f>IF(ISNA(VLOOKUP(J171,技能表!$A:$B,2,FALSE)),"",VLOOKUP(J171,技能表!$A:$B,2,FALSE))</f>
        <v/>
      </c>
      <c r="U171" t="str">
        <f>IF(ISNA(VLOOKUP(K171,技能表!$A:$B,2,FALSE)),"",VLOOKUP(K171,技能表!$A:$B,2,FALSE))</f>
        <v/>
      </c>
      <c r="V171" t="str">
        <f>IF(ISNA(VLOOKUP(L171,技能表!$A:$B,2,FALSE)),"",VLOOKUP(L171,技能表!$A:$B,2,FALSE))</f>
        <v/>
      </c>
      <c r="W171" t="str">
        <f>IF(ISNA(VLOOKUP(M171,技能表!$A:$B,2,FALSE)),"",VLOOKUP(M171,技能表!$A:$B,2,FALSE))</f>
        <v/>
      </c>
    </row>
    <row r="172" spans="14:23">
      <c r="N172" t="str">
        <f>IF(ISNA(VLOOKUP(D172,技能表!$A:$B,2,FALSE)),"",VLOOKUP(D172,技能表!$A:$B,2,FALSE))</f>
        <v/>
      </c>
      <c r="O172" t="str">
        <f>IF(ISNA(VLOOKUP(E172,技能表!$A:$B,2,FALSE)),"",VLOOKUP(E172,技能表!$A:$B,2,FALSE))</f>
        <v/>
      </c>
      <c r="P172" t="str">
        <f>IF(ISNA(VLOOKUP(F172,技能表!$A:$B,2,FALSE)),"",VLOOKUP(F172,技能表!$A:$B,2,FALSE))</f>
        <v/>
      </c>
      <c r="Q172" t="str">
        <f>IF(ISNA(VLOOKUP(G172,技能表!$A:$B,2,FALSE)),"",VLOOKUP(G172,技能表!$A:$B,2,FALSE))</f>
        <v/>
      </c>
      <c r="R172" t="str">
        <f>IF(ISNA(VLOOKUP(H172,技能表!$A:$B,2,FALSE)),"",VLOOKUP(H172,技能表!$A:$B,2,FALSE))</f>
        <v/>
      </c>
      <c r="S172" t="str">
        <f>IF(ISNA(VLOOKUP(I172,技能表!$A:$B,2,FALSE)),"",VLOOKUP(I172,技能表!$A:$B,2,FALSE))</f>
        <v/>
      </c>
      <c r="T172" t="str">
        <f>IF(ISNA(VLOOKUP(J172,技能表!$A:$B,2,FALSE)),"",VLOOKUP(J172,技能表!$A:$B,2,FALSE))</f>
        <v/>
      </c>
      <c r="U172" t="str">
        <f>IF(ISNA(VLOOKUP(K172,技能表!$A:$B,2,FALSE)),"",VLOOKUP(K172,技能表!$A:$B,2,FALSE))</f>
        <v/>
      </c>
      <c r="V172" t="str">
        <f>IF(ISNA(VLOOKUP(L172,技能表!$A:$B,2,FALSE)),"",VLOOKUP(L172,技能表!$A:$B,2,FALSE))</f>
        <v/>
      </c>
      <c r="W172" t="str">
        <f>IF(ISNA(VLOOKUP(M172,技能表!$A:$B,2,FALSE)),"",VLOOKUP(M172,技能表!$A:$B,2,FALSE))</f>
        <v/>
      </c>
    </row>
    <row r="173" spans="14:23">
      <c r="N173" t="str">
        <f>IF(ISNA(VLOOKUP(D173,技能表!$A:$B,2,FALSE)),"",VLOOKUP(D173,技能表!$A:$B,2,FALSE))</f>
        <v/>
      </c>
      <c r="O173" t="str">
        <f>IF(ISNA(VLOOKUP(E173,技能表!$A:$B,2,FALSE)),"",VLOOKUP(E173,技能表!$A:$B,2,FALSE))</f>
        <v/>
      </c>
      <c r="P173" t="str">
        <f>IF(ISNA(VLOOKUP(F173,技能表!$A:$B,2,FALSE)),"",VLOOKUP(F173,技能表!$A:$B,2,FALSE))</f>
        <v/>
      </c>
      <c r="Q173" t="str">
        <f>IF(ISNA(VLOOKUP(G173,技能表!$A:$B,2,FALSE)),"",VLOOKUP(G173,技能表!$A:$B,2,FALSE))</f>
        <v/>
      </c>
      <c r="R173" t="str">
        <f>IF(ISNA(VLOOKUP(H173,技能表!$A:$B,2,FALSE)),"",VLOOKUP(H173,技能表!$A:$B,2,FALSE))</f>
        <v/>
      </c>
      <c r="S173" t="str">
        <f>IF(ISNA(VLOOKUP(I173,技能表!$A:$B,2,FALSE)),"",VLOOKUP(I173,技能表!$A:$B,2,FALSE))</f>
        <v/>
      </c>
      <c r="T173" t="str">
        <f>IF(ISNA(VLOOKUP(J173,技能表!$A:$B,2,FALSE)),"",VLOOKUP(J173,技能表!$A:$B,2,FALSE))</f>
        <v/>
      </c>
      <c r="U173" t="str">
        <f>IF(ISNA(VLOOKUP(K173,技能表!$A:$B,2,FALSE)),"",VLOOKUP(K173,技能表!$A:$B,2,FALSE))</f>
        <v/>
      </c>
      <c r="V173" t="str">
        <f>IF(ISNA(VLOOKUP(L173,技能表!$A:$B,2,FALSE)),"",VLOOKUP(L173,技能表!$A:$B,2,FALSE))</f>
        <v/>
      </c>
      <c r="W173" t="str">
        <f>IF(ISNA(VLOOKUP(M173,技能表!$A:$B,2,FALSE)),"",VLOOKUP(M173,技能表!$A:$B,2,FALSE))</f>
        <v/>
      </c>
    </row>
    <row r="174" spans="14:23">
      <c r="N174" t="str">
        <f>IF(ISNA(VLOOKUP(D174,技能表!$A:$B,2,FALSE)),"",VLOOKUP(D174,技能表!$A:$B,2,FALSE))</f>
        <v/>
      </c>
      <c r="O174" t="str">
        <f>IF(ISNA(VLOOKUP(E174,技能表!$A:$B,2,FALSE)),"",VLOOKUP(E174,技能表!$A:$B,2,FALSE))</f>
        <v/>
      </c>
      <c r="P174" t="str">
        <f>IF(ISNA(VLOOKUP(F174,技能表!$A:$B,2,FALSE)),"",VLOOKUP(F174,技能表!$A:$B,2,FALSE))</f>
        <v/>
      </c>
      <c r="Q174" t="str">
        <f>IF(ISNA(VLOOKUP(G174,技能表!$A:$B,2,FALSE)),"",VLOOKUP(G174,技能表!$A:$B,2,FALSE))</f>
        <v/>
      </c>
      <c r="R174" t="str">
        <f>IF(ISNA(VLOOKUP(H174,技能表!$A:$B,2,FALSE)),"",VLOOKUP(H174,技能表!$A:$B,2,FALSE))</f>
        <v/>
      </c>
      <c r="S174" t="str">
        <f>IF(ISNA(VLOOKUP(I174,技能表!$A:$B,2,FALSE)),"",VLOOKUP(I174,技能表!$A:$B,2,FALSE))</f>
        <v/>
      </c>
      <c r="T174" t="str">
        <f>IF(ISNA(VLOOKUP(J174,技能表!$A:$B,2,FALSE)),"",VLOOKUP(J174,技能表!$A:$B,2,FALSE))</f>
        <v/>
      </c>
      <c r="U174" t="str">
        <f>IF(ISNA(VLOOKUP(K174,技能表!$A:$B,2,FALSE)),"",VLOOKUP(K174,技能表!$A:$B,2,FALSE))</f>
        <v/>
      </c>
      <c r="V174" t="str">
        <f>IF(ISNA(VLOOKUP(L174,技能表!$A:$B,2,FALSE)),"",VLOOKUP(L174,技能表!$A:$B,2,FALSE))</f>
        <v/>
      </c>
      <c r="W174" t="str">
        <f>IF(ISNA(VLOOKUP(M174,技能表!$A:$B,2,FALSE)),"",VLOOKUP(M174,技能表!$A:$B,2,FALSE))</f>
        <v/>
      </c>
    </row>
    <row r="175" spans="14:23">
      <c r="N175" t="str">
        <f>IF(ISNA(VLOOKUP(D175,技能表!$A:$B,2,FALSE)),"",VLOOKUP(D175,技能表!$A:$B,2,FALSE))</f>
        <v/>
      </c>
      <c r="O175" t="str">
        <f>IF(ISNA(VLOOKUP(E175,技能表!$A:$B,2,FALSE)),"",VLOOKUP(E175,技能表!$A:$B,2,FALSE))</f>
        <v/>
      </c>
      <c r="P175" t="str">
        <f>IF(ISNA(VLOOKUP(F175,技能表!$A:$B,2,FALSE)),"",VLOOKUP(F175,技能表!$A:$B,2,FALSE))</f>
        <v/>
      </c>
      <c r="Q175" t="str">
        <f>IF(ISNA(VLOOKUP(G175,技能表!$A:$B,2,FALSE)),"",VLOOKUP(G175,技能表!$A:$B,2,FALSE))</f>
        <v/>
      </c>
      <c r="R175" t="str">
        <f>IF(ISNA(VLOOKUP(H175,技能表!$A:$B,2,FALSE)),"",VLOOKUP(H175,技能表!$A:$B,2,FALSE))</f>
        <v/>
      </c>
      <c r="S175" t="str">
        <f>IF(ISNA(VLOOKUP(I175,技能表!$A:$B,2,FALSE)),"",VLOOKUP(I175,技能表!$A:$B,2,FALSE))</f>
        <v/>
      </c>
      <c r="T175" t="str">
        <f>IF(ISNA(VLOOKUP(J175,技能表!$A:$B,2,FALSE)),"",VLOOKUP(J175,技能表!$A:$B,2,FALSE))</f>
        <v/>
      </c>
      <c r="U175" t="str">
        <f>IF(ISNA(VLOOKUP(K175,技能表!$A:$B,2,FALSE)),"",VLOOKUP(K175,技能表!$A:$B,2,FALSE))</f>
        <v/>
      </c>
      <c r="V175" t="str">
        <f>IF(ISNA(VLOOKUP(L175,技能表!$A:$B,2,FALSE)),"",VLOOKUP(L175,技能表!$A:$B,2,FALSE))</f>
        <v/>
      </c>
      <c r="W175" t="str">
        <f>IF(ISNA(VLOOKUP(M175,技能表!$A:$B,2,FALSE)),"",VLOOKUP(M175,技能表!$A:$B,2,FALSE))</f>
        <v/>
      </c>
    </row>
    <row r="176" spans="14:23">
      <c r="N176" t="str">
        <f>IF(ISNA(VLOOKUP(D176,技能表!$A:$B,2,FALSE)),"",VLOOKUP(D176,技能表!$A:$B,2,FALSE))</f>
        <v/>
      </c>
      <c r="O176" t="str">
        <f>IF(ISNA(VLOOKUP(E176,技能表!$A:$B,2,FALSE)),"",VLOOKUP(E176,技能表!$A:$B,2,FALSE))</f>
        <v/>
      </c>
      <c r="P176" t="str">
        <f>IF(ISNA(VLOOKUP(F176,技能表!$A:$B,2,FALSE)),"",VLOOKUP(F176,技能表!$A:$B,2,FALSE))</f>
        <v/>
      </c>
      <c r="Q176" t="str">
        <f>IF(ISNA(VLOOKUP(G176,技能表!$A:$B,2,FALSE)),"",VLOOKUP(G176,技能表!$A:$B,2,FALSE))</f>
        <v/>
      </c>
      <c r="R176" t="str">
        <f>IF(ISNA(VLOOKUP(H176,技能表!$A:$B,2,FALSE)),"",VLOOKUP(H176,技能表!$A:$B,2,FALSE))</f>
        <v/>
      </c>
      <c r="S176" t="str">
        <f>IF(ISNA(VLOOKUP(I176,技能表!$A:$B,2,FALSE)),"",VLOOKUP(I176,技能表!$A:$B,2,FALSE))</f>
        <v/>
      </c>
      <c r="T176" t="str">
        <f>IF(ISNA(VLOOKUP(J176,技能表!$A:$B,2,FALSE)),"",VLOOKUP(J176,技能表!$A:$B,2,FALSE))</f>
        <v/>
      </c>
      <c r="U176" t="str">
        <f>IF(ISNA(VLOOKUP(K176,技能表!$A:$B,2,FALSE)),"",VLOOKUP(K176,技能表!$A:$B,2,FALSE))</f>
        <v/>
      </c>
      <c r="V176" t="str">
        <f>IF(ISNA(VLOOKUP(L176,技能表!$A:$B,2,FALSE)),"",VLOOKUP(L176,技能表!$A:$B,2,FALSE))</f>
        <v/>
      </c>
      <c r="W176" t="str">
        <f>IF(ISNA(VLOOKUP(M176,技能表!$A:$B,2,FALSE)),"",VLOOKUP(M176,技能表!$A:$B,2,FALSE))</f>
        <v/>
      </c>
    </row>
    <row r="177" spans="14:23">
      <c r="N177" t="str">
        <f>IF(ISNA(VLOOKUP(D177,技能表!$A:$B,2,FALSE)),"",VLOOKUP(D177,技能表!$A:$B,2,FALSE))</f>
        <v/>
      </c>
      <c r="O177" t="str">
        <f>IF(ISNA(VLOOKUP(E177,技能表!$A:$B,2,FALSE)),"",VLOOKUP(E177,技能表!$A:$B,2,FALSE))</f>
        <v/>
      </c>
      <c r="P177" t="str">
        <f>IF(ISNA(VLOOKUP(F177,技能表!$A:$B,2,FALSE)),"",VLOOKUP(F177,技能表!$A:$B,2,FALSE))</f>
        <v/>
      </c>
      <c r="Q177" t="str">
        <f>IF(ISNA(VLOOKUP(G177,技能表!$A:$B,2,FALSE)),"",VLOOKUP(G177,技能表!$A:$B,2,FALSE))</f>
        <v/>
      </c>
      <c r="R177" t="str">
        <f>IF(ISNA(VLOOKUP(H177,技能表!$A:$B,2,FALSE)),"",VLOOKUP(H177,技能表!$A:$B,2,FALSE))</f>
        <v/>
      </c>
      <c r="S177" t="str">
        <f>IF(ISNA(VLOOKUP(I177,技能表!$A:$B,2,FALSE)),"",VLOOKUP(I177,技能表!$A:$B,2,FALSE))</f>
        <v/>
      </c>
      <c r="T177" t="str">
        <f>IF(ISNA(VLOOKUP(J177,技能表!$A:$B,2,FALSE)),"",VLOOKUP(J177,技能表!$A:$B,2,FALSE))</f>
        <v/>
      </c>
      <c r="U177" t="str">
        <f>IF(ISNA(VLOOKUP(K177,技能表!$A:$B,2,FALSE)),"",VLOOKUP(K177,技能表!$A:$B,2,FALSE))</f>
        <v/>
      </c>
      <c r="V177" t="str">
        <f>IF(ISNA(VLOOKUP(L177,技能表!$A:$B,2,FALSE)),"",VLOOKUP(L177,技能表!$A:$B,2,FALSE))</f>
        <v/>
      </c>
      <c r="W177" t="str">
        <f>IF(ISNA(VLOOKUP(M177,技能表!$A:$B,2,FALSE)),"",VLOOKUP(M177,技能表!$A:$B,2,FALSE))</f>
        <v/>
      </c>
    </row>
    <row r="178" spans="14:23">
      <c r="N178" t="str">
        <f>IF(ISNA(VLOOKUP(D178,技能表!$A:$B,2,FALSE)),"",VLOOKUP(D178,技能表!$A:$B,2,FALSE))</f>
        <v/>
      </c>
      <c r="O178" t="str">
        <f>IF(ISNA(VLOOKUP(E178,技能表!$A:$B,2,FALSE)),"",VLOOKUP(E178,技能表!$A:$B,2,FALSE))</f>
        <v/>
      </c>
      <c r="P178" t="str">
        <f>IF(ISNA(VLOOKUP(F178,技能表!$A:$B,2,FALSE)),"",VLOOKUP(F178,技能表!$A:$B,2,FALSE))</f>
        <v/>
      </c>
      <c r="Q178" t="str">
        <f>IF(ISNA(VLOOKUP(G178,技能表!$A:$B,2,FALSE)),"",VLOOKUP(G178,技能表!$A:$B,2,FALSE))</f>
        <v/>
      </c>
      <c r="R178" t="str">
        <f>IF(ISNA(VLOOKUP(H178,技能表!$A:$B,2,FALSE)),"",VLOOKUP(H178,技能表!$A:$B,2,FALSE))</f>
        <v/>
      </c>
      <c r="S178" t="str">
        <f>IF(ISNA(VLOOKUP(I178,技能表!$A:$B,2,FALSE)),"",VLOOKUP(I178,技能表!$A:$B,2,FALSE))</f>
        <v/>
      </c>
      <c r="T178" t="str">
        <f>IF(ISNA(VLOOKUP(J178,技能表!$A:$B,2,FALSE)),"",VLOOKUP(J178,技能表!$A:$B,2,FALSE))</f>
        <v/>
      </c>
      <c r="U178" t="str">
        <f>IF(ISNA(VLOOKUP(K178,技能表!$A:$B,2,FALSE)),"",VLOOKUP(K178,技能表!$A:$B,2,FALSE))</f>
        <v/>
      </c>
      <c r="V178" t="str">
        <f>IF(ISNA(VLOOKUP(L178,技能表!$A:$B,2,FALSE)),"",VLOOKUP(L178,技能表!$A:$B,2,FALSE))</f>
        <v/>
      </c>
      <c r="W178" t="str">
        <f>IF(ISNA(VLOOKUP(M178,技能表!$A:$B,2,FALSE)),"",VLOOKUP(M178,技能表!$A:$B,2,FALSE))</f>
        <v/>
      </c>
    </row>
    <row r="179" spans="14:23">
      <c r="N179" t="str">
        <f>IF(ISNA(VLOOKUP(D179,技能表!$A:$B,2,FALSE)),"",VLOOKUP(D179,技能表!$A:$B,2,FALSE))</f>
        <v/>
      </c>
      <c r="O179" t="str">
        <f>IF(ISNA(VLOOKUP(E179,技能表!$A:$B,2,FALSE)),"",VLOOKUP(E179,技能表!$A:$B,2,FALSE))</f>
        <v/>
      </c>
      <c r="P179" t="str">
        <f>IF(ISNA(VLOOKUP(F179,技能表!$A:$B,2,FALSE)),"",VLOOKUP(F179,技能表!$A:$B,2,FALSE))</f>
        <v/>
      </c>
      <c r="Q179" t="str">
        <f>IF(ISNA(VLOOKUP(G179,技能表!$A:$B,2,FALSE)),"",VLOOKUP(G179,技能表!$A:$B,2,FALSE))</f>
        <v/>
      </c>
      <c r="R179" t="str">
        <f>IF(ISNA(VLOOKUP(H179,技能表!$A:$B,2,FALSE)),"",VLOOKUP(H179,技能表!$A:$B,2,FALSE))</f>
        <v/>
      </c>
      <c r="S179" t="str">
        <f>IF(ISNA(VLOOKUP(I179,技能表!$A:$B,2,FALSE)),"",VLOOKUP(I179,技能表!$A:$B,2,FALSE))</f>
        <v/>
      </c>
      <c r="T179" t="str">
        <f>IF(ISNA(VLOOKUP(J179,技能表!$A:$B,2,FALSE)),"",VLOOKUP(J179,技能表!$A:$B,2,FALSE))</f>
        <v/>
      </c>
      <c r="U179" t="str">
        <f>IF(ISNA(VLOOKUP(K179,技能表!$A:$B,2,FALSE)),"",VLOOKUP(K179,技能表!$A:$B,2,FALSE))</f>
        <v/>
      </c>
      <c r="V179" t="str">
        <f>IF(ISNA(VLOOKUP(L179,技能表!$A:$B,2,FALSE)),"",VLOOKUP(L179,技能表!$A:$B,2,FALSE))</f>
        <v/>
      </c>
      <c r="W179" t="str">
        <f>IF(ISNA(VLOOKUP(M179,技能表!$A:$B,2,FALSE)),"",VLOOKUP(M179,技能表!$A:$B,2,FALSE))</f>
        <v/>
      </c>
    </row>
    <row r="180" spans="14:23">
      <c r="N180" t="str">
        <f>IF(ISNA(VLOOKUP(D180,技能表!$A:$B,2,FALSE)),"",VLOOKUP(D180,技能表!$A:$B,2,FALSE))</f>
        <v/>
      </c>
      <c r="O180" t="str">
        <f>IF(ISNA(VLOOKUP(E180,技能表!$A:$B,2,FALSE)),"",VLOOKUP(E180,技能表!$A:$B,2,FALSE))</f>
        <v/>
      </c>
      <c r="P180" t="str">
        <f>IF(ISNA(VLOOKUP(F180,技能表!$A:$B,2,FALSE)),"",VLOOKUP(F180,技能表!$A:$B,2,FALSE))</f>
        <v/>
      </c>
      <c r="Q180" t="str">
        <f>IF(ISNA(VLOOKUP(G180,技能表!$A:$B,2,FALSE)),"",VLOOKUP(G180,技能表!$A:$B,2,FALSE))</f>
        <v/>
      </c>
      <c r="R180" t="str">
        <f>IF(ISNA(VLOOKUP(H180,技能表!$A:$B,2,FALSE)),"",VLOOKUP(H180,技能表!$A:$B,2,FALSE))</f>
        <v/>
      </c>
      <c r="S180" t="str">
        <f>IF(ISNA(VLOOKUP(I180,技能表!$A:$B,2,FALSE)),"",VLOOKUP(I180,技能表!$A:$B,2,FALSE))</f>
        <v/>
      </c>
      <c r="T180" t="str">
        <f>IF(ISNA(VLOOKUP(J180,技能表!$A:$B,2,FALSE)),"",VLOOKUP(J180,技能表!$A:$B,2,FALSE))</f>
        <v/>
      </c>
      <c r="U180" t="str">
        <f>IF(ISNA(VLOOKUP(K180,技能表!$A:$B,2,FALSE)),"",VLOOKUP(K180,技能表!$A:$B,2,FALSE))</f>
        <v/>
      </c>
      <c r="V180" t="str">
        <f>IF(ISNA(VLOOKUP(L180,技能表!$A:$B,2,FALSE)),"",VLOOKUP(L180,技能表!$A:$B,2,FALSE))</f>
        <v/>
      </c>
      <c r="W180" t="str">
        <f>IF(ISNA(VLOOKUP(M180,技能表!$A:$B,2,FALSE)),"",VLOOKUP(M180,技能表!$A:$B,2,FALSE))</f>
        <v/>
      </c>
    </row>
    <row r="181" spans="14:23">
      <c r="N181" t="str">
        <f>IF(ISNA(VLOOKUP(D181,技能表!$A:$B,2,FALSE)),"",VLOOKUP(D181,技能表!$A:$B,2,FALSE))</f>
        <v/>
      </c>
      <c r="O181" t="str">
        <f>IF(ISNA(VLOOKUP(E181,技能表!$A:$B,2,FALSE)),"",VLOOKUP(E181,技能表!$A:$B,2,FALSE))</f>
        <v/>
      </c>
      <c r="P181" t="str">
        <f>IF(ISNA(VLOOKUP(F181,技能表!$A:$B,2,FALSE)),"",VLOOKUP(F181,技能表!$A:$B,2,FALSE))</f>
        <v/>
      </c>
      <c r="Q181" t="str">
        <f>IF(ISNA(VLOOKUP(G181,技能表!$A:$B,2,FALSE)),"",VLOOKUP(G181,技能表!$A:$B,2,FALSE))</f>
        <v/>
      </c>
      <c r="R181" t="str">
        <f>IF(ISNA(VLOOKUP(H181,技能表!$A:$B,2,FALSE)),"",VLOOKUP(H181,技能表!$A:$B,2,FALSE))</f>
        <v/>
      </c>
      <c r="S181" t="str">
        <f>IF(ISNA(VLOOKUP(I181,技能表!$A:$B,2,FALSE)),"",VLOOKUP(I181,技能表!$A:$B,2,FALSE))</f>
        <v/>
      </c>
      <c r="T181" t="str">
        <f>IF(ISNA(VLOOKUP(J181,技能表!$A:$B,2,FALSE)),"",VLOOKUP(J181,技能表!$A:$B,2,FALSE))</f>
        <v/>
      </c>
      <c r="U181" t="str">
        <f>IF(ISNA(VLOOKUP(K181,技能表!$A:$B,2,FALSE)),"",VLOOKUP(K181,技能表!$A:$B,2,FALSE))</f>
        <v/>
      </c>
      <c r="V181" t="str">
        <f>IF(ISNA(VLOOKUP(L181,技能表!$A:$B,2,FALSE)),"",VLOOKUP(L181,技能表!$A:$B,2,FALSE))</f>
        <v/>
      </c>
      <c r="W181" t="str">
        <f>IF(ISNA(VLOOKUP(M181,技能表!$A:$B,2,FALSE)),"",VLOOKUP(M181,技能表!$A:$B,2,FALSE))</f>
        <v/>
      </c>
    </row>
    <row r="182" spans="14:23">
      <c r="N182" t="str">
        <f>IF(ISNA(VLOOKUP(D182,技能表!$A:$B,2,FALSE)),"",VLOOKUP(D182,技能表!$A:$B,2,FALSE))</f>
        <v/>
      </c>
      <c r="O182" t="str">
        <f>IF(ISNA(VLOOKUP(E182,技能表!$A:$B,2,FALSE)),"",VLOOKUP(E182,技能表!$A:$B,2,FALSE))</f>
        <v/>
      </c>
      <c r="P182" t="str">
        <f>IF(ISNA(VLOOKUP(F182,技能表!$A:$B,2,FALSE)),"",VLOOKUP(F182,技能表!$A:$B,2,FALSE))</f>
        <v/>
      </c>
      <c r="Q182" t="str">
        <f>IF(ISNA(VLOOKUP(G182,技能表!$A:$B,2,FALSE)),"",VLOOKUP(G182,技能表!$A:$B,2,FALSE))</f>
        <v/>
      </c>
      <c r="R182" t="str">
        <f>IF(ISNA(VLOOKUP(H182,技能表!$A:$B,2,FALSE)),"",VLOOKUP(H182,技能表!$A:$B,2,FALSE))</f>
        <v/>
      </c>
      <c r="S182" t="str">
        <f>IF(ISNA(VLOOKUP(I182,技能表!$A:$B,2,FALSE)),"",VLOOKUP(I182,技能表!$A:$B,2,FALSE))</f>
        <v/>
      </c>
      <c r="T182" t="str">
        <f>IF(ISNA(VLOOKUP(J182,技能表!$A:$B,2,FALSE)),"",VLOOKUP(J182,技能表!$A:$B,2,FALSE))</f>
        <v/>
      </c>
      <c r="U182" t="str">
        <f>IF(ISNA(VLOOKUP(K182,技能表!$A:$B,2,FALSE)),"",VLOOKUP(K182,技能表!$A:$B,2,FALSE))</f>
        <v/>
      </c>
      <c r="V182" t="str">
        <f>IF(ISNA(VLOOKUP(L182,技能表!$A:$B,2,FALSE)),"",VLOOKUP(L182,技能表!$A:$B,2,FALSE))</f>
        <v/>
      </c>
      <c r="W182" t="str">
        <f>IF(ISNA(VLOOKUP(M182,技能表!$A:$B,2,FALSE)),"",VLOOKUP(M182,技能表!$A:$B,2,FALSE))</f>
        <v/>
      </c>
    </row>
    <row r="183" spans="14:23">
      <c r="N183" t="str">
        <f>IF(ISNA(VLOOKUP(D183,技能表!$A:$B,2,FALSE)),"",VLOOKUP(D183,技能表!$A:$B,2,FALSE))</f>
        <v/>
      </c>
      <c r="O183" t="str">
        <f>IF(ISNA(VLOOKUP(E183,技能表!$A:$B,2,FALSE)),"",VLOOKUP(E183,技能表!$A:$B,2,FALSE))</f>
        <v/>
      </c>
      <c r="P183" t="str">
        <f>IF(ISNA(VLOOKUP(F183,技能表!$A:$B,2,FALSE)),"",VLOOKUP(F183,技能表!$A:$B,2,FALSE))</f>
        <v/>
      </c>
      <c r="Q183" t="str">
        <f>IF(ISNA(VLOOKUP(G183,技能表!$A:$B,2,FALSE)),"",VLOOKUP(G183,技能表!$A:$B,2,FALSE))</f>
        <v/>
      </c>
      <c r="R183" t="str">
        <f>IF(ISNA(VLOOKUP(H183,技能表!$A:$B,2,FALSE)),"",VLOOKUP(H183,技能表!$A:$B,2,FALSE))</f>
        <v/>
      </c>
      <c r="S183" t="str">
        <f>IF(ISNA(VLOOKUP(I183,技能表!$A:$B,2,FALSE)),"",VLOOKUP(I183,技能表!$A:$B,2,FALSE))</f>
        <v/>
      </c>
      <c r="T183" t="str">
        <f>IF(ISNA(VLOOKUP(J183,技能表!$A:$B,2,FALSE)),"",VLOOKUP(J183,技能表!$A:$B,2,FALSE))</f>
        <v/>
      </c>
      <c r="U183" t="str">
        <f>IF(ISNA(VLOOKUP(K183,技能表!$A:$B,2,FALSE)),"",VLOOKUP(K183,技能表!$A:$B,2,FALSE))</f>
        <v/>
      </c>
      <c r="V183" t="str">
        <f>IF(ISNA(VLOOKUP(L183,技能表!$A:$B,2,FALSE)),"",VLOOKUP(L183,技能表!$A:$B,2,FALSE))</f>
        <v/>
      </c>
      <c r="W183" t="str">
        <f>IF(ISNA(VLOOKUP(M183,技能表!$A:$B,2,FALSE)),"",VLOOKUP(M183,技能表!$A:$B,2,FALSE))</f>
        <v/>
      </c>
    </row>
    <row r="184" spans="14:23">
      <c r="N184" t="str">
        <f>IF(ISNA(VLOOKUP(D184,技能表!$A:$B,2,FALSE)),"",VLOOKUP(D184,技能表!$A:$B,2,FALSE))</f>
        <v/>
      </c>
      <c r="O184" t="str">
        <f>IF(ISNA(VLOOKUP(E184,技能表!$A:$B,2,FALSE)),"",VLOOKUP(E184,技能表!$A:$B,2,FALSE))</f>
        <v/>
      </c>
      <c r="P184" t="str">
        <f>IF(ISNA(VLOOKUP(F184,技能表!$A:$B,2,FALSE)),"",VLOOKUP(F184,技能表!$A:$B,2,FALSE))</f>
        <v/>
      </c>
      <c r="Q184" t="str">
        <f>IF(ISNA(VLOOKUP(G184,技能表!$A:$B,2,FALSE)),"",VLOOKUP(G184,技能表!$A:$B,2,FALSE))</f>
        <v/>
      </c>
      <c r="R184" t="str">
        <f>IF(ISNA(VLOOKUP(H184,技能表!$A:$B,2,FALSE)),"",VLOOKUP(H184,技能表!$A:$B,2,FALSE))</f>
        <v/>
      </c>
      <c r="S184" t="str">
        <f>IF(ISNA(VLOOKUP(I184,技能表!$A:$B,2,FALSE)),"",VLOOKUP(I184,技能表!$A:$B,2,FALSE))</f>
        <v/>
      </c>
      <c r="T184" t="str">
        <f>IF(ISNA(VLOOKUP(J184,技能表!$A:$B,2,FALSE)),"",VLOOKUP(J184,技能表!$A:$B,2,FALSE))</f>
        <v/>
      </c>
      <c r="U184" t="str">
        <f>IF(ISNA(VLOOKUP(K184,技能表!$A:$B,2,FALSE)),"",VLOOKUP(K184,技能表!$A:$B,2,FALSE))</f>
        <v/>
      </c>
      <c r="V184" t="str">
        <f>IF(ISNA(VLOOKUP(L184,技能表!$A:$B,2,FALSE)),"",VLOOKUP(L184,技能表!$A:$B,2,FALSE))</f>
        <v/>
      </c>
      <c r="W184" t="str">
        <f>IF(ISNA(VLOOKUP(M184,技能表!$A:$B,2,FALSE)),"",VLOOKUP(M184,技能表!$A:$B,2,FALSE))</f>
        <v/>
      </c>
    </row>
    <row r="185" spans="14:23">
      <c r="N185" t="str">
        <f>IF(ISNA(VLOOKUP(D185,技能表!$A:$B,2,FALSE)),"",VLOOKUP(D185,技能表!$A:$B,2,FALSE))</f>
        <v/>
      </c>
      <c r="O185" t="str">
        <f>IF(ISNA(VLOOKUP(E185,技能表!$A:$B,2,FALSE)),"",VLOOKUP(E185,技能表!$A:$B,2,FALSE))</f>
        <v/>
      </c>
      <c r="P185" t="str">
        <f>IF(ISNA(VLOOKUP(F185,技能表!$A:$B,2,FALSE)),"",VLOOKUP(F185,技能表!$A:$B,2,FALSE))</f>
        <v/>
      </c>
      <c r="Q185" t="str">
        <f>IF(ISNA(VLOOKUP(G185,技能表!$A:$B,2,FALSE)),"",VLOOKUP(G185,技能表!$A:$B,2,FALSE))</f>
        <v/>
      </c>
      <c r="R185" t="str">
        <f>IF(ISNA(VLOOKUP(H185,技能表!$A:$B,2,FALSE)),"",VLOOKUP(H185,技能表!$A:$B,2,FALSE))</f>
        <v/>
      </c>
      <c r="S185" t="str">
        <f>IF(ISNA(VLOOKUP(I185,技能表!$A:$B,2,FALSE)),"",VLOOKUP(I185,技能表!$A:$B,2,FALSE))</f>
        <v/>
      </c>
      <c r="T185" t="str">
        <f>IF(ISNA(VLOOKUP(J185,技能表!$A:$B,2,FALSE)),"",VLOOKUP(J185,技能表!$A:$B,2,FALSE))</f>
        <v/>
      </c>
      <c r="U185" t="str">
        <f>IF(ISNA(VLOOKUP(K185,技能表!$A:$B,2,FALSE)),"",VLOOKUP(K185,技能表!$A:$B,2,FALSE))</f>
        <v/>
      </c>
      <c r="V185" t="str">
        <f>IF(ISNA(VLOOKUP(L185,技能表!$A:$B,2,FALSE)),"",VLOOKUP(L185,技能表!$A:$B,2,FALSE))</f>
        <v/>
      </c>
      <c r="W185" t="str">
        <f>IF(ISNA(VLOOKUP(M185,技能表!$A:$B,2,FALSE)),"",VLOOKUP(M185,技能表!$A:$B,2,FALSE))</f>
        <v/>
      </c>
    </row>
    <row r="186" spans="14:23">
      <c r="N186" t="str">
        <f>IF(ISNA(VLOOKUP(D186,技能表!$A:$B,2,FALSE)),"",VLOOKUP(D186,技能表!$A:$B,2,FALSE))</f>
        <v/>
      </c>
      <c r="O186" t="str">
        <f>IF(ISNA(VLOOKUP(E186,技能表!$A:$B,2,FALSE)),"",VLOOKUP(E186,技能表!$A:$B,2,FALSE))</f>
        <v/>
      </c>
      <c r="P186" t="str">
        <f>IF(ISNA(VLOOKUP(F186,技能表!$A:$B,2,FALSE)),"",VLOOKUP(F186,技能表!$A:$B,2,FALSE))</f>
        <v/>
      </c>
      <c r="Q186" t="str">
        <f>IF(ISNA(VLOOKUP(G186,技能表!$A:$B,2,FALSE)),"",VLOOKUP(G186,技能表!$A:$B,2,FALSE))</f>
        <v/>
      </c>
      <c r="R186" t="str">
        <f>IF(ISNA(VLOOKUP(H186,技能表!$A:$B,2,FALSE)),"",VLOOKUP(H186,技能表!$A:$B,2,FALSE))</f>
        <v/>
      </c>
      <c r="S186" t="str">
        <f>IF(ISNA(VLOOKUP(I186,技能表!$A:$B,2,FALSE)),"",VLOOKUP(I186,技能表!$A:$B,2,FALSE))</f>
        <v/>
      </c>
      <c r="T186" t="str">
        <f>IF(ISNA(VLOOKUP(J186,技能表!$A:$B,2,FALSE)),"",VLOOKUP(J186,技能表!$A:$B,2,FALSE))</f>
        <v/>
      </c>
      <c r="U186" t="str">
        <f>IF(ISNA(VLOOKUP(K186,技能表!$A:$B,2,FALSE)),"",VLOOKUP(K186,技能表!$A:$B,2,FALSE))</f>
        <v/>
      </c>
      <c r="V186" t="str">
        <f>IF(ISNA(VLOOKUP(L186,技能表!$A:$B,2,FALSE)),"",VLOOKUP(L186,技能表!$A:$B,2,FALSE))</f>
        <v/>
      </c>
      <c r="W186" t="str">
        <f>IF(ISNA(VLOOKUP(M186,技能表!$A:$B,2,FALSE)),"",VLOOKUP(M186,技能表!$A:$B,2,FALSE))</f>
        <v/>
      </c>
    </row>
    <row r="187" spans="14:23">
      <c r="N187" t="str">
        <f>IF(ISNA(VLOOKUP(D187,技能表!$A:$B,2,FALSE)),"",VLOOKUP(D187,技能表!$A:$B,2,FALSE))</f>
        <v/>
      </c>
      <c r="O187" t="str">
        <f>IF(ISNA(VLOOKUP(E187,技能表!$A:$B,2,FALSE)),"",VLOOKUP(E187,技能表!$A:$B,2,FALSE))</f>
        <v/>
      </c>
      <c r="P187" t="str">
        <f>IF(ISNA(VLOOKUP(F187,技能表!$A:$B,2,FALSE)),"",VLOOKUP(F187,技能表!$A:$B,2,FALSE))</f>
        <v/>
      </c>
      <c r="Q187" t="str">
        <f>IF(ISNA(VLOOKUP(G187,技能表!$A:$B,2,FALSE)),"",VLOOKUP(G187,技能表!$A:$B,2,FALSE))</f>
        <v/>
      </c>
      <c r="R187" t="str">
        <f>IF(ISNA(VLOOKUP(H187,技能表!$A:$B,2,FALSE)),"",VLOOKUP(H187,技能表!$A:$B,2,FALSE))</f>
        <v/>
      </c>
      <c r="S187" t="str">
        <f>IF(ISNA(VLOOKUP(I187,技能表!$A:$B,2,FALSE)),"",VLOOKUP(I187,技能表!$A:$B,2,FALSE))</f>
        <v/>
      </c>
      <c r="T187" t="str">
        <f>IF(ISNA(VLOOKUP(J187,技能表!$A:$B,2,FALSE)),"",VLOOKUP(J187,技能表!$A:$B,2,FALSE))</f>
        <v/>
      </c>
      <c r="U187" t="str">
        <f>IF(ISNA(VLOOKUP(K187,技能表!$A:$B,2,FALSE)),"",VLOOKUP(K187,技能表!$A:$B,2,FALSE))</f>
        <v/>
      </c>
      <c r="V187" t="str">
        <f>IF(ISNA(VLOOKUP(L187,技能表!$A:$B,2,FALSE)),"",VLOOKUP(L187,技能表!$A:$B,2,FALSE))</f>
        <v/>
      </c>
      <c r="W187" t="str">
        <f>IF(ISNA(VLOOKUP(M187,技能表!$A:$B,2,FALSE)),"",VLOOKUP(M187,技能表!$A:$B,2,FALSE))</f>
        <v/>
      </c>
    </row>
    <row r="188" spans="14:23">
      <c r="N188" t="str">
        <f>IF(ISNA(VLOOKUP(D188,技能表!$A:$B,2,FALSE)),"",VLOOKUP(D188,技能表!$A:$B,2,FALSE))</f>
        <v/>
      </c>
      <c r="O188" t="str">
        <f>IF(ISNA(VLOOKUP(E188,技能表!$A:$B,2,FALSE)),"",VLOOKUP(E188,技能表!$A:$B,2,FALSE))</f>
        <v/>
      </c>
      <c r="P188" t="str">
        <f>IF(ISNA(VLOOKUP(F188,技能表!$A:$B,2,FALSE)),"",VLOOKUP(F188,技能表!$A:$B,2,FALSE))</f>
        <v/>
      </c>
      <c r="Q188" t="str">
        <f>IF(ISNA(VLOOKUP(G188,技能表!$A:$B,2,FALSE)),"",VLOOKUP(G188,技能表!$A:$B,2,FALSE))</f>
        <v/>
      </c>
      <c r="R188" t="str">
        <f>IF(ISNA(VLOOKUP(H188,技能表!$A:$B,2,FALSE)),"",VLOOKUP(H188,技能表!$A:$B,2,FALSE))</f>
        <v/>
      </c>
      <c r="S188" t="str">
        <f>IF(ISNA(VLOOKUP(I188,技能表!$A:$B,2,FALSE)),"",VLOOKUP(I188,技能表!$A:$B,2,FALSE))</f>
        <v/>
      </c>
      <c r="T188" t="str">
        <f>IF(ISNA(VLOOKUP(J188,技能表!$A:$B,2,FALSE)),"",VLOOKUP(J188,技能表!$A:$B,2,FALSE))</f>
        <v/>
      </c>
      <c r="U188" t="str">
        <f>IF(ISNA(VLOOKUP(K188,技能表!$A:$B,2,FALSE)),"",VLOOKUP(K188,技能表!$A:$B,2,FALSE))</f>
        <v/>
      </c>
      <c r="V188" t="str">
        <f>IF(ISNA(VLOOKUP(L188,技能表!$A:$B,2,FALSE)),"",VLOOKUP(L188,技能表!$A:$B,2,FALSE))</f>
        <v/>
      </c>
      <c r="W188" t="str">
        <f>IF(ISNA(VLOOKUP(M188,技能表!$A:$B,2,FALSE)),"",VLOOKUP(M188,技能表!$A:$B,2,FALSE))</f>
        <v/>
      </c>
    </row>
    <row r="189" spans="14:23">
      <c r="N189" t="str">
        <f>IF(ISNA(VLOOKUP(D189,技能表!$A:$B,2,FALSE)),"",VLOOKUP(D189,技能表!$A:$B,2,FALSE))</f>
        <v/>
      </c>
      <c r="O189" t="str">
        <f>IF(ISNA(VLOOKUP(E189,技能表!$A:$B,2,FALSE)),"",VLOOKUP(E189,技能表!$A:$B,2,FALSE))</f>
        <v/>
      </c>
      <c r="P189" t="str">
        <f>IF(ISNA(VLOOKUP(F189,技能表!$A:$B,2,FALSE)),"",VLOOKUP(F189,技能表!$A:$B,2,FALSE))</f>
        <v/>
      </c>
      <c r="Q189" t="str">
        <f>IF(ISNA(VLOOKUP(G189,技能表!$A:$B,2,FALSE)),"",VLOOKUP(G189,技能表!$A:$B,2,FALSE))</f>
        <v/>
      </c>
      <c r="R189" t="str">
        <f>IF(ISNA(VLOOKUP(H189,技能表!$A:$B,2,FALSE)),"",VLOOKUP(H189,技能表!$A:$B,2,FALSE))</f>
        <v/>
      </c>
      <c r="S189" t="str">
        <f>IF(ISNA(VLOOKUP(I189,技能表!$A:$B,2,FALSE)),"",VLOOKUP(I189,技能表!$A:$B,2,FALSE))</f>
        <v/>
      </c>
      <c r="T189" t="str">
        <f>IF(ISNA(VLOOKUP(J189,技能表!$A:$B,2,FALSE)),"",VLOOKUP(J189,技能表!$A:$B,2,FALSE))</f>
        <v/>
      </c>
      <c r="U189" t="str">
        <f>IF(ISNA(VLOOKUP(K189,技能表!$A:$B,2,FALSE)),"",VLOOKUP(K189,技能表!$A:$B,2,FALSE))</f>
        <v/>
      </c>
      <c r="V189" t="str">
        <f>IF(ISNA(VLOOKUP(L189,技能表!$A:$B,2,FALSE)),"",VLOOKUP(L189,技能表!$A:$B,2,FALSE))</f>
        <v/>
      </c>
      <c r="W189" t="str">
        <f>IF(ISNA(VLOOKUP(M189,技能表!$A:$B,2,FALSE)),"",VLOOKUP(M189,技能表!$A:$B,2,FALSE))</f>
        <v/>
      </c>
    </row>
    <row r="190" spans="14:23">
      <c r="N190" t="str">
        <f>IF(ISNA(VLOOKUP(D190,技能表!$A:$B,2,FALSE)),"",VLOOKUP(D190,技能表!$A:$B,2,FALSE))</f>
        <v/>
      </c>
      <c r="O190" t="str">
        <f>IF(ISNA(VLOOKUP(E190,技能表!$A:$B,2,FALSE)),"",VLOOKUP(E190,技能表!$A:$B,2,FALSE))</f>
        <v/>
      </c>
      <c r="P190" t="str">
        <f>IF(ISNA(VLOOKUP(F190,技能表!$A:$B,2,FALSE)),"",VLOOKUP(F190,技能表!$A:$B,2,FALSE))</f>
        <v/>
      </c>
      <c r="Q190" t="str">
        <f>IF(ISNA(VLOOKUP(G190,技能表!$A:$B,2,FALSE)),"",VLOOKUP(G190,技能表!$A:$B,2,FALSE))</f>
        <v/>
      </c>
      <c r="R190" t="str">
        <f>IF(ISNA(VLOOKUP(H190,技能表!$A:$B,2,FALSE)),"",VLOOKUP(H190,技能表!$A:$B,2,FALSE))</f>
        <v/>
      </c>
      <c r="S190" t="str">
        <f>IF(ISNA(VLOOKUP(I190,技能表!$A:$B,2,FALSE)),"",VLOOKUP(I190,技能表!$A:$B,2,FALSE))</f>
        <v/>
      </c>
      <c r="T190" t="str">
        <f>IF(ISNA(VLOOKUP(J190,技能表!$A:$B,2,FALSE)),"",VLOOKUP(J190,技能表!$A:$B,2,FALSE))</f>
        <v/>
      </c>
      <c r="U190" t="str">
        <f>IF(ISNA(VLOOKUP(K190,技能表!$A:$B,2,FALSE)),"",VLOOKUP(K190,技能表!$A:$B,2,FALSE))</f>
        <v/>
      </c>
      <c r="V190" t="str">
        <f>IF(ISNA(VLOOKUP(L190,技能表!$A:$B,2,FALSE)),"",VLOOKUP(L190,技能表!$A:$B,2,FALSE))</f>
        <v/>
      </c>
      <c r="W190" t="str">
        <f>IF(ISNA(VLOOKUP(M190,技能表!$A:$B,2,FALSE)),"",VLOOKUP(M190,技能表!$A:$B,2,FALSE))</f>
        <v/>
      </c>
    </row>
  </sheetData>
  <phoneticPr fontId="2" type="noConversion"/>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sheetPr codeName="Sheet2"/>
  <dimension ref="A1:D1566"/>
  <sheetViews>
    <sheetView topLeftCell="A316" workbookViewId="0">
      <selection activeCell="B329" sqref="B329"/>
    </sheetView>
  </sheetViews>
  <sheetFormatPr defaultRowHeight="16.5"/>
  <cols>
    <col min="1" max="1" width="6.625" style="24" customWidth="1"/>
    <col min="2" max="2" width="16.75" style="24" bestFit="1" customWidth="1"/>
    <col min="3" max="3" width="6.625" style="24" customWidth="1"/>
    <col min="4" max="4" width="6.375" style="59" customWidth="1"/>
  </cols>
  <sheetData>
    <row r="1" spans="1:4">
      <c r="A1" s="22" t="s">
        <v>3477</v>
      </c>
      <c r="B1" s="22"/>
      <c r="C1" s="22" t="s">
        <v>3477</v>
      </c>
      <c r="D1" s="22" t="s">
        <v>3518</v>
      </c>
    </row>
    <row r="2" spans="1:4">
      <c r="A2" s="23"/>
      <c r="B2" s="27" t="s">
        <v>2348</v>
      </c>
      <c r="C2" s="23"/>
      <c r="D2" s="23"/>
    </row>
    <row r="3" spans="1:4">
      <c r="A3" s="24">
        <v>10101</v>
      </c>
      <c r="B3" s="24" t="s">
        <v>1188</v>
      </c>
      <c r="C3" s="24">
        <v>10101</v>
      </c>
      <c r="D3" s="24" t="s">
        <v>592</v>
      </c>
    </row>
    <row r="4" spans="1:4">
      <c r="A4" s="24">
        <v>10102</v>
      </c>
      <c r="B4" s="24" t="s">
        <v>1188</v>
      </c>
      <c r="C4" s="24">
        <v>10102</v>
      </c>
      <c r="D4" s="24" t="s">
        <v>592</v>
      </c>
    </row>
    <row r="5" spans="1:4">
      <c r="A5" s="24">
        <v>10103</v>
      </c>
      <c r="B5" s="24" t="s">
        <v>1188</v>
      </c>
      <c r="C5" s="24">
        <v>10103</v>
      </c>
      <c r="D5" s="24" t="s">
        <v>592</v>
      </c>
    </row>
    <row r="6" spans="1:4">
      <c r="A6" s="24">
        <v>10104</v>
      </c>
      <c r="B6" s="24" t="s">
        <v>1188</v>
      </c>
      <c r="C6" s="24">
        <v>10104</v>
      </c>
      <c r="D6" s="24" t="s">
        <v>592</v>
      </c>
    </row>
    <row r="7" spans="1:4">
      <c r="A7" s="24">
        <v>10105</v>
      </c>
      <c r="B7" s="24" t="s">
        <v>1188</v>
      </c>
      <c r="C7" s="24">
        <v>10105</v>
      </c>
      <c r="D7" s="24" t="s">
        <v>592</v>
      </c>
    </row>
    <row r="8" spans="1:4">
      <c r="A8" s="24">
        <v>10201</v>
      </c>
      <c r="B8" s="24" t="s">
        <v>1189</v>
      </c>
      <c r="C8" s="24">
        <v>10201</v>
      </c>
      <c r="D8" s="24" t="s">
        <v>593</v>
      </c>
    </row>
    <row r="9" spans="1:4">
      <c r="A9" s="24">
        <v>10202</v>
      </c>
      <c r="B9" s="24" t="s">
        <v>1189</v>
      </c>
      <c r="C9" s="24">
        <v>10202</v>
      </c>
      <c r="D9" s="24" t="s">
        <v>593</v>
      </c>
    </row>
    <row r="10" spans="1:4">
      <c r="A10" s="24">
        <v>10203</v>
      </c>
      <c r="B10" s="24" t="s">
        <v>1189</v>
      </c>
      <c r="C10" s="24">
        <v>10203</v>
      </c>
      <c r="D10" s="24" t="s">
        <v>593</v>
      </c>
    </row>
    <row r="11" spans="1:4">
      <c r="A11" s="24">
        <v>10204</v>
      </c>
      <c r="B11" s="24" t="s">
        <v>1189</v>
      </c>
      <c r="C11" s="24">
        <v>10204</v>
      </c>
      <c r="D11" s="24" t="s">
        <v>593</v>
      </c>
    </row>
    <row r="12" spans="1:4">
      <c r="A12" s="24">
        <v>10205</v>
      </c>
      <c r="B12" s="24" t="s">
        <v>1189</v>
      </c>
      <c r="C12" s="24">
        <v>10205</v>
      </c>
      <c r="D12" s="24" t="s">
        <v>593</v>
      </c>
    </row>
    <row r="13" spans="1:4">
      <c r="A13" s="24">
        <v>10301</v>
      </c>
      <c r="B13" s="24" t="s">
        <v>1190</v>
      </c>
      <c r="C13" s="24">
        <v>10301</v>
      </c>
      <c r="D13" s="24" t="s">
        <v>594</v>
      </c>
    </row>
    <row r="14" spans="1:4">
      <c r="A14" s="24">
        <v>10302</v>
      </c>
      <c r="B14" s="24" t="s">
        <v>1190</v>
      </c>
      <c r="C14" s="24">
        <v>10302</v>
      </c>
      <c r="D14" s="24" t="s">
        <v>594</v>
      </c>
    </row>
    <row r="15" spans="1:4">
      <c r="A15" s="24">
        <v>10303</v>
      </c>
      <c r="B15" s="24" t="s">
        <v>1190</v>
      </c>
      <c r="C15" s="24">
        <v>10303</v>
      </c>
      <c r="D15" s="24" t="s">
        <v>594</v>
      </c>
    </row>
    <row r="16" spans="1:4">
      <c r="A16" s="24">
        <v>10304</v>
      </c>
      <c r="B16" s="24" t="s">
        <v>1190</v>
      </c>
      <c r="C16" s="24">
        <v>10304</v>
      </c>
      <c r="D16" s="24" t="s">
        <v>594</v>
      </c>
    </row>
    <row r="17" spans="1:4">
      <c r="A17" s="24">
        <v>10305</v>
      </c>
      <c r="B17" s="24" t="s">
        <v>1190</v>
      </c>
      <c r="C17" s="24">
        <v>10305</v>
      </c>
      <c r="D17" s="24" t="s">
        <v>594</v>
      </c>
    </row>
    <row r="18" spans="1:4">
      <c r="A18" s="24">
        <v>10401</v>
      </c>
      <c r="B18" s="24" t="s">
        <v>1191</v>
      </c>
      <c r="C18" s="24">
        <v>10401</v>
      </c>
      <c r="D18" s="24" t="s">
        <v>595</v>
      </c>
    </row>
    <row r="19" spans="1:4">
      <c r="A19" s="24">
        <v>10402</v>
      </c>
      <c r="B19" s="24" t="s">
        <v>1191</v>
      </c>
      <c r="C19" s="24">
        <v>10402</v>
      </c>
      <c r="D19" s="24" t="s">
        <v>595</v>
      </c>
    </row>
    <row r="20" spans="1:4">
      <c r="A20" s="24">
        <v>10403</v>
      </c>
      <c r="B20" s="24" t="s">
        <v>1191</v>
      </c>
      <c r="C20" s="24">
        <v>10403</v>
      </c>
      <c r="D20" s="24" t="s">
        <v>595</v>
      </c>
    </row>
    <row r="21" spans="1:4">
      <c r="A21" s="24">
        <v>10404</v>
      </c>
      <c r="B21" s="24" t="s">
        <v>1191</v>
      </c>
      <c r="C21" s="24">
        <v>10404</v>
      </c>
      <c r="D21" s="24" t="s">
        <v>595</v>
      </c>
    </row>
    <row r="22" spans="1:4">
      <c r="A22" s="24">
        <v>10405</v>
      </c>
      <c r="B22" s="24" t="s">
        <v>1191</v>
      </c>
      <c r="C22" s="24">
        <v>10405</v>
      </c>
      <c r="D22" s="24" t="s">
        <v>595</v>
      </c>
    </row>
    <row r="23" spans="1:4">
      <c r="A23" s="24">
        <v>10501</v>
      </c>
      <c r="B23" s="24" t="s">
        <v>1192</v>
      </c>
      <c r="C23" s="24">
        <v>10501</v>
      </c>
      <c r="D23" s="24" t="s">
        <v>596</v>
      </c>
    </row>
    <row r="24" spans="1:4">
      <c r="A24" s="24">
        <v>10502</v>
      </c>
      <c r="B24" s="24" t="s">
        <v>1192</v>
      </c>
      <c r="C24" s="24">
        <v>10502</v>
      </c>
      <c r="D24" s="24" t="s">
        <v>596</v>
      </c>
    </row>
    <row r="25" spans="1:4">
      <c r="A25" s="24">
        <v>10503</v>
      </c>
      <c r="B25" s="24" t="s">
        <v>1192</v>
      </c>
      <c r="C25" s="24">
        <v>10503</v>
      </c>
      <c r="D25" s="24" t="s">
        <v>596</v>
      </c>
    </row>
    <row r="26" spans="1:4">
      <c r="A26" s="24">
        <v>10504</v>
      </c>
      <c r="B26" s="24" t="s">
        <v>1192</v>
      </c>
      <c r="C26" s="24">
        <v>10504</v>
      </c>
      <c r="D26" s="24" t="s">
        <v>596</v>
      </c>
    </row>
    <row r="27" spans="1:4">
      <c r="A27" s="24">
        <v>10505</v>
      </c>
      <c r="B27" s="24" t="s">
        <v>1192</v>
      </c>
      <c r="C27" s="24">
        <v>10505</v>
      </c>
      <c r="D27" s="24" t="s">
        <v>596</v>
      </c>
    </row>
    <row r="28" spans="1:4">
      <c r="A28" s="24">
        <v>10601</v>
      </c>
      <c r="B28" s="24" t="s">
        <v>1193</v>
      </c>
      <c r="C28" s="24">
        <v>10601</v>
      </c>
      <c r="D28" s="24" t="s">
        <v>596</v>
      </c>
    </row>
    <row r="29" spans="1:4">
      <c r="A29" s="24">
        <v>10602</v>
      </c>
      <c r="B29" s="24" t="s">
        <v>1193</v>
      </c>
      <c r="C29" s="24">
        <v>10602</v>
      </c>
      <c r="D29" s="24" t="s">
        <v>596</v>
      </c>
    </row>
    <row r="30" spans="1:4">
      <c r="A30" s="24">
        <v>10603</v>
      </c>
      <c r="B30" s="24" t="s">
        <v>1193</v>
      </c>
      <c r="C30" s="24">
        <v>10603</v>
      </c>
      <c r="D30" s="24" t="s">
        <v>596</v>
      </c>
    </row>
    <row r="31" spans="1:4">
      <c r="A31" s="24">
        <v>10604</v>
      </c>
      <c r="B31" s="24" t="s">
        <v>1193</v>
      </c>
      <c r="C31" s="24">
        <v>10604</v>
      </c>
      <c r="D31" s="24" t="s">
        <v>596</v>
      </c>
    </row>
    <row r="32" spans="1:4">
      <c r="A32" s="24">
        <v>10605</v>
      </c>
      <c r="B32" s="24" t="s">
        <v>1193</v>
      </c>
      <c r="C32" s="24">
        <v>10605</v>
      </c>
      <c r="D32" s="24" t="s">
        <v>596</v>
      </c>
    </row>
    <row r="33" spans="1:4">
      <c r="A33" s="24">
        <v>10701</v>
      </c>
      <c r="B33" s="24" t="s">
        <v>1194</v>
      </c>
      <c r="C33" s="24">
        <v>10701</v>
      </c>
      <c r="D33" s="24" t="s">
        <v>594</v>
      </c>
    </row>
    <row r="34" spans="1:4">
      <c r="A34" s="24">
        <v>10702</v>
      </c>
      <c r="B34" s="24" t="s">
        <v>1194</v>
      </c>
      <c r="C34" s="24">
        <v>10702</v>
      </c>
      <c r="D34" s="24" t="s">
        <v>594</v>
      </c>
    </row>
    <row r="35" spans="1:4">
      <c r="A35" s="24">
        <v>10703</v>
      </c>
      <c r="B35" s="24" t="s">
        <v>1194</v>
      </c>
      <c r="C35" s="24">
        <v>10703</v>
      </c>
      <c r="D35" s="24" t="s">
        <v>594</v>
      </c>
    </row>
    <row r="36" spans="1:4">
      <c r="A36" s="24">
        <v>10704</v>
      </c>
      <c r="B36" s="24" t="s">
        <v>1194</v>
      </c>
      <c r="C36" s="24">
        <v>10704</v>
      </c>
      <c r="D36" s="24" t="s">
        <v>594</v>
      </c>
    </row>
    <row r="37" spans="1:4">
      <c r="A37" s="24">
        <v>10705</v>
      </c>
      <c r="B37" s="24" t="s">
        <v>1194</v>
      </c>
      <c r="C37" s="24">
        <v>10705</v>
      </c>
      <c r="D37" s="24" t="s">
        <v>594</v>
      </c>
    </row>
    <row r="38" spans="1:4">
      <c r="A38" s="24">
        <v>10801</v>
      </c>
      <c r="B38" s="24" t="s">
        <v>3519</v>
      </c>
      <c r="C38" s="24">
        <v>10801</v>
      </c>
      <c r="D38" s="24" t="s">
        <v>595</v>
      </c>
    </row>
    <row r="39" spans="1:4">
      <c r="A39" s="24">
        <v>10802</v>
      </c>
      <c r="B39" s="24" t="s">
        <v>1195</v>
      </c>
      <c r="C39" s="24">
        <v>10802</v>
      </c>
      <c r="D39" s="24" t="s">
        <v>595</v>
      </c>
    </row>
    <row r="40" spans="1:4">
      <c r="A40" s="24">
        <v>10803</v>
      </c>
      <c r="B40" s="24" t="s">
        <v>1195</v>
      </c>
      <c r="C40" s="24">
        <v>10803</v>
      </c>
      <c r="D40" s="24" t="s">
        <v>595</v>
      </c>
    </row>
    <row r="41" spans="1:4">
      <c r="A41" s="24">
        <v>10804</v>
      </c>
      <c r="B41" s="24" t="s">
        <v>1195</v>
      </c>
      <c r="C41" s="24">
        <v>10804</v>
      </c>
      <c r="D41" s="24" t="s">
        <v>595</v>
      </c>
    </row>
    <row r="42" spans="1:4">
      <c r="A42" s="24">
        <v>10805</v>
      </c>
      <c r="B42" s="24" t="s">
        <v>1195</v>
      </c>
      <c r="C42" s="24">
        <v>10805</v>
      </c>
      <c r="D42" s="24" t="s">
        <v>595</v>
      </c>
    </row>
    <row r="43" spans="1:4">
      <c r="A43" s="24">
        <v>10901</v>
      </c>
      <c r="B43" s="24" t="s">
        <v>1196</v>
      </c>
      <c r="C43" s="24">
        <v>10901</v>
      </c>
      <c r="D43" s="24" t="s">
        <v>596</v>
      </c>
    </row>
    <row r="44" spans="1:4">
      <c r="A44" s="24">
        <v>10902</v>
      </c>
      <c r="B44" s="24" t="s">
        <v>1196</v>
      </c>
      <c r="C44" s="24">
        <v>10902</v>
      </c>
      <c r="D44" s="24" t="s">
        <v>596</v>
      </c>
    </row>
    <row r="45" spans="1:4">
      <c r="A45" s="24">
        <v>10903</v>
      </c>
      <c r="B45" s="24" t="s">
        <v>1196</v>
      </c>
      <c r="C45" s="24">
        <v>10903</v>
      </c>
      <c r="D45" s="24" t="s">
        <v>596</v>
      </c>
    </row>
    <row r="46" spans="1:4">
      <c r="A46" s="24">
        <v>10904</v>
      </c>
      <c r="B46" s="24" t="s">
        <v>1196</v>
      </c>
      <c r="C46" s="24">
        <v>10904</v>
      </c>
      <c r="D46" s="24" t="s">
        <v>596</v>
      </c>
    </row>
    <row r="47" spans="1:4">
      <c r="A47" s="24">
        <v>10905</v>
      </c>
      <c r="B47" s="24" t="s">
        <v>1196</v>
      </c>
      <c r="C47" s="24">
        <v>10905</v>
      </c>
      <c r="D47" s="24" t="s">
        <v>596</v>
      </c>
    </row>
    <row r="48" spans="1:4">
      <c r="A48" s="24">
        <v>11001</v>
      </c>
      <c r="B48" s="24" t="s">
        <v>1197</v>
      </c>
      <c r="C48" s="24">
        <v>11001</v>
      </c>
      <c r="D48" s="24" t="s">
        <v>593</v>
      </c>
    </row>
    <row r="49" spans="1:4">
      <c r="A49" s="24">
        <v>11002</v>
      </c>
      <c r="B49" s="24" t="s">
        <v>1197</v>
      </c>
      <c r="C49" s="24">
        <v>11002</v>
      </c>
      <c r="D49" s="24" t="s">
        <v>593</v>
      </c>
    </row>
    <row r="50" spans="1:4">
      <c r="A50" s="24">
        <v>11003</v>
      </c>
      <c r="B50" s="24" t="s">
        <v>1197</v>
      </c>
      <c r="C50" s="24">
        <v>11003</v>
      </c>
      <c r="D50" s="24" t="s">
        <v>593</v>
      </c>
    </row>
    <row r="51" spans="1:4">
      <c r="A51" s="24">
        <v>11004</v>
      </c>
      <c r="B51" s="24" t="s">
        <v>1197</v>
      </c>
      <c r="C51" s="24">
        <v>11004</v>
      </c>
      <c r="D51" s="24" t="s">
        <v>593</v>
      </c>
    </row>
    <row r="52" spans="1:4">
      <c r="A52" s="24">
        <v>11005</v>
      </c>
      <c r="B52" s="24" t="s">
        <v>1197</v>
      </c>
      <c r="C52" s="24">
        <v>11005</v>
      </c>
      <c r="D52" s="24" t="s">
        <v>593</v>
      </c>
    </row>
    <row r="53" spans="1:4">
      <c r="A53" s="24">
        <v>11101</v>
      </c>
      <c r="B53" s="24" t="s">
        <v>1198</v>
      </c>
      <c r="C53" s="24">
        <v>11101</v>
      </c>
      <c r="D53" s="24" t="s">
        <v>594</v>
      </c>
    </row>
    <row r="54" spans="1:4">
      <c r="A54" s="24">
        <v>11102</v>
      </c>
      <c r="B54" s="24" t="s">
        <v>1198</v>
      </c>
      <c r="C54" s="24">
        <v>11102</v>
      </c>
      <c r="D54" s="24" t="s">
        <v>594</v>
      </c>
    </row>
    <row r="55" spans="1:4">
      <c r="A55" s="24">
        <v>11103</v>
      </c>
      <c r="B55" s="24" t="s">
        <v>1198</v>
      </c>
      <c r="C55" s="24">
        <v>11103</v>
      </c>
      <c r="D55" s="24" t="s">
        <v>594</v>
      </c>
    </row>
    <row r="56" spans="1:4">
      <c r="A56" s="24">
        <v>11104</v>
      </c>
      <c r="B56" s="24" t="s">
        <v>1198</v>
      </c>
      <c r="C56" s="24">
        <v>11104</v>
      </c>
      <c r="D56" s="24" t="s">
        <v>594</v>
      </c>
    </row>
    <row r="57" spans="1:4">
      <c r="A57" s="24">
        <v>11105</v>
      </c>
      <c r="B57" s="24" t="s">
        <v>1198</v>
      </c>
      <c r="C57" s="24">
        <v>11105</v>
      </c>
      <c r="D57" s="24" t="s">
        <v>594</v>
      </c>
    </row>
    <row r="58" spans="1:4">
      <c r="A58" s="24">
        <v>11201</v>
      </c>
      <c r="B58" s="24" t="s">
        <v>1199</v>
      </c>
      <c r="C58" s="24">
        <v>11201</v>
      </c>
      <c r="D58" s="24" t="s">
        <v>594</v>
      </c>
    </row>
    <row r="59" spans="1:4">
      <c r="A59" s="24">
        <v>11202</v>
      </c>
      <c r="B59" s="24" t="s">
        <v>1199</v>
      </c>
      <c r="C59" s="24">
        <v>11202</v>
      </c>
      <c r="D59" s="24" t="s">
        <v>594</v>
      </c>
    </row>
    <row r="60" spans="1:4">
      <c r="A60" s="24">
        <v>11203</v>
      </c>
      <c r="B60" s="24" t="s">
        <v>1199</v>
      </c>
      <c r="C60" s="24">
        <v>11203</v>
      </c>
      <c r="D60" s="24" t="s">
        <v>594</v>
      </c>
    </row>
    <row r="61" spans="1:4">
      <c r="A61" s="24">
        <v>11204</v>
      </c>
      <c r="B61" s="24" t="s">
        <v>1199</v>
      </c>
      <c r="C61" s="24">
        <v>11204</v>
      </c>
      <c r="D61" s="24" t="s">
        <v>594</v>
      </c>
    </row>
    <row r="62" spans="1:4">
      <c r="A62" s="24">
        <v>11205</v>
      </c>
      <c r="B62" s="24" t="s">
        <v>1199</v>
      </c>
      <c r="C62" s="24">
        <v>11205</v>
      </c>
      <c r="D62" s="24" t="s">
        <v>594</v>
      </c>
    </row>
    <row r="63" spans="1:4">
      <c r="A63" s="24">
        <v>11301</v>
      </c>
      <c r="B63" s="24" t="s">
        <v>1200</v>
      </c>
      <c r="C63" s="24">
        <v>11301</v>
      </c>
      <c r="D63" s="24" t="s">
        <v>593</v>
      </c>
    </row>
    <row r="64" spans="1:4">
      <c r="A64" s="24">
        <v>11302</v>
      </c>
      <c r="B64" s="24" t="s">
        <v>1200</v>
      </c>
      <c r="C64" s="24">
        <v>11302</v>
      </c>
      <c r="D64" s="24" t="s">
        <v>593</v>
      </c>
    </row>
    <row r="65" spans="1:4">
      <c r="A65" s="24">
        <v>11303</v>
      </c>
      <c r="B65" s="24" t="s">
        <v>1200</v>
      </c>
      <c r="C65" s="24">
        <v>11303</v>
      </c>
      <c r="D65" s="24" t="s">
        <v>593</v>
      </c>
    </row>
    <row r="66" spans="1:4">
      <c r="A66" s="24">
        <v>11304</v>
      </c>
      <c r="B66" s="24" t="s">
        <v>1200</v>
      </c>
      <c r="C66" s="24">
        <v>11304</v>
      </c>
      <c r="D66" s="24" t="s">
        <v>593</v>
      </c>
    </row>
    <row r="67" spans="1:4">
      <c r="A67" s="24">
        <v>11305</v>
      </c>
      <c r="B67" s="24" t="s">
        <v>1200</v>
      </c>
      <c r="C67" s="24">
        <v>11305</v>
      </c>
      <c r="D67" s="24" t="s">
        <v>593</v>
      </c>
    </row>
    <row r="68" spans="1:4">
      <c r="A68" s="24">
        <v>11401</v>
      </c>
      <c r="B68" s="24" t="s">
        <v>1201</v>
      </c>
      <c r="C68" s="24">
        <v>11401</v>
      </c>
      <c r="D68" s="24" t="s">
        <v>596</v>
      </c>
    </row>
    <row r="69" spans="1:4">
      <c r="A69" s="24">
        <v>11402</v>
      </c>
      <c r="B69" s="24" t="s">
        <v>1201</v>
      </c>
      <c r="C69" s="24">
        <v>11402</v>
      </c>
      <c r="D69" s="24" t="s">
        <v>596</v>
      </c>
    </row>
    <row r="70" spans="1:4">
      <c r="A70" s="24">
        <v>11403</v>
      </c>
      <c r="B70" s="24" t="s">
        <v>1201</v>
      </c>
      <c r="C70" s="24">
        <v>11403</v>
      </c>
      <c r="D70" s="24" t="s">
        <v>596</v>
      </c>
    </row>
    <row r="71" spans="1:4">
      <c r="A71" s="24">
        <v>11404</v>
      </c>
      <c r="B71" s="24" t="s">
        <v>1201</v>
      </c>
      <c r="C71" s="24">
        <v>11404</v>
      </c>
      <c r="D71" s="24" t="s">
        <v>596</v>
      </c>
    </row>
    <row r="72" spans="1:4">
      <c r="A72" s="24">
        <v>11405</v>
      </c>
      <c r="B72" s="24" t="s">
        <v>1201</v>
      </c>
      <c r="C72" s="24">
        <v>11405</v>
      </c>
      <c r="D72" s="24" t="s">
        <v>596</v>
      </c>
    </row>
    <row r="73" spans="1:4">
      <c r="A73" s="24">
        <v>11501</v>
      </c>
      <c r="B73" s="24" t="s">
        <v>1202</v>
      </c>
      <c r="C73" s="24">
        <v>11501</v>
      </c>
      <c r="D73" s="24" t="s">
        <v>596</v>
      </c>
    </row>
    <row r="74" spans="1:4">
      <c r="A74" s="24">
        <v>11502</v>
      </c>
      <c r="B74" s="24" t="s">
        <v>1202</v>
      </c>
      <c r="C74" s="24">
        <v>11502</v>
      </c>
      <c r="D74" s="24" t="s">
        <v>596</v>
      </c>
    </row>
    <row r="75" spans="1:4">
      <c r="A75" s="24">
        <v>11503</v>
      </c>
      <c r="B75" s="24" t="s">
        <v>1202</v>
      </c>
      <c r="C75" s="24">
        <v>11503</v>
      </c>
      <c r="D75" s="24" t="s">
        <v>596</v>
      </c>
    </row>
    <row r="76" spans="1:4">
      <c r="A76" s="24">
        <v>11504</v>
      </c>
      <c r="B76" s="24" t="s">
        <v>1202</v>
      </c>
      <c r="C76" s="24">
        <v>11504</v>
      </c>
      <c r="D76" s="24" t="s">
        <v>596</v>
      </c>
    </row>
    <row r="77" spans="1:4">
      <c r="A77" s="24">
        <v>11505</v>
      </c>
      <c r="B77" s="24" t="s">
        <v>1202</v>
      </c>
      <c r="C77" s="24">
        <v>11505</v>
      </c>
      <c r="D77" s="24" t="s">
        <v>596</v>
      </c>
    </row>
    <row r="78" spans="1:4">
      <c r="A78" s="24">
        <v>11601</v>
      </c>
      <c r="B78" s="24" t="s">
        <v>1203</v>
      </c>
      <c r="C78" s="24">
        <v>11601</v>
      </c>
      <c r="D78" s="24" t="s">
        <v>595</v>
      </c>
    </row>
    <row r="79" spans="1:4">
      <c r="A79" s="24">
        <v>11602</v>
      </c>
      <c r="B79" s="24" t="s">
        <v>1203</v>
      </c>
      <c r="C79" s="24">
        <v>11602</v>
      </c>
      <c r="D79" s="24" t="s">
        <v>595</v>
      </c>
    </row>
    <row r="80" spans="1:4">
      <c r="A80" s="24">
        <v>11603</v>
      </c>
      <c r="B80" s="24" t="s">
        <v>1203</v>
      </c>
      <c r="C80" s="24">
        <v>11603</v>
      </c>
      <c r="D80" s="24" t="s">
        <v>595</v>
      </c>
    </row>
    <row r="81" spans="1:4">
      <c r="A81" s="24">
        <v>11604</v>
      </c>
      <c r="B81" s="24" t="s">
        <v>1203</v>
      </c>
      <c r="C81" s="24">
        <v>11604</v>
      </c>
      <c r="D81" s="24" t="s">
        <v>595</v>
      </c>
    </row>
    <row r="82" spans="1:4">
      <c r="A82" s="24">
        <v>11605</v>
      </c>
      <c r="B82" s="24" t="s">
        <v>1203</v>
      </c>
      <c r="C82" s="24">
        <v>11605</v>
      </c>
      <c r="D82" s="24" t="s">
        <v>595</v>
      </c>
    </row>
    <row r="83" spans="1:4">
      <c r="A83" s="24">
        <v>11701</v>
      </c>
      <c r="B83" s="24" t="s">
        <v>1204</v>
      </c>
      <c r="C83" s="24">
        <v>11701</v>
      </c>
      <c r="D83" s="24" t="s">
        <v>592</v>
      </c>
    </row>
    <row r="84" spans="1:4">
      <c r="A84" s="24">
        <v>11702</v>
      </c>
      <c r="B84" s="24" t="s">
        <v>1204</v>
      </c>
      <c r="C84" s="24">
        <v>11702</v>
      </c>
      <c r="D84" s="24" t="s">
        <v>592</v>
      </c>
    </row>
    <row r="85" spans="1:4">
      <c r="A85" s="24">
        <v>11703</v>
      </c>
      <c r="B85" s="24" t="s">
        <v>1204</v>
      </c>
      <c r="C85" s="24">
        <v>11703</v>
      </c>
      <c r="D85" s="24" t="s">
        <v>592</v>
      </c>
    </row>
    <row r="86" spans="1:4">
      <c r="A86" s="24">
        <v>11704</v>
      </c>
      <c r="B86" s="24" t="s">
        <v>1204</v>
      </c>
      <c r="C86" s="24">
        <v>11704</v>
      </c>
      <c r="D86" s="24" t="s">
        <v>592</v>
      </c>
    </row>
    <row r="87" spans="1:4">
      <c r="A87" s="24">
        <v>11705</v>
      </c>
      <c r="B87" s="24" t="s">
        <v>1204</v>
      </c>
      <c r="C87" s="24">
        <v>11705</v>
      </c>
      <c r="D87" s="24" t="s">
        <v>592</v>
      </c>
    </row>
    <row r="88" spans="1:4">
      <c r="A88" s="24">
        <v>11801</v>
      </c>
      <c r="B88" s="24" t="s">
        <v>1205</v>
      </c>
      <c r="C88" s="24">
        <v>11801</v>
      </c>
      <c r="D88" s="24" t="s">
        <v>594</v>
      </c>
    </row>
    <row r="89" spans="1:4">
      <c r="A89" s="24">
        <v>11802</v>
      </c>
      <c r="B89" s="24" t="s">
        <v>1205</v>
      </c>
      <c r="C89" s="24">
        <v>11802</v>
      </c>
      <c r="D89" s="24" t="s">
        <v>594</v>
      </c>
    </row>
    <row r="90" spans="1:4">
      <c r="A90" s="24">
        <v>11803</v>
      </c>
      <c r="B90" s="24" t="s">
        <v>1205</v>
      </c>
      <c r="C90" s="24">
        <v>11803</v>
      </c>
      <c r="D90" s="24" t="s">
        <v>594</v>
      </c>
    </row>
    <row r="91" spans="1:4">
      <c r="A91" s="24">
        <v>11804</v>
      </c>
      <c r="B91" s="24" t="s">
        <v>1205</v>
      </c>
      <c r="C91" s="24">
        <v>11804</v>
      </c>
      <c r="D91" s="24" t="s">
        <v>594</v>
      </c>
    </row>
    <row r="92" spans="1:4">
      <c r="A92" s="24">
        <v>11805</v>
      </c>
      <c r="B92" s="24" t="s">
        <v>1205</v>
      </c>
      <c r="C92" s="24">
        <v>11805</v>
      </c>
      <c r="D92" s="24" t="s">
        <v>594</v>
      </c>
    </row>
    <row r="93" spans="1:4">
      <c r="A93" s="24">
        <v>11901</v>
      </c>
      <c r="B93" s="24" t="s">
        <v>1206</v>
      </c>
      <c r="C93" s="24">
        <v>11901</v>
      </c>
      <c r="D93" s="24" t="s">
        <v>592</v>
      </c>
    </row>
    <row r="94" spans="1:4">
      <c r="A94" s="24">
        <v>11902</v>
      </c>
      <c r="B94" s="24" t="s">
        <v>1206</v>
      </c>
      <c r="C94" s="24">
        <v>11902</v>
      </c>
      <c r="D94" s="24" t="s">
        <v>592</v>
      </c>
    </row>
    <row r="95" spans="1:4">
      <c r="A95" s="24">
        <v>11903</v>
      </c>
      <c r="B95" s="24" t="s">
        <v>1206</v>
      </c>
      <c r="C95" s="24">
        <v>11903</v>
      </c>
      <c r="D95" s="24" t="s">
        <v>592</v>
      </c>
    </row>
    <row r="96" spans="1:4">
      <c r="A96" s="24">
        <v>11904</v>
      </c>
      <c r="B96" s="24" t="s">
        <v>1206</v>
      </c>
      <c r="C96" s="24">
        <v>11904</v>
      </c>
      <c r="D96" s="24" t="s">
        <v>592</v>
      </c>
    </row>
    <row r="97" spans="1:4">
      <c r="A97" s="24">
        <v>11905</v>
      </c>
      <c r="B97" s="24" t="s">
        <v>1206</v>
      </c>
      <c r="C97" s="24">
        <v>11905</v>
      </c>
      <c r="D97" s="24" t="s">
        <v>592</v>
      </c>
    </row>
    <row r="98" spans="1:4">
      <c r="A98" s="24">
        <v>12001</v>
      </c>
      <c r="B98" s="24" t="s">
        <v>1207</v>
      </c>
      <c r="C98" s="24">
        <v>12001</v>
      </c>
      <c r="D98" s="24" t="s">
        <v>592</v>
      </c>
    </row>
    <row r="99" spans="1:4">
      <c r="A99" s="24">
        <v>12002</v>
      </c>
      <c r="B99" s="24" t="s">
        <v>1207</v>
      </c>
      <c r="C99" s="24">
        <v>12002</v>
      </c>
      <c r="D99" s="24" t="s">
        <v>592</v>
      </c>
    </row>
    <row r="100" spans="1:4">
      <c r="A100" s="24">
        <v>12003</v>
      </c>
      <c r="B100" s="24" t="s">
        <v>1207</v>
      </c>
      <c r="C100" s="24">
        <v>12003</v>
      </c>
      <c r="D100" s="24" t="s">
        <v>592</v>
      </c>
    </row>
    <row r="101" spans="1:4">
      <c r="A101" s="24">
        <v>12004</v>
      </c>
      <c r="B101" s="24" t="s">
        <v>1207</v>
      </c>
      <c r="C101" s="24">
        <v>12004</v>
      </c>
      <c r="D101" s="24" t="s">
        <v>592</v>
      </c>
    </row>
    <row r="102" spans="1:4">
      <c r="A102" s="24">
        <v>12005</v>
      </c>
      <c r="B102" s="24" t="s">
        <v>1207</v>
      </c>
      <c r="C102" s="24">
        <v>12005</v>
      </c>
      <c r="D102" s="24" t="s">
        <v>592</v>
      </c>
    </row>
    <row r="103" spans="1:4">
      <c r="A103" s="24">
        <v>12101</v>
      </c>
      <c r="B103" s="24" t="s">
        <v>1208</v>
      </c>
      <c r="C103" s="24">
        <v>12101</v>
      </c>
      <c r="D103" s="24" t="s">
        <v>596</v>
      </c>
    </row>
    <row r="104" spans="1:4">
      <c r="A104" s="24">
        <v>12102</v>
      </c>
      <c r="B104" s="24" t="s">
        <v>1208</v>
      </c>
      <c r="C104" s="24">
        <v>12102</v>
      </c>
      <c r="D104" s="24" t="s">
        <v>596</v>
      </c>
    </row>
    <row r="105" spans="1:4">
      <c r="A105" s="24">
        <v>12103</v>
      </c>
      <c r="B105" s="24" t="s">
        <v>1208</v>
      </c>
      <c r="C105" s="24">
        <v>12103</v>
      </c>
      <c r="D105" s="24" t="s">
        <v>596</v>
      </c>
    </row>
    <row r="106" spans="1:4">
      <c r="A106" s="24">
        <v>12104</v>
      </c>
      <c r="B106" s="24" t="s">
        <v>1208</v>
      </c>
      <c r="C106" s="24">
        <v>12104</v>
      </c>
      <c r="D106" s="24" t="s">
        <v>596</v>
      </c>
    </row>
    <row r="107" spans="1:4">
      <c r="A107" s="24">
        <v>12105</v>
      </c>
      <c r="B107" s="24" t="s">
        <v>1208</v>
      </c>
      <c r="C107" s="24">
        <v>12105</v>
      </c>
      <c r="D107" s="24" t="s">
        <v>596</v>
      </c>
    </row>
    <row r="108" spans="1:4">
      <c r="A108" s="24">
        <v>12201</v>
      </c>
      <c r="B108" s="24" t="s">
        <v>1209</v>
      </c>
      <c r="C108" s="24">
        <v>12201</v>
      </c>
      <c r="D108" s="24" t="s">
        <v>594</v>
      </c>
    </row>
    <row r="109" spans="1:4">
      <c r="A109" s="24">
        <v>12202</v>
      </c>
      <c r="B109" s="24" t="s">
        <v>1209</v>
      </c>
      <c r="C109" s="24">
        <v>12202</v>
      </c>
      <c r="D109" s="24" t="s">
        <v>594</v>
      </c>
    </row>
    <row r="110" spans="1:4">
      <c r="A110" s="24">
        <v>12203</v>
      </c>
      <c r="B110" s="24" t="s">
        <v>1209</v>
      </c>
      <c r="C110" s="24">
        <v>12203</v>
      </c>
      <c r="D110" s="24" t="s">
        <v>594</v>
      </c>
    </row>
    <row r="111" spans="1:4">
      <c r="A111" s="24">
        <v>12204</v>
      </c>
      <c r="B111" s="24" t="s">
        <v>1209</v>
      </c>
      <c r="C111" s="24">
        <v>12204</v>
      </c>
      <c r="D111" s="24" t="s">
        <v>594</v>
      </c>
    </row>
    <row r="112" spans="1:4">
      <c r="A112" s="24">
        <v>12205</v>
      </c>
      <c r="B112" s="24" t="s">
        <v>1209</v>
      </c>
      <c r="C112" s="24">
        <v>12205</v>
      </c>
      <c r="D112" s="24" t="s">
        <v>594</v>
      </c>
    </row>
    <row r="113" spans="1:4">
      <c r="A113" s="112">
        <v>12301</v>
      </c>
      <c r="B113" s="24" t="s">
        <v>3520</v>
      </c>
      <c r="C113" s="112">
        <v>12301</v>
      </c>
      <c r="D113" s="24" t="s">
        <v>593</v>
      </c>
    </row>
    <row r="114" spans="1:4">
      <c r="A114" s="112">
        <v>12302</v>
      </c>
      <c r="B114" s="24" t="s">
        <v>3520</v>
      </c>
      <c r="C114" s="112">
        <v>12302</v>
      </c>
      <c r="D114" s="24" t="s">
        <v>593</v>
      </c>
    </row>
    <row r="115" spans="1:4">
      <c r="A115" s="112">
        <v>12303</v>
      </c>
      <c r="B115" s="24" t="s">
        <v>3520</v>
      </c>
      <c r="C115" s="112">
        <v>12303</v>
      </c>
      <c r="D115" s="24" t="s">
        <v>593</v>
      </c>
    </row>
    <row r="116" spans="1:4">
      <c r="A116" s="112">
        <v>12304</v>
      </c>
      <c r="B116" s="24" t="s">
        <v>3520</v>
      </c>
      <c r="C116" s="112">
        <v>12304</v>
      </c>
      <c r="D116" s="24" t="s">
        <v>593</v>
      </c>
    </row>
    <row r="117" spans="1:4">
      <c r="A117" s="112">
        <v>12305</v>
      </c>
      <c r="B117" s="24" t="s">
        <v>3520</v>
      </c>
      <c r="C117" s="112">
        <v>12305</v>
      </c>
      <c r="D117" s="24" t="s">
        <v>593</v>
      </c>
    </row>
    <row r="118" spans="1:4">
      <c r="A118" s="113">
        <v>12401</v>
      </c>
      <c r="B118" s="26" t="s">
        <v>3521</v>
      </c>
      <c r="C118" s="113">
        <v>12401</v>
      </c>
      <c r="D118" s="117" t="s">
        <v>594</v>
      </c>
    </row>
    <row r="119" spans="1:4">
      <c r="A119" s="113">
        <v>12402</v>
      </c>
      <c r="B119" s="26" t="s">
        <v>3521</v>
      </c>
      <c r="C119" s="113">
        <v>12402</v>
      </c>
      <c r="D119" s="117" t="s">
        <v>594</v>
      </c>
    </row>
    <row r="120" spans="1:4">
      <c r="A120" s="113">
        <v>12403</v>
      </c>
      <c r="B120" s="26" t="s">
        <v>3521</v>
      </c>
      <c r="C120" s="113">
        <v>12403</v>
      </c>
      <c r="D120" s="117" t="s">
        <v>594</v>
      </c>
    </row>
    <row r="121" spans="1:4">
      <c r="A121" s="113">
        <v>12404</v>
      </c>
      <c r="B121" s="26" t="s">
        <v>3521</v>
      </c>
      <c r="C121" s="113">
        <v>12404</v>
      </c>
      <c r="D121" s="117" t="s">
        <v>594</v>
      </c>
    </row>
    <row r="122" spans="1:4">
      <c r="A122" s="113">
        <v>12405</v>
      </c>
      <c r="B122" s="26" t="s">
        <v>3521</v>
      </c>
      <c r="C122" s="113">
        <v>12405</v>
      </c>
      <c r="D122" s="117" t="s">
        <v>594</v>
      </c>
    </row>
    <row r="123" spans="1:4">
      <c r="A123" s="112">
        <v>12501</v>
      </c>
      <c r="B123" s="24" t="s">
        <v>2402</v>
      </c>
      <c r="C123" s="112">
        <v>12501</v>
      </c>
      <c r="D123" s="24" t="s">
        <v>592</v>
      </c>
    </row>
    <row r="124" spans="1:4">
      <c r="A124" s="112">
        <v>12502</v>
      </c>
      <c r="B124" s="24" t="s">
        <v>2402</v>
      </c>
      <c r="C124" s="112">
        <v>12502</v>
      </c>
      <c r="D124" s="24" t="s">
        <v>592</v>
      </c>
    </row>
    <row r="125" spans="1:4">
      <c r="A125" s="112">
        <v>12503</v>
      </c>
      <c r="B125" s="24" t="s">
        <v>2402</v>
      </c>
      <c r="C125" s="112">
        <v>12503</v>
      </c>
      <c r="D125" s="24" t="s">
        <v>592</v>
      </c>
    </row>
    <row r="126" spans="1:4">
      <c r="A126" s="112">
        <v>12504</v>
      </c>
      <c r="B126" s="24" t="s">
        <v>2402</v>
      </c>
      <c r="C126" s="112">
        <v>12504</v>
      </c>
      <c r="D126" s="24" t="s">
        <v>592</v>
      </c>
    </row>
    <row r="127" spans="1:4">
      <c r="A127" s="112">
        <v>12505</v>
      </c>
      <c r="B127" s="24" t="s">
        <v>2402</v>
      </c>
      <c r="C127" s="112">
        <v>12505</v>
      </c>
      <c r="D127" s="24" t="s">
        <v>592</v>
      </c>
    </row>
    <row r="128" spans="1:4">
      <c r="A128" s="112">
        <v>12601</v>
      </c>
      <c r="B128" s="24" t="s">
        <v>2403</v>
      </c>
      <c r="C128" s="112">
        <v>12601</v>
      </c>
      <c r="D128" s="24" t="s">
        <v>593</v>
      </c>
    </row>
    <row r="129" spans="1:4">
      <c r="A129" s="112">
        <v>12602</v>
      </c>
      <c r="B129" s="24" t="s">
        <v>2403</v>
      </c>
      <c r="C129" s="112">
        <v>12602</v>
      </c>
      <c r="D129" s="24" t="s">
        <v>593</v>
      </c>
    </row>
    <row r="130" spans="1:4">
      <c r="A130" s="112">
        <v>12603</v>
      </c>
      <c r="B130" s="24" t="s">
        <v>2403</v>
      </c>
      <c r="C130" s="112">
        <v>12603</v>
      </c>
      <c r="D130" s="24" t="s">
        <v>593</v>
      </c>
    </row>
    <row r="131" spans="1:4">
      <c r="A131" s="112">
        <v>12604</v>
      </c>
      <c r="B131" s="24" t="s">
        <v>2403</v>
      </c>
      <c r="C131" s="112">
        <v>12604</v>
      </c>
      <c r="D131" s="24" t="s">
        <v>593</v>
      </c>
    </row>
    <row r="132" spans="1:4">
      <c r="A132" s="112">
        <v>12605</v>
      </c>
      <c r="B132" s="24" t="s">
        <v>2403</v>
      </c>
      <c r="C132" s="112">
        <v>12605</v>
      </c>
      <c r="D132" s="24" t="s">
        <v>593</v>
      </c>
    </row>
    <row r="133" spans="1:4">
      <c r="A133" s="113">
        <v>12701</v>
      </c>
      <c r="B133" s="26" t="s">
        <v>3522</v>
      </c>
      <c r="C133" s="113">
        <v>12701</v>
      </c>
      <c r="D133" s="117" t="s">
        <v>595</v>
      </c>
    </row>
    <row r="134" spans="1:4">
      <c r="A134" s="113">
        <v>12702</v>
      </c>
      <c r="B134" s="26" t="s">
        <v>3522</v>
      </c>
      <c r="C134" s="113">
        <v>12702</v>
      </c>
      <c r="D134" s="117" t="s">
        <v>595</v>
      </c>
    </row>
    <row r="135" spans="1:4">
      <c r="A135" s="113">
        <v>12703</v>
      </c>
      <c r="B135" s="26" t="s">
        <v>3522</v>
      </c>
      <c r="C135" s="113">
        <v>12703</v>
      </c>
      <c r="D135" s="117" t="s">
        <v>595</v>
      </c>
    </row>
    <row r="136" spans="1:4">
      <c r="A136" s="113">
        <v>12704</v>
      </c>
      <c r="B136" s="26" t="s">
        <v>3522</v>
      </c>
      <c r="C136" s="113">
        <v>12704</v>
      </c>
      <c r="D136" s="117" t="s">
        <v>595</v>
      </c>
    </row>
    <row r="137" spans="1:4">
      <c r="A137" s="113">
        <v>12705</v>
      </c>
      <c r="B137" s="26" t="s">
        <v>3522</v>
      </c>
      <c r="C137" s="113">
        <v>12705</v>
      </c>
      <c r="D137" s="117" t="s">
        <v>595</v>
      </c>
    </row>
    <row r="138" spans="1:4">
      <c r="A138" s="112">
        <v>12801</v>
      </c>
      <c r="B138" s="24" t="s">
        <v>2404</v>
      </c>
      <c r="C138" s="112">
        <v>12801</v>
      </c>
      <c r="D138" s="24" t="s">
        <v>592</v>
      </c>
    </row>
    <row r="139" spans="1:4">
      <c r="A139" s="112">
        <v>12802</v>
      </c>
      <c r="B139" s="24" t="s">
        <v>2404</v>
      </c>
      <c r="C139" s="112">
        <v>12802</v>
      </c>
      <c r="D139" s="24" t="s">
        <v>592</v>
      </c>
    </row>
    <row r="140" spans="1:4">
      <c r="A140" s="112">
        <v>12803</v>
      </c>
      <c r="B140" s="24" t="s">
        <v>2404</v>
      </c>
      <c r="C140" s="112">
        <v>12803</v>
      </c>
      <c r="D140" s="24" t="s">
        <v>592</v>
      </c>
    </row>
    <row r="141" spans="1:4">
      <c r="A141" s="112">
        <v>12804</v>
      </c>
      <c r="B141" s="24" t="s">
        <v>2404</v>
      </c>
      <c r="C141" s="112">
        <v>12804</v>
      </c>
      <c r="D141" s="24" t="s">
        <v>592</v>
      </c>
    </row>
    <row r="142" spans="1:4">
      <c r="A142" s="112">
        <v>12805</v>
      </c>
      <c r="B142" s="24" t="s">
        <v>2404</v>
      </c>
      <c r="C142" s="112">
        <v>12805</v>
      </c>
      <c r="D142" s="24" t="s">
        <v>592</v>
      </c>
    </row>
    <row r="143" spans="1:4">
      <c r="A143" s="113">
        <v>12901</v>
      </c>
      <c r="B143" s="26" t="s">
        <v>3523</v>
      </c>
      <c r="C143" s="113">
        <v>12901</v>
      </c>
      <c r="D143" s="117" t="s">
        <v>594</v>
      </c>
    </row>
    <row r="144" spans="1:4">
      <c r="A144" s="113">
        <v>12902</v>
      </c>
      <c r="B144" s="26" t="s">
        <v>3523</v>
      </c>
      <c r="C144" s="113">
        <v>12902</v>
      </c>
      <c r="D144" s="117" t="s">
        <v>594</v>
      </c>
    </row>
    <row r="145" spans="1:4">
      <c r="A145" s="113">
        <v>12903</v>
      </c>
      <c r="B145" s="26" t="s">
        <v>3523</v>
      </c>
      <c r="C145" s="113">
        <v>12903</v>
      </c>
      <c r="D145" s="117" t="s">
        <v>594</v>
      </c>
    </row>
    <row r="146" spans="1:4">
      <c r="A146" s="113">
        <v>12904</v>
      </c>
      <c r="B146" s="26" t="s">
        <v>3523</v>
      </c>
      <c r="C146" s="113">
        <v>12904</v>
      </c>
      <c r="D146" s="117" t="s">
        <v>594</v>
      </c>
    </row>
    <row r="147" spans="1:4">
      <c r="A147" s="113">
        <v>12905</v>
      </c>
      <c r="B147" s="26" t="s">
        <v>3523</v>
      </c>
      <c r="C147" s="113">
        <v>12905</v>
      </c>
      <c r="D147" s="117" t="s">
        <v>594</v>
      </c>
    </row>
    <row r="148" spans="1:4">
      <c r="A148" s="112">
        <v>13001</v>
      </c>
      <c r="B148" s="24" t="s">
        <v>630</v>
      </c>
      <c r="C148" s="112">
        <v>13001</v>
      </c>
      <c r="D148" s="24" t="s">
        <v>595</v>
      </c>
    </row>
    <row r="149" spans="1:4">
      <c r="A149" s="112">
        <v>13002</v>
      </c>
      <c r="B149" s="24" t="s">
        <v>630</v>
      </c>
      <c r="C149" s="112">
        <v>13002</v>
      </c>
      <c r="D149" s="24" t="s">
        <v>595</v>
      </c>
    </row>
    <row r="150" spans="1:4">
      <c r="A150" s="112">
        <v>13003</v>
      </c>
      <c r="B150" s="24" t="s">
        <v>630</v>
      </c>
      <c r="C150" s="112">
        <v>13003</v>
      </c>
      <c r="D150" s="24" t="s">
        <v>595</v>
      </c>
    </row>
    <row r="151" spans="1:4">
      <c r="A151" s="112">
        <v>13004</v>
      </c>
      <c r="B151" s="24" t="s">
        <v>630</v>
      </c>
      <c r="C151" s="112">
        <v>13004</v>
      </c>
      <c r="D151" s="24" t="s">
        <v>595</v>
      </c>
    </row>
    <row r="152" spans="1:4">
      <c r="A152" s="112">
        <v>13005</v>
      </c>
      <c r="B152" s="24" t="s">
        <v>630</v>
      </c>
      <c r="C152" s="112">
        <v>13005</v>
      </c>
      <c r="D152" s="24" t="s">
        <v>595</v>
      </c>
    </row>
    <row r="153" spans="1:4">
      <c r="A153" s="25">
        <v>13101</v>
      </c>
      <c r="B153" s="25" t="s">
        <v>3524</v>
      </c>
      <c r="C153" s="25">
        <v>13101</v>
      </c>
      <c r="D153" s="25" t="s">
        <v>592</v>
      </c>
    </row>
    <row r="154" spans="1:4">
      <c r="A154" s="25">
        <v>13102</v>
      </c>
      <c r="B154" s="25" t="s">
        <v>3524</v>
      </c>
      <c r="C154" s="25">
        <v>13102</v>
      </c>
      <c r="D154" s="25" t="s">
        <v>592</v>
      </c>
    </row>
    <row r="155" spans="1:4">
      <c r="A155" s="25">
        <v>13103</v>
      </c>
      <c r="B155" s="25" t="s">
        <v>3524</v>
      </c>
      <c r="C155" s="25">
        <v>13103</v>
      </c>
      <c r="D155" s="25" t="s">
        <v>592</v>
      </c>
    </row>
    <row r="156" spans="1:4">
      <c r="A156" s="25">
        <v>13104</v>
      </c>
      <c r="B156" s="25" t="s">
        <v>3524</v>
      </c>
      <c r="C156" s="25">
        <v>13104</v>
      </c>
      <c r="D156" s="25" t="s">
        <v>592</v>
      </c>
    </row>
    <row r="157" spans="1:4">
      <c r="A157" s="25">
        <v>13105</v>
      </c>
      <c r="B157" s="25" t="s">
        <v>3524</v>
      </c>
      <c r="C157" s="25">
        <v>13105</v>
      </c>
      <c r="D157" s="25" t="s">
        <v>592</v>
      </c>
    </row>
    <row r="158" spans="1:4">
      <c r="A158" s="25">
        <v>13201</v>
      </c>
      <c r="B158" s="25" t="s">
        <v>3525</v>
      </c>
      <c r="C158" s="25">
        <v>13201</v>
      </c>
      <c r="D158" s="25" t="s">
        <v>594</v>
      </c>
    </row>
    <row r="159" spans="1:4">
      <c r="A159" s="25">
        <v>13202</v>
      </c>
      <c r="B159" s="25" t="s">
        <v>3525</v>
      </c>
      <c r="C159" s="25">
        <v>13202</v>
      </c>
      <c r="D159" s="25" t="s">
        <v>594</v>
      </c>
    </row>
    <row r="160" spans="1:4">
      <c r="A160" s="25">
        <v>13203</v>
      </c>
      <c r="B160" s="25" t="s">
        <v>3525</v>
      </c>
      <c r="C160" s="25">
        <v>13203</v>
      </c>
      <c r="D160" s="25" t="s">
        <v>594</v>
      </c>
    </row>
    <row r="161" spans="1:4">
      <c r="A161" s="25">
        <v>13204</v>
      </c>
      <c r="B161" s="25" t="s">
        <v>3525</v>
      </c>
      <c r="C161" s="25">
        <v>13204</v>
      </c>
      <c r="D161" s="25" t="s">
        <v>594</v>
      </c>
    </row>
    <row r="162" spans="1:4">
      <c r="A162" s="25">
        <v>13205</v>
      </c>
      <c r="B162" s="25" t="s">
        <v>3525</v>
      </c>
      <c r="C162" s="25">
        <v>13205</v>
      </c>
      <c r="D162" s="25" t="s">
        <v>594</v>
      </c>
    </row>
    <row r="163" spans="1:4">
      <c r="A163" s="25">
        <v>13301</v>
      </c>
      <c r="B163" s="25" t="s">
        <v>3526</v>
      </c>
      <c r="C163" s="25">
        <v>13301</v>
      </c>
      <c r="D163" s="25" t="s">
        <v>592</v>
      </c>
    </row>
    <row r="164" spans="1:4">
      <c r="A164" s="25">
        <v>13302</v>
      </c>
      <c r="B164" s="25" t="s">
        <v>3526</v>
      </c>
      <c r="C164" s="25">
        <v>13302</v>
      </c>
      <c r="D164" s="25" t="s">
        <v>592</v>
      </c>
    </row>
    <row r="165" spans="1:4">
      <c r="A165" s="25">
        <v>13303</v>
      </c>
      <c r="B165" s="25" t="s">
        <v>3526</v>
      </c>
      <c r="C165" s="25">
        <v>13303</v>
      </c>
      <c r="D165" s="25" t="s">
        <v>592</v>
      </c>
    </row>
    <row r="166" spans="1:4">
      <c r="A166" s="25">
        <v>13304</v>
      </c>
      <c r="B166" s="25" t="s">
        <v>3526</v>
      </c>
      <c r="C166" s="25">
        <v>13304</v>
      </c>
      <c r="D166" s="25" t="s">
        <v>592</v>
      </c>
    </row>
    <row r="167" spans="1:4">
      <c r="A167" s="25">
        <v>13305</v>
      </c>
      <c r="B167" s="25" t="s">
        <v>3526</v>
      </c>
      <c r="C167" s="25">
        <v>13305</v>
      </c>
      <c r="D167" s="25" t="s">
        <v>592</v>
      </c>
    </row>
    <row r="168" spans="1:4">
      <c r="A168" s="112">
        <v>13401</v>
      </c>
      <c r="B168" s="24" t="s">
        <v>2405</v>
      </c>
      <c r="C168" s="112">
        <v>13401</v>
      </c>
      <c r="D168" s="24" t="s">
        <v>596</v>
      </c>
    </row>
    <row r="169" spans="1:4">
      <c r="A169" s="112">
        <v>13402</v>
      </c>
      <c r="B169" s="24" t="s">
        <v>2405</v>
      </c>
      <c r="C169" s="112">
        <v>13402</v>
      </c>
      <c r="D169" s="24" t="s">
        <v>596</v>
      </c>
    </row>
    <row r="170" spans="1:4">
      <c r="A170" s="112">
        <v>13403</v>
      </c>
      <c r="B170" s="24" t="s">
        <v>2405</v>
      </c>
      <c r="C170" s="112">
        <v>13403</v>
      </c>
      <c r="D170" s="24" t="s">
        <v>596</v>
      </c>
    </row>
    <row r="171" spans="1:4">
      <c r="A171" s="112">
        <v>13404</v>
      </c>
      <c r="B171" s="24" t="s">
        <v>2405</v>
      </c>
      <c r="C171" s="112">
        <v>13404</v>
      </c>
      <c r="D171" s="24" t="s">
        <v>596</v>
      </c>
    </row>
    <row r="172" spans="1:4">
      <c r="A172" s="112">
        <v>13405</v>
      </c>
      <c r="B172" s="24" t="s">
        <v>2405</v>
      </c>
      <c r="C172" s="112">
        <v>13405</v>
      </c>
      <c r="D172" s="24" t="s">
        <v>596</v>
      </c>
    </row>
    <row r="173" spans="1:4">
      <c r="A173" s="112">
        <v>13501</v>
      </c>
      <c r="B173" s="26" t="s">
        <v>3527</v>
      </c>
      <c r="C173" s="112">
        <v>13501</v>
      </c>
      <c r="D173" s="26" t="s">
        <v>593</v>
      </c>
    </row>
    <row r="174" spans="1:4">
      <c r="A174" s="112">
        <v>13502</v>
      </c>
      <c r="B174" s="26" t="s">
        <v>3527</v>
      </c>
      <c r="C174" s="112">
        <v>13502</v>
      </c>
      <c r="D174" s="26" t="s">
        <v>593</v>
      </c>
    </row>
    <row r="175" spans="1:4">
      <c r="A175" s="112">
        <v>13503</v>
      </c>
      <c r="B175" s="26" t="s">
        <v>3527</v>
      </c>
      <c r="C175" s="112">
        <v>13503</v>
      </c>
      <c r="D175" s="26" t="s">
        <v>593</v>
      </c>
    </row>
    <row r="176" spans="1:4">
      <c r="A176" s="112">
        <v>13504</v>
      </c>
      <c r="B176" s="26" t="s">
        <v>3527</v>
      </c>
      <c r="C176" s="112">
        <v>13504</v>
      </c>
      <c r="D176" s="26" t="s">
        <v>593</v>
      </c>
    </row>
    <row r="177" spans="1:4">
      <c r="A177" s="112">
        <v>13505</v>
      </c>
      <c r="B177" s="26" t="s">
        <v>3527</v>
      </c>
      <c r="C177" s="112">
        <v>13505</v>
      </c>
      <c r="D177" s="26" t="s">
        <v>593</v>
      </c>
    </row>
    <row r="178" spans="1:4">
      <c r="A178" s="112">
        <v>13601</v>
      </c>
      <c r="B178" s="24" t="s">
        <v>2406</v>
      </c>
      <c r="C178" s="112">
        <v>13601</v>
      </c>
      <c r="D178" s="24" t="s">
        <v>594</v>
      </c>
    </row>
    <row r="179" spans="1:4">
      <c r="A179" s="112">
        <v>13602</v>
      </c>
      <c r="B179" s="24" t="s">
        <v>2406</v>
      </c>
      <c r="C179" s="112">
        <v>13602</v>
      </c>
      <c r="D179" s="24" t="s">
        <v>594</v>
      </c>
    </row>
    <row r="180" spans="1:4">
      <c r="A180" s="112">
        <v>13603</v>
      </c>
      <c r="B180" s="24" t="s">
        <v>2406</v>
      </c>
      <c r="C180" s="112">
        <v>13603</v>
      </c>
      <c r="D180" s="24" t="s">
        <v>594</v>
      </c>
    </row>
    <row r="181" spans="1:4">
      <c r="A181" s="112">
        <v>13604</v>
      </c>
      <c r="B181" s="24" t="s">
        <v>2406</v>
      </c>
      <c r="C181" s="112">
        <v>13604</v>
      </c>
      <c r="D181" s="24" t="s">
        <v>594</v>
      </c>
    </row>
    <row r="182" spans="1:4">
      <c r="A182" s="112">
        <v>13605</v>
      </c>
      <c r="B182" s="24" t="s">
        <v>2406</v>
      </c>
      <c r="C182" s="112">
        <v>13605</v>
      </c>
      <c r="D182" s="24" t="s">
        <v>594</v>
      </c>
    </row>
    <row r="183" spans="1:4">
      <c r="A183" s="25">
        <v>13701</v>
      </c>
      <c r="B183" s="25" t="s">
        <v>3528</v>
      </c>
      <c r="C183" s="25">
        <v>13701</v>
      </c>
      <c r="D183" s="25" t="s">
        <v>596</v>
      </c>
    </row>
    <row r="184" spans="1:4">
      <c r="A184" s="25">
        <v>13702</v>
      </c>
      <c r="B184" s="25" t="s">
        <v>3528</v>
      </c>
      <c r="C184" s="25">
        <v>13702</v>
      </c>
      <c r="D184" s="25" t="s">
        <v>596</v>
      </c>
    </row>
    <row r="185" spans="1:4">
      <c r="A185" s="25">
        <v>13703</v>
      </c>
      <c r="B185" s="25" t="s">
        <v>3528</v>
      </c>
      <c r="C185" s="25">
        <v>13703</v>
      </c>
      <c r="D185" s="25" t="s">
        <v>596</v>
      </c>
    </row>
    <row r="186" spans="1:4">
      <c r="A186" s="25">
        <v>13704</v>
      </c>
      <c r="B186" s="25" t="s">
        <v>3528</v>
      </c>
      <c r="C186" s="25">
        <v>13704</v>
      </c>
      <c r="D186" s="25" t="s">
        <v>596</v>
      </c>
    </row>
    <row r="187" spans="1:4">
      <c r="A187" s="25">
        <v>13705</v>
      </c>
      <c r="B187" s="25" t="s">
        <v>3528</v>
      </c>
      <c r="C187" s="25">
        <v>13705</v>
      </c>
      <c r="D187" s="25" t="s">
        <v>596</v>
      </c>
    </row>
    <row r="188" spans="1:4">
      <c r="A188" s="112">
        <v>13801</v>
      </c>
      <c r="B188" s="24" t="s">
        <v>2407</v>
      </c>
      <c r="C188" s="112">
        <v>13801</v>
      </c>
      <c r="D188" s="24" t="s">
        <v>594</v>
      </c>
    </row>
    <row r="189" spans="1:4">
      <c r="A189" s="112">
        <v>13802</v>
      </c>
      <c r="B189" s="24" t="s">
        <v>2407</v>
      </c>
      <c r="C189" s="112">
        <v>13802</v>
      </c>
      <c r="D189" s="24" t="s">
        <v>594</v>
      </c>
    </row>
    <row r="190" spans="1:4">
      <c r="A190" s="112">
        <v>13803</v>
      </c>
      <c r="B190" s="24" t="s">
        <v>2407</v>
      </c>
      <c r="C190" s="112">
        <v>13803</v>
      </c>
      <c r="D190" s="24" t="s">
        <v>594</v>
      </c>
    </row>
    <row r="191" spans="1:4">
      <c r="A191" s="112">
        <v>13804</v>
      </c>
      <c r="B191" s="24" t="s">
        <v>2407</v>
      </c>
      <c r="C191" s="112">
        <v>13804</v>
      </c>
      <c r="D191" s="24" t="s">
        <v>594</v>
      </c>
    </row>
    <row r="192" spans="1:4">
      <c r="A192" s="112">
        <v>13805</v>
      </c>
      <c r="B192" s="24" t="s">
        <v>2407</v>
      </c>
      <c r="C192" s="112">
        <v>13805</v>
      </c>
      <c r="D192" s="24" t="s">
        <v>594</v>
      </c>
    </row>
    <row r="193" spans="1:4">
      <c r="A193" s="112">
        <v>13901</v>
      </c>
      <c r="B193" s="24" t="s">
        <v>2408</v>
      </c>
      <c r="C193" s="112">
        <v>13901</v>
      </c>
      <c r="D193" s="24" t="s">
        <v>593</v>
      </c>
    </row>
    <row r="194" spans="1:4">
      <c r="A194" s="112">
        <v>13902</v>
      </c>
      <c r="B194" s="24" t="s">
        <v>2408</v>
      </c>
      <c r="C194" s="112">
        <v>13902</v>
      </c>
      <c r="D194" s="24" t="s">
        <v>593</v>
      </c>
    </row>
    <row r="195" spans="1:4">
      <c r="A195" s="112">
        <v>13903</v>
      </c>
      <c r="B195" s="24" t="s">
        <v>2408</v>
      </c>
      <c r="C195" s="112">
        <v>13903</v>
      </c>
      <c r="D195" s="24" t="s">
        <v>593</v>
      </c>
    </row>
    <row r="196" spans="1:4">
      <c r="A196" s="112">
        <v>13904</v>
      </c>
      <c r="B196" s="24" t="s">
        <v>2408</v>
      </c>
      <c r="C196" s="112">
        <v>13904</v>
      </c>
      <c r="D196" s="24" t="s">
        <v>593</v>
      </c>
    </row>
    <row r="197" spans="1:4">
      <c r="A197" s="112">
        <v>13905</v>
      </c>
      <c r="B197" s="24" t="s">
        <v>2408</v>
      </c>
      <c r="C197" s="112">
        <v>13905</v>
      </c>
      <c r="D197" s="24" t="s">
        <v>593</v>
      </c>
    </row>
    <row r="198" spans="1:4">
      <c r="A198" s="25">
        <v>14001</v>
      </c>
      <c r="B198" s="25" t="s">
        <v>3529</v>
      </c>
      <c r="C198" s="25">
        <v>14001</v>
      </c>
      <c r="D198" s="25" t="s">
        <v>596</v>
      </c>
    </row>
    <row r="199" spans="1:4">
      <c r="A199" s="25">
        <v>14002</v>
      </c>
      <c r="B199" s="25" t="s">
        <v>3529</v>
      </c>
      <c r="C199" s="25">
        <v>14002</v>
      </c>
      <c r="D199" s="25" t="s">
        <v>596</v>
      </c>
    </row>
    <row r="200" spans="1:4">
      <c r="A200" s="25">
        <v>14003</v>
      </c>
      <c r="B200" s="25" t="s">
        <v>3529</v>
      </c>
      <c r="C200" s="25">
        <v>14003</v>
      </c>
      <c r="D200" s="25" t="s">
        <v>596</v>
      </c>
    </row>
    <row r="201" spans="1:4">
      <c r="A201" s="25">
        <v>14004</v>
      </c>
      <c r="B201" s="25" t="s">
        <v>3529</v>
      </c>
      <c r="C201" s="25">
        <v>14004</v>
      </c>
      <c r="D201" s="25" t="s">
        <v>596</v>
      </c>
    </row>
    <row r="202" spans="1:4">
      <c r="A202" s="25">
        <v>14005</v>
      </c>
      <c r="B202" s="25" t="s">
        <v>3529</v>
      </c>
      <c r="C202" s="25">
        <v>14005</v>
      </c>
      <c r="D202" s="25" t="s">
        <v>596</v>
      </c>
    </row>
    <row r="203" spans="1:4">
      <c r="A203" s="25">
        <v>14101</v>
      </c>
      <c r="B203" s="25" t="s">
        <v>3530</v>
      </c>
      <c r="C203" s="25">
        <v>14101</v>
      </c>
      <c r="D203" s="25" t="s">
        <v>593</v>
      </c>
    </row>
    <row r="204" spans="1:4">
      <c r="A204" s="25">
        <v>14102</v>
      </c>
      <c r="B204" s="25" t="s">
        <v>3530</v>
      </c>
      <c r="C204" s="25">
        <v>14102</v>
      </c>
      <c r="D204" s="25" t="s">
        <v>593</v>
      </c>
    </row>
    <row r="205" spans="1:4">
      <c r="A205" s="25">
        <v>14103</v>
      </c>
      <c r="B205" s="25" t="s">
        <v>3530</v>
      </c>
      <c r="C205" s="25">
        <v>14103</v>
      </c>
      <c r="D205" s="25" t="s">
        <v>593</v>
      </c>
    </row>
    <row r="206" spans="1:4">
      <c r="A206" s="25">
        <v>14104</v>
      </c>
      <c r="B206" s="25" t="s">
        <v>3530</v>
      </c>
      <c r="C206" s="25">
        <v>14104</v>
      </c>
      <c r="D206" s="25" t="s">
        <v>593</v>
      </c>
    </row>
    <row r="207" spans="1:4">
      <c r="A207" s="25">
        <v>14105</v>
      </c>
      <c r="B207" s="25" t="s">
        <v>3530</v>
      </c>
      <c r="C207" s="25">
        <v>14105</v>
      </c>
      <c r="D207" s="25" t="s">
        <v>593</v>
      </c>
    </row>
    <row r="208" spans="1:4">
      <c r="A208" s="112">
        <v>14201</v>
      </c>
      <c r="B208" s="26" t="s">
        <v>3531</v>
      </c>
      <c r="C208" s="112">
        <v>14201</v>
      </c>
      <c r="D208" s="26" t="s">
        <v>592</v>
      </c>
    </row>
    <row r="209" spans="1:4">
      <c r="A209" s="112">
        <v>14202</v>
      </c>
      <c r="B209" s="26" t="s">
        <v>3531</v>
      </c>
      <c r="C209" s="112">
        <v>14202</v>
      </c>
      <c r="D209" s="26" t="s">
        <v>592</v>
      </c>
    </row>
    <row r="210" spans="1:4">
      <c r="A210" s="112">
        <v>14203</v>
      </c>
      <c r="B210" s="26" t="s">
        <v>3531</v>
      </c>
      <c r="C210" s="112">
        <v>14203</v>
      </c>
      <c r="D210" s="26" t="s">
        <v>592</v>
      </c>
    </row>
    <row r="211" spans="1:4">
      <c r="A211" s="112">
        <v>14204</v>
      </c>
      <c r="B211" s="26" t="s">
        <v>3531</v>
      </c>
      <c r="C211" s="112">
        <v>14204</v>
      </c>
      <c r="D211" s="26" t="s">
        <v>592</v>
      </c>
    </row>
    <row r="212" spans="1:4">
      <c r="A212" s="112">
        <v>14205</v>
      </c>
      <c r="B212" s="26" t="s">
        <v>3531</v>
      </c>
      <c r="C212" s="112">
        <v>14205</v>
      </c>
      <c r="D212" s="26" t="s">
        <v>592</v>
      </c>
    </row>
    <row r="213" spans="1:4">
      <c r="A213" s="112">
        <v>14301</v>
      </c>
      <c r="B213" s="24" t="s">
        <v>631</v>
      </c>
      <c r="C213" s="112">
        <v>14301</v>
      </c>
      <c r="D213" s="24" t="s">
        <v>594</v>
      </c>
    </row>
    <row r="214" spans="1:4">
      <c r="A214" s="112">
        <v>14302</v>
      </c>
      <c r="B214" s="24" t="s">
        <v>631</v>
      </c>
      <c r="C214" s="112">
        <v>14302</v>
      </c>
      <c r="D214" s="24" t="s">
        <v>594</v>
      </c>
    </row>
    <row r="215" spans="1:4">
      <c r="A215" s="112">
        <v>14303</v>
      </c>
      <c r="B215" s="24" t="s">
        <v>631</v>
      </c>
      <c r="C215" s="112">
        <v>14303</v>
      </c>
      <c r="D215" s="24" t="s">
        <v>594</v>
      </c>
    </row>
    <row r="216" spans="1:4">
      <c r="A216" s="112">
        <v>14304</v>
      </c>
      <c r="B216" s="24" t="s">
        <v>631</v>
      </c>
      <c r="C216" s="112">
        <v>14304</v>
      </c>
      <c r="D216" s="24" t="s">
        <v>594</v>
      </c>
    </row>
    <row r="217" spans="1:4">
      <c r="A217" s="112">
        <v>14305</v>
      </c>
      <c r="B217" s="24" t="s">
        <v>631</v>
      </c>
      <c r="C217" s="112">
        <v>14305</v>
      </c>
      <c r="D217" s="24" t="s">
        <v>594</v>
      </c>
    </row>
    <row r="218" spans="1:4">
      <c r="A218" s="25">
        <v>14401</v>
      </c>
      <c r="B218" s="25" t="s">
        <v>3532</v>
      </c>
      <c r="C218" s="25">
        <v>14401</v>
      </c>
      <c r="D218" s="25" t="s">
        <v>595</v>
      </c>
    </row>
    <row r="219" spans="1:4">
      <c r="A219" s="25">
        <v>14402</v>
      </c>
      <c r="B219" s="25" t="s">
        <v>3532</v>
      </c>
      <c r="C219" s="25">
        <v>14402</v>
      </c>
      <c r="D219" s="25" t="s">
        <v>595</v>
      </c>
    </row>
    <row r="220" spans="1:4">
      <c r="A220" s="25">
        <v>14403</v>
      </c>
      <c r="B220" s="25" t="s">
        <v>3532</v>
      </c>
      <c r="C220" s="25">
        <v>14403</v>
      </c>
      <c r="D220" s="25" t="s">
        <v>595</v>
      </c>
    </row>
    <row r="221" spans="1:4">
      <c r="A221" s="25">
        <v>14404</v>
      </c>
      <c r="B221" s="25" t="s">
        <v>3532</v>
      </c>
      <c r="C221" s="25">
        <v>14404</v>
      </c>
      <c r="D221" s="25" t="s">
        <v>595</v>
      </c>
    </row>
    <row r="222" spans="1:4">
      <c r="A222" s="25">
        <v>14405</v>
      </c>
      <c r="B222" s="25" t="s">
        <v>3532</v>
      </c>
      <c r="C222" s="25">
        <v>14405</v>
      </c>
      <c r="D222" s="25" t="s">
        <v>595</v>
      </c>
    </row>
    <row r="223" spans="1:4">
      <c r="A223" s="113">
        <v>14501</v>
      </c>
      <c r="B223" s="26" t="s">
        <v>38</v>
      </c>
      <c r="C223" s="113">
        <v>14501</v>
      </c>
      <c r="D223" s="117" t="s">
        <v>595</v>
      </c>
    </row>
    <row r="224" spans="1:4">
      <c r="A224" s="113">
        <v>14502</v>
      </c>
      <c r="B224" s="26" t="s">
        <v>38</v>
      </c>
      <c r="C224" s="113">
        <v>14502</v>
      </c>
      <c r="D224" s="117" t="s">
        <v>595</v>
      </c>
    </row>
    <row r="225" spans="1:4">
      <c r="A225" s="113">
        <v>14503</v>
      </c>
      <c r="B225" s="26" t="s">
        <v>38</v>
      </c>
      <c r="C225" s="113">
        <v>14503</v>
      </c>
      <c r="D225" s="117" t="s">
        <v>595</v>
      </c>
    </row>
    <row r="226" spans="1:4">
      <c r="A226" s="113">
        <v>14504</v>
      </c>
      <c r="B226" s="26" t="s">
        <v>38</v>
      </c>
      <c r="C226" s="113">
        <v>14504</v>
      </c>
      <c r="D226" s="117" t="s">
        <v>595</v>
      </c>
    </row>
    <row r="227" spans="1:4">
      <c r="A227" s="113">
        <v>14505</v>
      </c>
      <c r="B227" s="26" t="s">
        <v>38</v>
      </c>
      <c r="C227" s="113">
        <v>14505</v>
      </c>
      <c r="D227" s="117" t="s">
        <v>595</v>
      </c>
    </row>
    <row r="228" spans="1:4">
      <c r="A228" s="112">
        <v>14601</v>
      </c>
      <c r="B228" s="24" t="s">
        <v>632</v>
      </c>
      <c r="C228" s="112">
        <v>14601</v>
      </c>
      <c r="D228" s="24" t="s">
        <v>595</v>
      </c>
    </row>
    <row r="229" spans="1:4">
      <c r="A229" s="112">
        <v>14602</v>
      </c>
      <c r="B229" s="24" t="s">
        <v>632</v>
      </c>
      <c r="C229" s="112">
        <v>14602</v>
      </c>
      <c r="D229" s="24" t="s">
        <v>595</v>
      </c>
    </row>
    <row r="230" spans="1:4">
      <c r="A230" s="112">
        <v>14603</v>
      </c>
      <c r="B230" s="24" t="s">
        <v>632</v>
      </c>
      <c r="C230" s="112">
        <v>14603</v>
      </c>
      <c r="D230" s="24" t="s">
        <v>595</v>
      </c>
    </row>
    <row r="231" spans="1:4">
      <c r="A231" s="112">
        <v>14604</v>
      </c>
      <c r="B231" s="24" t="s">
        <v>632</v>
      </c>
      <c r="C231" s="112">
        <v>14604</v>
      </c>
      <c r="D231" s="24" t="s">
        <v>595</v>
      </c>
    </row>
    <row r="232" spans="1:4">
      <c r="A232" s="112">
        <v>14605</v>
      </c>
      <c r="B232" s="24" t="s">
        <v>632</v>
      </c>
      <c r="C232" s="112">
        <v>14605</v>
      </c>
      <c r="D232" s="24" t="s">
        <v>595</v>
      </c>
    </row>
    <row r="233" spans="1:4">
      <c r="A233" s="25">
        <v>14701</v>
      </c>
      <c r="B233" s="25" t="s">
        <v>3533</v>
      </c>
      <c r="C233" s="25">
        <v>14701</v>
      </c>
      <c r="D233" s="25" t="s">
        <v>596</v>
      </c>
    </row>
    <row r="234" spans="1:4">
      <c r="A234" s="25">
        <v>14702</v>
      </c>
      <c r="B234" s="25" t="s">
        <v>3533</v>
      </c>
      <c r="C234" s="25">
        <v>14702</v>
      </c>
      <c r="D234" s="25" t="s">
        <v>596</v>
      </c>
    </row>
    <row r="235" spans="1:4">
      <c r="A235" s="25">
        <v>14703</v>
      </c>
      <c r="B235" s="25" t="s">
        <v>3533</v>
      </c>
      <c r="C235" s="25">
        <v>14703</v>
      </c>
      <c r="D235" s="25" t="s">
        <v>596</v>
      </c>
    </row>
    <row r="236" spans="1:4">
      <c r="A236" s="25">
        <v>14704</v>
      </c>
      <c r="B236" s="25" t="s">
        <v>3533</v>
      </c>
      <c r="C236" s="25">
        <v>14704</v>
      </c>
      <c r="D236" s="25" t="s">
        <v>596</v>
      </c>
    </row>
    <row r="237" spans="1:4">
      <c r="A237" s="25">
        <v>14705</v>
      </c>
      <c r="B237" s="25" t="s">
        <v>3533</v>
      </c>
      <c r="C237" s="25">
        <v>14705</v>
      </c>
      <c r="D237" s="25" t="s">
        <v>596</v>
      </c>
    </row>
    <row r="238" spans="1:4">
      <c r="D238" s="24"/>
    </row>
    <row r="239" spans="1:4">
      <c r="D239" s="24"/>
    </row>
    <row r="240" spans="1:4">
      <c r="D240" s="24"/>
    </row>
    <row r="241" spans="1:4">
      <c r="D241" s="24"/>
    </row>
    <row r="242" spans="1:4">
      <c r="A242" s="23"/>
      <c r="B242" s="27" t="s">
        <v>3478</v>
      </c>
      <c r="C242" s="23"/>
      <c r="D242" s="23"/>
    </row>
    <row r="243" spans="1:4">
      <c r="A243" s="24">
        <v>30101</v>
      </c>
      <c r="B243" s="24" t="s">
        <v>1210</v>
      </c>
      <c r="C243" s="24">
        <v>30101</v>
      </c>
      <c r="D243" s="24" t="s">
        <v>593</v>
      </c>
    </row>
    <row r="244" spans="1:4">
      <c r="A244" s="24">
        <v>30102</v>
      </c>
      <c r="B244" s="24" t="s">
        <v>1210</v>
      </c>
      <c r="C244" s="24">
        <v>30102</v>
      </c>
      <c r="D244" s="24" t="s">
        <v>593</v>
      </c>
    </row>
    <row r="245" spans="1:4">
      <c r="A245" s="24">
        <v>30103</v>
      </c>
      <c r="B245" s="24" t="s">
        <v>1210</v>
      </c>
      <c r="C245" s="24">
        <v>30103</v>
      </c>
      <c r="D245" s="24" t="s">
        <v>593</v>
      </c>
    </row>
    <row r="246" spans="1:4">
      <c r="A246" s="24">
        <v>30104</v>
      </c>
      <c r="B246" s="24" t="s">
        <v>1210</v>
      </c>
      <c r="C246" s="24">
        <v>30104</v>
      </c>
      <c r="D246" s="24" t="s">
        <v>593</v>
      </c>
    </row>
    <row r="247" spans="1:4">
      <c r="A247" s="24">
        <v>30105</v>
      </c>
      <c r="B247" s="24" t="s">
        <v>1210</v>
      </c>
      <c r="C247" s="24">
        <v>30105</v>
      </c>
      <c r="D247" s="24" t="s">
        <v>593</v>
      </c>
    </row>
    <row r="248" spans="1:4">
      <c r="A248" s="24">
        <v>30201</v>
      </c>
      <c r="B248" s="24" t="s">
        <v>1211</v>
      </c>
      <c r="C248" s="24">
        <v>30201</v>
      </c>
      <c r="D248" s="24" t="s">
        <v>593</v>
      </c>
    </row>
    <row r="249" spans="1:4">
      <c r="A249" s="24">
        <v>30202</v>
      </c>
      <c r="B249" s="24" t="s">
        <v>1211</v>
      </c>
      <c r="C249" s="24">
        <v>30202</v>
      </c>
      <c r="D249" s="24" t="s">
        <v>593</v>
      </c>
    </row>
    <row r="250" spans="1:4">
      <c r="A250" s="24">
        <v>30203</v>
      </c>
      <c r="B250" s="24" t="s">
        <v>1211</v>
      </c>
      <c r="C250" s="24">
        <v>30203</v>
      </c>
      <c r="D250" s="24" t="s">
        <v>593</v>
      </c>
    </row>
    <row r="251" spans="1:4">
      <c r="A251" s="24">
        <v>30204</v>
      </c>
      <c r="B251" s="24" t="s">
        <v>1211</v>
      </c>
      <c r="C251" s="24">
        <v>30204</v>
      </c>
      <c r="D251" s="24" t="s">
        <v>593</v>
      </c>
    </row>
    <row r="252" spans="1:4">
      <c r="A252" s="24">
        <v>30205</v>
      </c>
      <c r="B252" s="24" t="s">
        <v>1211</v>
      </c>
      <c r="C252" s="24">
        <v>30205</v>
      </c>
      <c r="D252" s="24" t="s">
        <v>593</v>
      </c>
    </row>
    <row r="253" spans="1:4">
      <c r="A253" s="24">
        <v>30301</v>
      </c>
      <c r="B253" s="24" t="s">
        <v>3534</v>
      </c>
      <c r="C253" s="24">
        <v>30301</v>
      </c>
      <c r="D253" s="24" t="s">
        <v>595</v>
      </c>
    </row>
    <row r="254" spans="1:4">
      <c r="A254" s="24">
        <v>30302</v>
      </c>
      <c r="B254" s="24" t="s">
        <v>1212</v>
      </c>
      <c r="C254" s="24">
        <v>30302</v>
      </c>
      <c r="D254" s="24" t="s">
        <v>595</v>
      </c>
    </row>
    <row r="255" spans="1:4">
      <c r="A255" s="24">
        <v>30303</v>
      </c>
      <c r="B255" s="24" t="s">
        <v>1212</v>
      </c>
      <c r="C255" s="24">
        <v>30303</v>
      </c>
      <c r="D255" s="24" t="s">
        <v>595</v>
      </c>
    </row>
    <row r="256" spans="1:4">
      <c r="A256" s="24">
        <v>30304</v>
      </c>
      <c r="B256" s="24" t="s">
        <v>1212</v>
      </c>
      <c r="C256" s="24">
        <v>30304</v>
      </c>
      <c r="D256" s="24" t="s">
        <v>595</v>
      </c>
    </row>
    <row r="257" spans="1:4">
      <c r="A257" s="24">
        <v>30305</v>
      </c>
      <c r="B257" s="24" t="s">
        <v>1212</v>
      </c>
      <c r="C257" s="24">
        <v>30305</v>
      </c>
      <c r="D257" s="24" t="s">
        <v>595</v>
      </c>
    </row>
    <row r="258" spans="1:4">
      <c r="A258" s="24">
        <v>30401</v>
      </c>
      <c r="B258" s="24" t="s">
        <v>1213</v>
      </c>
      <c r="C258" s="24">
        <v>30401</v>
      </c>
      <c r="D258" s="24" t="s">
        <v>593</v>
      </c>
    </row>
    <row r="259" spans="1:4">
      <c r="A259" s="24">
        <v>30402</v>
      </c>
      <c r="B259" s="24" t="s">
        <v>1213</v>
      </c>
      <c r="C259" s="24">
        <v>30402</v>
      </c>
      <c r="D259" s="24" t="s">
        <v>593</v>
      </c>
    </row>
    <row r="260" spans="1:4">
      <c r="A260" s="24">
        <v>30403</v>
      </c>
      <c r="B260" s="24" t="s">
        <v>1213</v>
      </c>
      <c r="C260" s="24">
        <v>30403</v>
      </c>
      <c r="D260" s="24" t="s">
        <v>593</v>
      </c>
    </row>
    <row r="261" spans="1:4">
      <c r="A261" s="24">
        <v>30404</v>
      </c>
      <c r="B261" s="24" t="s">
        <v>1213</v>
      </c>
      <c r="C261" s="24">
        <v>30404</v>
      </c>
      <c r="D261" s="24" t="s">
        <v>593</v>
      </c>
    </row>
    <row r="262" spans="1:4">
      <c r="A262" s="24">
        <v>30405</v>
      </c>
      <c r="B262" s="24" t="s">
        <v>1213</v>
      </c>
      <c r="C262" s="24">
        <v>30405</v>
      </c>
      <c r="D262" s="24" t="s">
        <v>593</v>
      </c>
    </row>
    <row r="263" spans="1:4">
      <c r="A263" s="24">
        <v>30501</v>
      </c>
      <c r="B263" s="24" t="s">
        <v>1214</v>
      </c>
      <c r="C263" s="24">
        <v>30501</v>
      </c>
      <c r="D263" s="24" t="s">
        <v>596</v>
      </c>
    </row>
    <row r="264" spans="1:4">
      <c r="A264" s="24">
        <v>30502</v>
      </c>
      <c r="B264" s="24" t="s">
        <v>1214</v>
      </c>
      <c r="C264" s="24">
        <v>30502</v>
      </c>
      <c r="D264" s="24" t="s">
        <v>596</v>
      </c>
    </row>
    <row r="265" spans="1:4">
      <c r="A265" s="24">
        <v>30503</v>
      </c>
      <c r="B265" s="24" t="s">
        <v>1214</v>
      </c>
      <c r="C265" s="24">
        <v>30503</v>
      </c>
      <c r="D265" s="24" t="s">
        <v>596</v>
      </c>
    </row>
    <row r="266" spans="1:4">
      <c r="A266" s="24">
        <v>30504</v>
      </c>
      <c r="B266" s="24" t="s">
        <v>1214</v>
      </c>
      <c r="C266" s="24">
        <v>30504</v>
      </c>
      <c r="D266" s="24" t="s">
        <v>596</v>
      </c>
    </row>
    <row r="267" spans="1:4">
      <c r="A267" s="24">
        <v>30505</v>
      </c>
      <c r="B267" s="24" t="s">
        <v>1214</v>
      </c>
      <c r="C267" s="24">
        <v>30505</v>
      </c>
      <c r="D267" s="24" t="s">
        <v>596</v>
      </c>
    </row>
    <row r="268" spans="1:4">
      <c r="A268" s="24">
        <v>30601</v>
      </c>
      <c r="B268" s="24" t="s">
        <v>1215</v>
      </c>
      <c r="C268" s="24">
        <v>30601</v>
      </c>
      <c r="D268" s="24" t="s">
        <v>594</v>
      </c>
    </row>
    <row r="269" spans="1:4">
      <c r="A269" s="24">
        <v>30602</v>
      </c>
      <c r="B269" s="24" t="s">
        <v>1215</v>
      </c>
      <c r="C269" s="24">
        <v>30602</v>
      </c>
      <c r="D269" s="24" t="s">
        <v>594</v>
      </c>
    </row>
    <row r="270" spans="1:4">
      <c r="A270" s="24">
        <v>30603</v>
      </c>
      <c r="B270" s="24" t="s">
        <v>1215</v>
      </c>
      <c r="C270" s="24">
        <v>30603</v>
      </c>
      <c r="D270" s="24" t="s">
        <v>594</v>
      </c>
    </row>
    <row r="271" spans="1:4">
      <c r="A271" s="24">
        <v>30604</v>
      </c>
      <c r="B271" s="24" t="s">
        <v>1215</v>
      </c>
      <c r="C271" s="24">
        <v>30604</v>
      </c>
      <c r="D271" s="24" t="s">
        <v>594</v>
      </c>
    </row>
    <row r="272" spans="1:4">
      <c r="A272" s="24">
        <v>30605</v>
      </c>
      <c r="B272" s="24" t="s">
        <v>1215</v>
      </c>
      <c r="C272" s="24">
        <v>30605</v>
      </c>
      <c r="D272" s="24" t="s">
        <v>594</v>
      </c>
    </row>
    <row r="273" spans="1:4">
      <c r="A273" s="24">
        <v>30701</v>
      </c>
      <c r="B273" s="24" t="s">
        <v>1216</v>
      </c>
      <c r="C273" s="24">
        <v>30701</v>
      </c>
      <c r="D273" s="24" t="s">
        <v>595</v>
      </c>
    </row>
    <row r="274" spans="1:4">
      <c r="A274" s="24">
        <v>30702</v>
      </c>
      <c r="B274" s="24" t="s">
        <v>1216</v>
      </c>
      <c r="C274" s="24">
        <v>30702</v>
      </c>
      <c r="D274" s="24" t="s">
        <v>595</v>
      </c>
    </row>
    <row r="275" spans="1:4">
      <c r="A275" s="24">
        <v>30703</v>
      </c>
      <c r="B275" s="24" t="s">
        <v>1216</v>
      </c>
      <c r="C275" s="24">
        <v>30703</v>
      </c>
      <c r="D275" s="24" t="s">
        <v>595</v>
      </c>
    </row>
    <row r="276" spans="1:4">
      <c r="A276" s="24">
        <v>30704</v>
      </c>
      <c r="B276" s="24" t="s">
        <v>1216</v>
      </c>
      <c r="C276" s="24">
        <v>30704</v>
      </c>
      <c r="D276" s="24" t="s">
        <v>595</v>
      </c>
    </row>
    <row r="277" spans="1:4">
      <c r="A277" s="24">
        <v>30705</v>
      </c>
      <c r="B277" s="24" t="s">
        <v>1216</v>
      </c>
      <c r="C277" s="24">
        <v>30705</v>
      </c>
      <c r="D277" s="24" t="s">
        <v>595</v>
      </c>
    </row>
    <row r="278" spans="1:4">
      <c r="A278" s="24">
        <v>30801</v>
      </c>
      <c r="B278" s="24" t="s">
        <v>1217</v>
      </c>
      <c r="C278" s="24">
        <v>30801</v>
      </c>
      <c r="D278" s="24" t="s">
        <v>593</v>
      </c>
    </row>
    <row r="279" spans="1:4">
      <c r="A279" s="24">
        <v>30802</v>
      </c>
      <c r="B279" s="24" t="s">
        <v>1217</v>
      </c>
      <c r="C279" s="24">
        <v>30802</v>
      </c>
      <c r="D279" s="24" t="s">
        <v>593</v>
      </c>
    </row>
    <row r="280" spans="1:4">
      <c r="A280" s="24">
        <v>30803</v>
      </c>
      <c r="B280" s="24" t="s">
        <v>1217</v>
      </c>
      <c r="C280" s="24">
        <v>30803</v>
      </c>
      <c r="D280" s="24" t="s">
        <v>593</v>
      </c>
    </row>
    <row r="281" spans="1:4">
      <c r="A281" s="24">
        <v>30804</v>
      </c>
      <c r="B281" s="24" t="s">
        <v>1217</v>
      </c>
      <c r="C281" s="24">
        <v>30804</v>
      </c>
      <c r="D281" s="24" t="s">
        <v>593</v>
      </c>
    </row>
    <row r="282" spans="1:4">
      <c r="A282" s="24">
        <v>30805</v>
      </c>
      <c r="B282" s="24" t="s">
        <v>1217</v>
      </c>
      <c r="C282" s="24">
        <v>30805</v>
      </c>
      <c r="D282" s="24" t="s">
        <v>593</v>
      </c>
    </row>
    <row r="283" spans="1:4">
      <c r="A283" s="24">
        <v>30901</v>
      </c>
      <c r="B283" s="24" t="s">
        <v>1218</v>
      </c>
      <c r="C283" s="24">
        <v>30901</v>
      </c>
      <c r="D283" s="24" t="s">
        <v>596</v>
      </c>
    </row>
    <row r="284" spans="1:4">
      <c r="A284" s="24">
        <v>30902</v>
      </c>
      <c r="B284" s="24" t="s">
        <v>1218</v>
      </c>
      <c r="C284" s="24">
        <v>30902</v>
      </c>
      <c r="D284" s="24" t="s">
        <v>596</v>
      </c>
    </row>
    <row r="285" spans="1:4">
      <c r="A285" s="24">
        <v>30903</v>
      </c>
      <c r="B285" s="24" t="s">
        <v>1218</v>
      </c>
      <c r="C285" s="24">
        <v>30903</v>
      </c>
      <c r="D285" s="24" t="s">
        <v>596</v>
      </c>
    </row>
    <row r="286" spans="1:4">
      <c r="A286" s="24">
        <v>30904</v>
      </c>
      <c r="B286" s="24" t="s">
        <v>1218</v>
      </c>
      <c r="C286" s="24">
        <v>30904</v>
      </c>
      <c r="D286" s="24" t="s">
        <v>596</v>
      </c>
    </row>
    <row r="287" spans="1:4">
      <c r="A287" s="24">
        <v>30905</v>
      </c>
      <c r="B287" s="24" t="s">
        <v>1218</v>
      </c>
      <c r="C287" s="24">
        <v>30905</v>
      </c>
      <c r="D287" s="24" t="s">
        <v>596</v>
      </c>
    </row>
    <row r="288" spans="1:4">
      <c r="A288" s="24">
        <v>31001</v>
      </c>
      <c r="B288" s="24" t="s">
        <v>1219</v>
      </c>
      <c r="C288" s="24">
        <v>31001</v>
      </c>
      <c r="D288" s="24" t="s">
        <v>592</v>
      </c>
    </row>
    <row r="289" spans="1:4">
      <c r="A289" s="24">
        <v>31002</v>
      </c>
      <c r="B289" s="24" t="s">
        <v>1219</v>
      </c>
      <c r="C289" s="24">
        <v>31002</v>
      </c>
      <c r="D289" s="24" t="s">
        <v>592</v>
      </c>
    </row>
    <row r="290" spans="1:4">
      <c r="A290" s="24">
        <v>31003</v>
      </c>
      <c r="B290" s="24" t="s">
        <v>1219</v>
      </c>
      <c r="C290" s="24">
        <v>31003</v>
      </c>
      <c r="D290" s="24" t="s">
        <v>592</v>
      </c>
    </row>
    <row r="291" spans="1:4">
      <c r="A291" s="24">
        <v>31004</v>
      </c>
      <c r="B291" s="24" t="s">
        <v>1219</v>
      </c>
      <c r="C291" s="24">
        <v>31004</v>
      </c>
      <c r="D291" s="24" t="s">
        <v>592</v>
      </c>
    </row>
    <row r="292" spans="1:4">
      <c r="A292" s="24">
        <v>31005</v>
      </c>
      <c r="B292" s="24" t="s">
        <v>1219</v>
      </c>
      <c r="C292" s="24">
        <v>31005</v>
      </c>
      <c r="D292" s="24" t="s">
        <v>592</v>
      </c>
    </row>
    <row r="293" spans="1:4">
      <c r="A293" s="24">
        <v>31101</v>
      </c>
      <c r="B293" s="24" t="s">
        <v>1220</v>
      </c>
      <c r="C293" s="24">
        <v>31101</v>
      </c>
      <c r="D293" s="24" t="s">
        <v>596</v>
      </c>
    </row>
    <row r="294" spans="1:4">
      <c r="A294" s="24">
        <v>31102</v>
      </c>
      <c r="B294" s="24" t="s">
        <v>1220</v>
      </c>
      <c r="C294" s="24">
        <v>31102</v>
      </c>
      <c r="D294" s="24" t="s">
        <v>596</v>
      </c>
    </row>
    <row r="295" spans="1:4">
      <c r="A295" s="24">
        <v>31103</v>
      </c>
      <c r="B295" s="24" t="s">
        <v>1220</v>
      </c>
      <c r="C295" s="24">
        <v>31103</v>
      </c>
      <c r="D295" s="24" t="s">
        <v>596</v>
      </c>
    </row>
    <row r="296" spans="1:4">
      <c r="A296" s="24">
        <v>31104</v>
      </c>
      <c r="B296" s="24" t="s">
        <v>1220</v>
      </c>
      <c r="C296" s="24">
        <v>31104</v>
      </c>
      <c r="D296" s="24" t="s">
        <v>596</v>
      </c>
    </row>
    <row r="297" spans="1:4">
      <c r="A297" s="24">
        <v>31105</v>
      </c>
      <c r="B297" s="24" t="s">
        <v>1220</v>
      </c>
      <c r="C297" s="24">
        <v>31105</v>
      </c>
      <c r="D297" s="24" t="s">
        <v>596</v>
      </c>
    </row>
    <row r="298" spans="1:4">
      <c r="A298" s="24">
        <v>31201</v>
      </c>
      <c r="B298" s="24" t="s">
        <v>3535</v>
      </c>
      <c r="C298" s="24">
        <v>31201</v>
      </c>
      <c r="D298" s="24" t="s">
        <v>594</v>
      </c>
    </row>
    <row r="299" spans="1:4">
      <c r="A299" s="24">
        <v>31202</v>
      </c>
      <c r="B299" s="24" t="s">
        <v>1221</v>
      </c>
      <c r="C299" s="24">
        <v>31202</v>
      </c>
      <c r="D299" s="24" t="s">
        <v>594</v>
      </c>
    </row>
    <row r="300" spans="1:4">
      <c r="A300" s="24">
        <v>31203</v>
      </c>
      <c r="B300" s="24" t="s">
        <v>1221</v>
      </c>
      <c r="C300" s="24">
        <v>31203</v>
      </c>
      <c r="D300" s="24" t="s">
        <v>594</v>
      </c>
    </row>
    <row r="301" spans="1:4">
      <c r="A301" s="24">
        <v>31204</v>
      </c>
      <c r="B301" s="24" t="s">
        <v>1221</v>
      </c>
      <c r="C301" s="24">
        <v>31204</v>
      </c>
      <c r="D301" s="24" t="s">
        <v>594</v>
      </c>
    </row>
    <row r="302" spans="1:4">
      <c r="A302" s="24">
        <v>31205</v>
      </c>
      <c r="B302" s="24" t="s">
        <v>1221</v>
      </c>
      <c r="C302" s="24">
        <v>31205</v>
      </c>
      <c r="D302" s="24" t="s">
        <v>594</v>
      </c>
    </row>
    <row r="303" spans="1:4">
      <c r="A303" s="24">
        <v>31301</v>
      </c>
      <c r="B303" s="24" t="s">
        <v>1222</v>
      </c>
      <c r="C303" s="24">
        <v>31301</v>
      </c>
      <c r="D303" s="24" t="s">
        <v>594</v>
      </c>
    </row>
    <row r="304" spans="1:4">
      <c r="A304" s="24">
        <v>31302</v>
      </c>
      <c r="B304" s="24" t="s">
        <v>1222</v>
      </c>
      <c r="C304" s="24">
        <v>31302</v>
      </c>
      <c r="D304" s="24" t="s">
        <v>594</v>
      </c>
    </row>
    <row r="305" spans="1:4">
      <c r="A305" s="24">
        <v>31303</v>
      </c>
      <c r="B305" s="24" t="s">
        <v>1222</v>
      </c>
      <c r="C305" s="24">
        <v>31303</v>
      </c>
      <c r="D305" s="24" t="s">
        <v>594</v>
      </c>
    </row>
    <row r="306" spans="1:4">
      <c r="A306" s="24">
        <v>31304</v>
      </c>
      <c r="B306" s="24" t="s">
        <v>1222</v>
      </c>
      <c r="C306" s="24">
        <v>31304</v>
      </c>
      <c r="D306" s="24" t="s">
        <v>594</v>
      </c>
    </row>
    <row r="307" spans="1:4">
      <c r="A307" s="114">
        <v>31305</v>
      </c>
      <c r="B307" s="114" t="s">
        <v>1222</v>
      </c>
      <c r="C307" s="114">
        <v>31305</v>
      </c>
      <c r="D307" s="114" t="s">
        <v>594</v>
      </c>
    </row>
    <row r="308" spans="1:4">
      <c r="A308" s="115">
        <v>31401</v>
      </c>
      <c r="B308" s="115" t="s">
        <v>1223</v>
      </c>
      <c r="C308" s="115">
        <v>31401</v>
      </c>
      <c r="D308" s="115" t="s">
        <v>592</v>
      </c>
    </row>
    <row r="309" spans="1:4">
      <c r="A309" s="115">
        <v>31402</v>
      </c>
      <c r="B309" s="115" t="s">
        <v>1223</v>
      </c>
      <c r="C309" s="115">
        <v>31402</v>
      </c>
      <c r="D309" s="115" t="s">
        <v>592</v>
      </c>
    </row>
    <row r="310" spans="1:4">
      <c r="A310" s="115">
        <v>31403</v>
      </c>
      <c r="B310" s="115" t="s">
        <v>1223</v>
      </c>
      <c r="C310" s="115">
        <v>31403</v>
      </c>
      <c r="D310" s="115" t="s">
        <v>592</v>
      </c>
    </row>
    <row r="311" spans="1:4">
      <c r="A311" s="115">
        <v>31404</v>
      </c>
      <c r="B311" s="115" t="s">
        <v>1223</v>
      </c>
      <c r="C311" s="115">
        <v>31404</v>
      </c>
      <c r="D311" s="115" t="s">
        <v>592</v>
      </c>
    </row>
    <row r="312" spans="1:4">
      <c r="A312" s="115">
        <v>31405</v>
      </c>
      <c r="B312" s="115" t="s">
        <v>1223</v>
      </c>
      <c r="C312" s="115">
        <v>31405</v>
      </c>
      <c r="D312" s="115" t="s">
        <v>592</v>
      </c>
    </row>
    <row r="313" spans="1:4">
      <c r="A313" s="115">
        <v>31501</v>
      </c>
      <c r="B313" s="115" t="s">
        <v>1224</v>
      </c>
      <c r="C313" s="115">
        <v>31501</v>
      </c>
      <c r="D313" s="115" t="s">
        <v>595</v>
      </c>
    </row>
    <row r="314" spans="1:4">
      <c r="A314" s="115">
        <v>31502</v>
      </c>
      <c r="B314" s="115" t="s">
        <v>1224</v>
      </c>
      <c r="C314" s="115">
        <v>31502</v>
      </c>
      <c r="D314" s="115" t="s">
        <v>595</v>
      </c>
    </row>
    <row r="315" spans="1:4">
      <c r="A315" s="115">
        <v>31503</v>
      </c>
      <c r="B315" s="115" t="s">
        <v>1224</v>
      </c>
      <c r="C315" s="115">
        <v>31503</v>
      </c>
      <c r="D315" s="115" t="s">
        <v>595</v>
      </c>
    </row>
    <row r="316" spans="1:4">
      <c r="A316" s="115">
        <v>31504</v>
      </c>
      <c r="B316" s="115" t="s">
        <v>1224</v>
      </c>
      <c r="C316" s="115">
        <v>31504</v>
      </c>
      <c r="D316" s="115" t="s">
        <v>595</v>
      </c>
    </row>
    <row r="317" spans="1:4">
      <c r="A317" s="115">
        <v>31505</v>
      </c>
      <c r="B317" s="115" t="s">
        <v>1224</v>
      </c>
      <c r="C317" s="115">
        <v>31505</v>
      </c>
      <c r="D317" s="115" t="s">
        <v>595</v>
      </c>
    </row>
    <row r="318" spans="1:4">
      <c r="A318" s="24">
        <v>31601</v>
      </c>
      <c r="B318" s="24" t="s">
        <v>1225</v>
      </c>
      <c r="C318" s="24">
        <v>31601</v>
      </c>
      <c r="D318" s="24" t="s">
        <v>593</v>
      </c>
    </row>
    <row r="319" spans="1:4">
      <c r="A319" s="24">
        <v>31602</v>
      </c>
      <c r="B319" s="24" t="s">
        <v>1225</v>
      </c>
      <c r="C319" s="24">
        <v>31602</v>
      </c>
      <c r="D319" s="24" t="s">
        <v>593</v>
      </c>
    </row>
    <row r="320" spans="1:4">
      <c r="A320" s="24">
        <v>31603</v>
      </c>
      <c r="B320" s="24" t="s">
        <v>1225</v>
      </c>
      <c r="C320" s="24">
        <v>31603</v>
      </c>
      <c r="D320" s="24" t="s">
        <v>593</v>
      </c>
    </row>
    <row r="321" spans="1:4">
      <c r="A321" s="24">
        <v>31604</v>
      </c>
      <c r="B321" s="24" t="s">
        <v>1225</v>
      </c>
      <c r="C321" s="24">
        <v>31604</v>
      </c>
      <c r="D321" s="24" t="s">
        <v>593</v>
      </c>
    </row>
    <row r="322" spans="1:4">
      <c r="A322" s="24">
        <v>31605</v>
      </c>
      <c r="B322" s="24" t="s">
        <v>1225</v>
      </c>
      <c r="C322" s="24">
        <v>31605</v>
      </c>
      <c r="D322" s="24" t="s">
        <v>593</v>
      </c>
    </row>
    <row r="323" spans="1:4">
      <c r="A323" s="24">
        <v>31701</v>
      </c>
      <c r="B323" s="24" t="s">
        <v>1226</v>
      </c>
      <c r="C323" s="24">
        <v>31701</v>
      </c>
      <c r="D323" s="24" t="s">
        <v>596</v>
      </c>
    </row>
    <row r="324" spans="1:4">
      <c r="A324" s="24">
        <v>31702</v>
      </c>
      <c r="B324" s="24" t="s">
        <v>1226</v>
      </c>
      <c r="C324" s="24">
        <v>31702</v>
      </c>
      <c r="D324" s="24" t="s">
        <v>596</v>
      </c>
    </row>
    <row r="325" spans="1:4">
      <c r="A325" s="24">
        <v>31703</v>
      </c>
      <c r="B325" s="24" t="s">
        <v>1226</v>
      </c>
      <c r="C325" s="24">
        <v>31703</v>
      </c>
      <c r="D325" s="24" t="s">
        <v>596</v>
      </c>
    </row>
    <row r="326" spans="1:4">
      <c r="A326" s="24">
        <v>31704</v>
      </c>
      <c r="B326" s="24" t="s">
        <v>1226</v>
      </c>
      <c r="C326" s="24">
        <v>31704</v>
      </c>
      <c r="D326" s="24" t="s">
        <v>596</v>
      </c>
    </row>
    <row r="327" spans="1:4">
      <c r="A327" s="24">
        <v>31705</v>
      </c>
      <c r="B327" s="24" t="s">
        <v>1226</v>
      </c>
      <c r="C327" s="24">
        <v>31705</v>
      </c>
      <c r="D327" s="24" t="s">
        <v>596</v>
      </c>
    </row>
    <row r="328" spans="1:4">
      <c r="A328" s="24">
        <v>31801</v>
      </c>
      <c r="B328" s="24" t="s">
        <v>1227</v>
      </c>
      <c r="C328" s="24">
        <v>31801</v>
      </c>
      <c r="D328" s="24" t="s">
        <v>592</v>
      </c>
    </row>
    <row r="329" spans="1:4">
      <c r="A329" s="24">
        <v>31802</v>
      </c>
      <c r="B329" s="24" t="s">
        <v>1227</v>
      </c>
      <c r="C329" s="24">
        <v>31802</v>
      </c>
      <c r="D329" s="24" t="s">
        <v>592</v>
      </c>
    </row>
    <row r="330" spans="1:4">
      <c r="A330" s="24">
        <v>31803</v>
      </c>
      <c r="B330" s="24" t="s">
        <v>1227</v>
      </c>
      <c r="C330" s="24">
        <v>31803</v>
      </c>
      <c r="D330" s="24" t="s">
        <v>592</v>
      </c>
    </row>
    <row r="331" spans="1:4">
      <c r="A331" s="24">
        <v>31804</v>
      </c>
      <c r="B331" s="24" t="s">
        <v>1227</v>
      </c>
      <c r="C331" s="24">
        <v>31804</v>
      </c>
      <c r="D331" s="24" t="s">
        <v>592</v>
      </c>
    </row>
    <row r="332" spans="1:4">
      <c r="A332" s="24">
        <v>31805</v>
      </c>
      <c r="B332" s="24" t="s">
        <v>1227</v>
      </c>
      <c r="C332" s="24">
        <v>31805</v>
      </c>
      <c r="D332" s="24" t="s">
        <v>592</v>
      </c>
    </row>
    <row r="333" spans="1:4">
      <c r="A333" s="24">
        <v>31901</v>
      </c>
      <c r="B333" s="24" t="s">
        <v>1228</v>
      </c>
      <c r="C333" s="24">
        <v>31901</v>
      </c>
      <c r="D333" s="24" t="s">
        <v>595</v>
      </c>
    </row>
    <row r="334" spans="1:4">
      <c r="A334" s="24">
        <v>31902</v>
      </c>
      <c r="B334" s="24" t="s">
        <v>1228</v>
      </c>
      <c r="C334" s="24">
        <v>31902</v>
      </c>
      <c r="D334" s="24" t="s">
        <v>595</v>
      </c>
    </row>
    <row r="335" spans="1:4">
      <c r="A335" s="24">
        <v>31903</v>
      </c>
      <c r="B335" s="24" t="s">
        <v>1228</v>
      </c>
      <c r="C335" s="24">
        <v>31903</v>
      </c>
      <c r="D335" s="24" t="s">
        <v>595</v>
      </c>
    </row>
    <row r="336" spans="1:4">
      <c r="A336" s="24">
        <v>31904</v>
      </c>
      <c r="B336" s="24" t="s">
        <v>1228</v>
      </c>
      <c r="C336" s="24">
        <v>31904</v>
      </c>
      <c r="D336" s="24" t="s">
        <v>595</v>
      </c>
    </row>
    <row r="337" spans="1:4">
      <c r="A337" s="24">
        <v>31905</v>
      </c>
      <c r="B337" s="24" t="s">
        <v>1228</v>
      </c>
      <c r="C337" s="24">
        <v>31905</v>
      </c>
      <c r="D337" s="24" t="s">
        <v>595</v>
      </c>
    </row>
    <row r="338" spans="1:4">
      <c r="A338" s="24">
        <v>32001</v>
      </c>
      <c r="B338" s="24" t="s">
        <v>1229</v>
      </c>
      <c r="C338" s="24">
        <v>32001</v>
      </c>
      <c r="D338" s="24" t="s">
        <v>593</v>
      </c>
    </row>
    <row r="339" spans="1:4">
      <c r="A339" s="24">
        <v>32002</v>
      </c>
      <c r="B339" s="24" t="s">
        <v>1229</v>
      </c>
      <c r="C339" s="24">
        <v>32002</v>
      </c>
      <c r="D339" s="24" t="s">
        <v>593</v>
      </c>
    </row>
    <row r="340" spans="1:4">
      <c r="A340" s="24">
        <v>32003</v>
      </c>
      <c r="B340" s="24" t="s">
        <v>1229</v>
      </c>
      <c r="C340" s="24">
        <v>32003</v>
      </c>
      <c r="D340" s="24" t="s">
        <v>593</v>
      </c>
    </row>
    <row r="341" spans="1:4">
      <c r="A341" s="24">
        <v>32004</v>
      </c>
      <c r="B341" s="24" t="s">
        <v>1229</v>
      </c>
      <c r="C341" s="24">
        <v>32004</v>
      </c>
      <c r="D341" s="24" t="s">
        <v>593</v>
      </c>
    </row>
    <row r="342" spans="1:4">
      <c r="A342" s="24">
        <v>32005</v>
      </c>
      <c r="B342" s="24" t="s">
        <v>1229</v>
      </c>
      <c r="C342" s="24">
        <v>32005</v>
      </c>
      <c r="D342" s="24" t="s">
        <v>593</v>
      </c>
    </row>
    <row r="343" spans="1:4">
      <c r="A343" s="24">
        <v>32101</v>
      </c>
      <c r="B343" s="24" t="s">
        <v>1230</v>
      </c>
      <c r="C343" s="24">
        <v>32101</v>
      </c>
      <c r="D343" s="24" t="s">
        <v>592</v>
      </c>
    </row>
    <row r="344" spans="1:4">
      <c r="A344" s="24">
        <v>32102</v>
      </c>
      <c r="B344" s="24" t="s">
        <v>1230</v>
      </c>
      <c r="C344" s="24">
        <v>32102</v>
      </c>
      <c r="D344" s="24" t="s">
        <v>592</v>
      </c>
    </row>
    <row r="345" spans="1:4">
      <c r="A345" s="24">
        <v>32103</v>
      </c>
      <c r="B345" s="24" t="s">
        <v>1230</v>
      </c>
      <c r="C345" s="24">
        <v>32103</v>
      </c>
      <c r="D345" s="24" t="s">
        <v>592</v>
      </c>
    </row>
    <row r="346" spans="1:4">
      <c r="A346" s="24">
        <v>32104</v>
      </c>
      <c r="B346" s="24" t="s">
        <v>1230</v>
      </c>
      <c r="C346" s="24">
        <v>32104</v>
      </c>
      <c r="D346" s="24" t="s">
        <v>592</v>
      </c>
    </row>
    <row r="347" spans="1:4">
      <c r="A347" s="24">
        <v>32105</v>
      </c>
      <c r="B347" s="24" t="s">
        <v>1230</v>
      </c>
      <c r="C347" s="24">
        <v>32105</v>
      </c>
      <c r="D347" s="24" t="s">
        <v>592</v>
      </c>
    </row>
    <row r="348" spans="1:4">
      <c r="A348" s="24">
        <v>32201</v>
      </c>
      <c r="B348" s="24" t="s">
        <v>1231</v>
      </c>
      <c r="C348" s="24">
        <v>32201</v>
      </c>
      <c r="D348" s="24" t="s">
        <v>594</v>
      </c>
    </row>
    <row r="349" spans="1:4">
      <c r="A349" s="24">
        <v>32202</v>
      </c>
      <c r="B349" s="24" t="s">
        <v>1231</v>
      </c>
      <c r="C349" s="24">
        <v>32202</v>
      </c>
      <c r="D349" s="24" t="s">
        <v>594</v>
      </c>
    </row>
    <row r="350" spans="1:4">
      <c r="A350" s="24">
        <v>32203</v>
      </c>
      <c r="B350" s="24" t="s">
        <v>1231</v>
      </c>
      <c r="C350" s="24">
        <v>32203</v>
      </c>
      <c r="D350" s="24" t="s">
        <v>594</v>
      </c>
    </row>
    <row r="351" spans="1:4">
      <c r="A351" s="24">
        <v>32204</v>
      </c>
      <c r="B351" s="24" t="s">
        <v>1231</v>
      </c>
      <c r="C351" s="24">
        <v>32204</v>
      </c>
      <c r="D351" s="24" t="s">
        <v>594</v>
      </c>
    </row>
    <row r="352" spans="1:4">
      <c r="A352" s="24">
        <v>32205</v>
      </c>
      <c r="B352" s="24" t="s">
        <v>1231</v>
      </c>
      <c r="C352" s="24">
        <v>32205</v>
      </c>
      <c r="D352" s="24" t="s">
        <v>594</v>
      </c>
    </row>
    <row r="353" spans="1:4">
      <c r="A353" s="24">
        <v>32301</v>
      </c>
      <c r="B353" s="24" t="s">
        <v>1232</v>
      </c>
      <c r="C353" s="24">
        <v>32301</v>
      </c>
      <c r="D353" s="24" t="s">
        <v>595</v>
      </c>
    </row>
    <row r="354" spans="1:4">
      <c r="A354" s="24">
        <v>32302</v>
      </c>
      <c r="B354" s="24" t="s">
        <v>1232</v>
      </c>
      <c r="C354" s="24">
        <v>32302</v>
      </c>
      <c r="D354" s="24" t="s">
        <v>595</v>
      </c>
    </row>
    <row r="355" spans="1:4">
      <c r="A355" s="24">
        <v>32303</v>
      </c>
      <c r="B355" s="24" t="s">
        <v>1232</v>
      </c>
      <c r="C355" s="24">
        <v>32303</v>
      </c>
      <c r="D355" s="24" t="s">
        <v>595</v>
      </c>
    </row>
    <row r="356" spans="1:4">
      <c r="A356" s="24">
        <v>32304</v>
      </c>
      <c r="B356" s="24" t="s">
        <v>1232</v>
      </c>
      <c r="C356" s="24">
        <v>32304</v>
      </c>
      <c r="D356" s="24" t="s">
        <v>595</v>
      </c>
    </row>
    <row r="357" spans="1:4">
      <c r="A357" s="24">
        <v>32305</v>
      </c>
      <c r="B357" s="24" t="s">
        <v>1232</v>
      </c>
      <c r="C357" s="24">
        <v>32305</v>
      </c>
      <c r="D357" s="24" t="s">
        <v>595</v>
      </c>
    </row>
    <row r="358" spans="1:4">
      <c r="D358" s="24"/>
    </row>
    <row r="359" spans="1:4">
      <c r="A359" s="23"/>
      <c r="B359" s="27" t="s">
        <v>2349</v>
      </c>
      <c r="C359" s="23"/>
      <c r="D359" s="23"/>
    </row>
    <row r="360" spans="1:4">
      <c r="A360" s="24">
        <v>50101</v>
      </c>
      <c r="B360" s="24" t="s">
        <v>3479</v>
      </c>
      <c r="C360" s="24">
        <v>50101</v>
      </c>
      <c r="D360" s="24"/>
    </row>
    <row r="361" spans="1:4">
      <c r="A361" s="24">
        <v>50102</v>
      </c>
      <c r="B361" s="24" t="s">
        <v>3480</v>
      </c>
      <c r="C361" s="24">
        <v>50102</v>
      </c>
      <c r="D361" s="24"/>
    </row>
    <row r="362" spans="1:4">
      <c r="A362" s="24">
        <v>50103</v>
      </c>
      <c r="B362" s="24" t="s">
        <v>3481</v>
      </c>
      <c r="C362" s="24">
        <v>50103</v>
      </c>
      <c r="D362" s="24"/>
    </row>
    <row r="363" spans="1:4">
      <c r="A363" s="24">
        <v>50104</v>
      </c>
      <c r="B363" s="24" t="s">
        <v>2350</v>
      </c>
      <c r="C363" s="24">
        <v>50104</v>
      </c>
      <c r="D363" s="24"/>
    </row>
    <row r="364" spans="1:4">
      <c r="A364" s="24">
        <v>50105</v>
      </c>
      <c r="B364" s="24" t="s">
        <v>3482</v>
      </c>
      <c r="C364" s="24">
        <v>50105</v>
      </c>
      <c r="D364" s="24"/>
    </row>
    <row r="365" spans="1:4">
      <c r="A365" s="24">
        <v>50106</v>
      </c>
      <c r="B365" s="62" t="s">
        <v>3483</v>
      </c>
      <c r="C365" s="24">
        <v>50106</v>
      </c>
      <c r="D365" s="24"/>
    </row>
    <row r="366" spans="1:4">
      <c r="A366" s="23"/>
      <c r="B366" s="27" t="s">
        <v>2351</v>
      </c>
      <c r="C366" s="23"/>
      <c r="D366" s="23"/>
    </row>
    <row r="367" spans="1:4">
      <c r="A367" s="24">
        <v>50201</v>
      </c>
      <c r="B367" s="24" t="s">
        <v>3536</v>
      </c>
      <c r="C367" s="24">
        <v>50201</v>
      </c>
      <c r="D367" s="24"/>
    </row>
    <row r="368" spans="1:4">
      <c r="A368" s="24">
        <v>50202</v>
      </c>
      <c r="B368" s="24" t="s">
        <v>3537</v>
      </c>
      <c r="C368" s="24">
        <v>50202</v>
      </c>
      <c r="D368" s="24"/>
    </row>
    <row r="369" spans="1:4">
      <c r="A369" s="24">
        <v>50203</v>
      </c>
      <c r="B369" s="24" t="s">
        <v>3538</v>
      </c>
      <c r="C369" s="24">
        <v>50203</v>
      </c>
      <c r="D369" s="24"/>
    </row>
    <row r="370" spans="1:4">
      <c r="A370" s="24">
        <v>50204</v>
      </c>
      <c r="B370" s="24" t="s">
        <v>3539</v>
      </c>
      <c r="C370" s="24">
        <v>50204</v>
      </c>
      <c r="D370" s="24"/>
    </row>
    <row r="371" spans="1:4">
      <c r="A371" s="24">
        <v>50205</v>
      </c>
      <c r="B371" s="24" t="s">
        <v>3540</v>
      </c>
      <c r="C371" s="24">
        <v>50205</v>
      </c>
      <c r="D371" s="24"/>
    </row>
    <row r="372" spans="1:4">
      <c r="A372" s="24">
        <v>50206</v>
      </c>
      <c r="B372" s="24" t="s">
        <v>2352</v>
      </c>
      <c r="C372" s="24">
        <v>50206</v>
      </c>
      <c r="D372" s="24"/>
    </row>
    <row r="373" spans="1:4">
      <c r="A373" s="24">
        <v>50207</v>
      </c>
      <c r="B373" s="24" t="s">
        <v>3541</v>
      </c>
      <c r="C373" s="24">
        <v>50207</v>
      </c>
      <c r="D373" s="24"/>
    </row>
    <row r="374" spans="1:4">
      <c r="A374" s="24">
        <v>50208</v>
      </c>
      <c r="B374" s="24" t="s">
        <v>3537</v>
      </c>
      <c r="C374" s="24">
        <v>50208</v>
      </c>
      <c r="D374" s="24"/>
    </row>
    <row r="375" spans="1:4">
      <c r="A375" s="24">
        <v>50209</v>
      </c>
      <c r="B375" s="24" t="s">
        <v>3540</v>
      </c>
      <c r="C375" s="24">
        <v>50209</v>
      </c>
      <c r="D375" s="24"/>
    </row>
    <row r="376" spans="1:4">
      <c r="A376" s="24">
        <v>50210</v>
      </c>
      <c r="B376" s="24" t="s">
        <v>633</v>
      </c>
      <c r="C376" s="24">
        <v>50210</v>
      </c>
      <c r="D376" s="24"/>
    </row>
    <row r="377" spans="1:4">
      <c r="A377" s="23"/>
      <c r="B377" s="27" t="s">
        <v>2353</v>
      </c>
      <c r="C377" s="23"/>
      <c r="D377" s="23"/>
    </row>
    <row r="378" spans="1:4">
      <c r="A378" s="24">
        <v>50301</v>
      </c>
      <c r="B378" s="62" t="s">
        <v>3542</v>
      </c>
      <c r="C378" s="24">
        <v>50301</v>
      </c>
      <c r="D378" s="24"/>
    </row>
    <row r="379" spans="1:4">
      <c r="A379" s="24">
        <v>50302</v>
      </c>
      <c r="B379" s="24" t="s">
        <v>621</v>
      </c>
      <c r="C379" s="24">
        <v>50302</v>
      </c>
      <c r="D379" s="24"/>
    </row>
    <row r="380" spans="1:4">
      <c r="A380" s="24">
        <v>50303</v>
      </c>
      <c r="B380" s="24" t="s">
        <v>622</v>
      </c>
      <c r="C380" s="24">
        <v>50303</v>
      </c>
      <c r="D380" s="24"/>
    </row>
    <row r="381" spans="1:4">
      <c r="A381" s="24">
        <v>50304</v>
      </c>
      <c r="B381" s="24" t="s">
        <v>25</v>
      </c>
      <c r="C381" s="24">
        <v>50304</v>
      </c>
      <c r="D381" s="24"/>
    </row>
    <row r="382" spans="1:4">
      <c r="A382" s="24">
        <v>50305</v>
      </c>
      <c r="B382" s="24" t="s">
        <v>623</v>
      </c>
      <c r="C382" s="24">
        <v>50305</v>
      </c>
      <c r="D382" s="24"/>
    </row>
    <row r="383" spans="1:4">
      <c r="A383" s="23"/>
      <c r="B383" s="27" t="s">
        <v>3484</v>
      </c>
      <c r="C383" s="23"/>
      <c r="D383" s="23"/>
    </row>
    <row r="384" spans="1:4">
      <c r="A384" s="24">
        <v>50401</v>
      </c>
      <c r="B384" s="24" t="s">
        <v>624</v>
      </c>
      <c r="C384" s="24">
        <v>50401</v>
      </c>
      <c r="D384" s="24"/>
    </row>
    <row r="385" spans="1:4">
      <c r="A385" s="24">
        <v>50402</v>
      </c>
      <c r="B385" s="24" t="s">
        <v>625</v>
      </c>
      <c r="C385" s="24">
        <v>50402</v>
      </c>
      <c r="D385" s="24"/>
    </row>
    <row r="386" spans="1:4">
      <c r="A386" s="24">
        <v>50403</v>
      </c>
      <c r="B386" s="24" t="s">
        <v>626</v>
      </c>
      <c r="C386" s="24">
        <v>50403</v>
      </c>
      <c r="D386" s="24"/>
    </row>
    <row r="387" spans="1:4">
      <c r="A387" s="24">
        <v>50404</v>
      </c>
      <c r="B387" s="24" t="s">
        <v>627</v>
      </c>
      <c r="C387" s="24">
        <v>50404</v>
      </c>
      <c r="D387" s="24"/>
    </row>
    <row r="388" spans="1:4">
      <c r="A388" s="24">
        <v>50405</v>
      </c>
      <c r="B388" s="24" t="s">
        <v>628</v>
      </c>
      <c r="C388" s="24">
        <v>50405</v>
      </c>
      <c r="D388" s="24"/>
    </row>
    <row r="389" spans="1:4">
      <c r="A389" s="24">
        <v>50406</v>
      </c>
      <c r="B389" s="24" t="s">
        <v>629</v>
      </c>
      <c r="C389" s="24">
        <v>50406</v>
      </c>
      <c r="D389" s="24"/>
    </row>
    <row r="390" spans="1:4">
      <c r="A390" s="24">
        <v>50407</v>
      </c>
      <c r="B390" s="24" t="s">
        <v>3485</v>
      </c>
      <c r="C390" s="24">
        <v>50407</v>
      </c>
      <c r="D390" s="24"/>
    </row>
    <row r="391" spans="1:4">
      <c r="A391" s="24">
        <v>50408</v>
      </c>
      <c r="B391" s="24" t="s">
        <v>2354</v>
      </c>
      <c r="C391" s="24">
        <v>50408</v>
      </c>
      <c r="D391" s="24"/>
    </row>
    <row r="392" spans="1:4">
      <c r="D392" s="24"/>
    </row>
    <row r="393" spans="1:4">
      <c r="A393" s="23"/>
      <c r="B393" s="27" t="s">
        <v>3486</v>
      </c>
      <c r="C393" s="23"/>
      <c r="D393" s="23"/>
    </row>
    <row r="394" spans="1:4">
      <c r="A394" s="24">
        <v>60101</v>
      </c>
      <c r="B394" s="24" t="s">
        <v>620</v>
      </c>
      <c r="C394" s="24">
        <v>60101</v>
      </c>
      <c r="D394" s="59" t="s">
        <v>595</v>
      </c>
    </row>
    <row r="395" spans="1:4">
      <c r="A395" s="24">
        <v>60102</v>
      </c>
      <c r="B395" s="24" t="s">
        <v>620</v>
      </c>
      <c r="C395" s="24">
        <v>60102</v>
      </c>
      <c r="D395" s="59" t="s">
        <v>595</v>
      </c>
    </row>
    <row r="396" spans="1:4">
      <c r="A396" s="24">
        <v>60103</v>
      </c>
      <c r="B396" s="24" t="s">
        <v>620</v>
      </c>
      <c r="C396" s="24">
        <v>60103</v>
      </c>
      <c r="D396" s="59" t="s">
        <v>595</v>
      </c>
    </row>
    <row r="397" spans="1:4">
      <c r="A397" s="24">
        <v>60104</v>
      </c>
      <c r="B397" s="24" t="s">
        <v>620</v>
      </c>
      <c r="C397" s="24">
        <v>60104</v>
      </c>
      <c r="D397" s="59" t="s">
        <v>595</v>
      </c>
    </row>
    <row r="398" spans="1:4">
      <c r="A398" s="24">
        <v>60105</v>
      </c>
      <c r="B398" s="24" t="s">
        <v>620</v>
      </c>
      <c r="C398" s="24">
        <v>60105</v>
      </c>
      <c r="D398" s="59" t="s">
        <v>595</v>
      </c>
    </row>
    <row r="399" spans="1:4">
      <c r="A399" s="25"/>
      <c r="B399" s="25" t="s">
        <v>76</v>
      </c>
      <c r="C399" s="25"/>
      <c r="D399" s="25" t="s">
        <v>596</v>
      </c>
    </row>
    <row r="400" spans="1:4">
      <c r="A400" s="25"/>
      <c r="B400" s="25" t="s">
        <v>77</v>
      </c>
      <c r="C400" s="25"/>
      <c r="D400" s="25" t="s">
        <v>594</v>
      </c>
    </row>
    <row r="401" spans="1:4">
      <c r="A401" s="25"/>
      <c r="B401" s="25" t="s">
        <v>78</v>
      </c>
      <c r="C401" s="25"/>
      <c r="D401" s="25" t="s">
        <v>595</v>
      </c>
    </row>
    <row r="402" spans="1:4">
      <c r="A402" s="25"/>
      <c r="B402" s="25" t="s">
        <v>79</v>
      </c>
      <c r="C402" s="25"/>
      <c r="D402" s="25" t="s">
        <v>592</v>
      </c>
    </row>
    <row r="403" spans="1:4">
      <c r="A403" s="25"/>
      <c r="B403" s="25" t="s">
        <v>80</v>
      </c>
      <c r="C403" s="25"/>
      <c r="D403" s="25" t="s">
        <v>594</v>
      </c>
    </row>
    <row r="404" spans="1:4">
      <c r="A404" s="25"/>
      <c r="B404" s="25" t="s">
        <v>81</v>
      </c>
      <c r="C404" s="25"/>
      <c r="D404" s="25" t="s">
        <v>592</v>
      </c>
    </row>
    <row r="405" spans="1:4">
      <c r="A405" s="25"/>
      <c r="B405" s="25" t="s">
        <v>82</v>
      </c>
      <c r="C405" s="25"/>
      <c r="D405" s="25" t="s">
        <v>593</v>
      </c>
    </row>
    <row r="406" spans="1:4">
      <c r="A406" s="25"/>
      <c r="B406" s="25" t="s">
        <v>83</v>
      </c>
      <c r="C406" s="25"/>
      <c r="D406" s="25" t="s">
        <v>596</v>
      </c>
    </row>
    <row r="407" spans="1:4">
      <c r="A407" s="25"/>
      <c r="B407" s="25" t="s">
        <v>84</v>
      </c>
      <c r="C407" s="25"/>
      <c r="D407" s="25" t="s">
        <v>593</v>
      </c>
    </row>
    <row r="410" spans="1:4">
      <c r="A410" s="23"/>
      <c r="B410" s="27" t="s">
        <v>3487</v>
      </c>
      <c r="C410" s="23"/>
      <c r="D410" s="23"/>
    </row>
    <row r="411" spans="1:4">
      <c r="A411" s="24">
        <v>110101</v>
      </c>
      <c r="B411" s="24" t="s">
        <v>85</v>
      </c>
      <c r="C411" s="24">
        <v>110101</v>
      </c>
      <c r="D411" s="24" t="s">
        <v>596</v>
      </c>
    </row>
    <row r="412" spans="1:4">
      <c r="A412" s="24">
        <v>110102</v>
      </c>
      <c r="B412" s="24" t="s">
        <v>85</v>
      </c>
      <c r="C412" s="24">
        <v>110102</v>
      </c>
      <c r="D412" s="24" t="s">
        <v>596</v>
      </c>
    </row>
    <row r="413" spans="1:4">
      <c r="A413" s="24">
        <v>110103</v>
      </c>
      <c r="B413" s="24" t="s">
        <v>85</v>
      </c>
      <c r="C413" s="24">
        <v>110103</v>
      </c>
      <c r="D413" s="24" t="s">
        <v>596</v>
      </c>
    </row>
    <row r="414" spans="1:4">
      <c r="A414" s="24">
        <v>110104</v>
      </c>
      <c r="B414" s="24" t="s">
        <v>85</v>
      </c>
      <c r="C414" s="24">
        <v>110104</v>
      </c>
      <c r="D414" s="24" t="s">
        <v>596</v>
      </c>
    </row>
    <row r="415" spans="1:4">
      <c r="A415" s="24">
        <v>110105</v>
      </c>
      <c r="B415" s="24" t="s">
        <v>85</v>
      </c>
      <c r="C415" s="24">
        <v>110105</v>
      </c>
      <c r="D415" s="24" t="s">
        <v>596</v>
      </c>
    </row>
    <row r="416" spans="1:4">
      <c r="A416" s="24">
        <v>110201</v>
      </c>
      <c r="B416" s="24" t="s">
        <v>3543</v>
      </c>
      <c r="C416" s="24">
        <v>110201</v>
      </c>
      <c r="D416" s="24" t="s">
        <v>594</v>
      </c>
    </row>
    <row r="417" spans="1:4">
      <c r="A417" s="24">
        <v>110202</v>
      </c>
      <c r="B417" s="24" t="s">
        <v>86</v>
      </c>
      <c r="C417" s="24">
        <v>110202</v>
      </c>
      <c r="D417" s="24" t="s">
        <v>594</v>
      </c>
    </row>
    <row r="418" spans="1:4">
      <c r="A418" s="24">
        <v>110203</v>
      </c>
      <c r="B418" s="24" t="s">
        <v>86</v>
      </c>
      <c r="C418" s="24">
        <v>110203</v>
      </c>
      <c r="D418" s="24" t="s">
        <v>594</v>
      </c>
    </row>
    <row r="419" spans="1:4">
      <c r="A419" s="24">
        <v>110204</v>
      </c>
      <c r="B419" s="24" t="s">
        <v>86</v>
      </c>
      <c r="C419" s="24">
        <v>110204</v>
      </c>
      <c r="D419" s="24" t="s">
        <v>594</v>
      </c>
    </row>
    <row r="420" spans="1:4">
      <c r="A420" s="24">
        <v>110205</v>
      </c>
      <c r="B420" s="24" t="s">
        <v>86</v>
      </c>
      <c r="C420" s="24">
        <v>110205</v>
      </c>
      <c r="D420" s="24" t="s">
        <v>594</v>
      </c>
    </row>
    <row r="421" spans="1:4">
      <c r="A421" s="24">
        <v>110301</v>
      </c>
      <c r="B421" s="24" t="s">
        <v>2355</v>
      </c>
      <c r="C421" s="24">
        <v>110301</v>
      </c>
      <c r="D421" s="24" t="s">
        <v>595</v>
      </c>
    </row>
    <row r="422" spans="1:4">
      <c r="A422" s="24">
        <v>110302</v>
      </c>
      <c r="B422" s="24" t="s">
        <v>87</v>
      </c>
      <c r="C422" s="24">
        <v>110302</v>
      </c>
      <c r="D422" s="24" t="s">
        <v>595</v>
      </c>
    </row>
    <row r="423" spans="1:4">
      <c r="A423" s="24">
        <v>110303</v>
      </c>
      <c r="B423" s="24" t="s">
        <v>87</v>
      </c>
      <c r="C423" s="24">
        <v>110303</v>
      </c>
      <c r="D423" s="24" t="s">
        <v>595</v>
      </c>
    </row>
    <row r="424" spans="1:4">
      <c r="A424" s="24">
        <v>110304</v>
      </c>
      <c r="B424" s="24" t="s">
        <v>87</v>
      </c>
      <c r="C424" s="24">
        <v>110304</v>
      </c>
      <c r="D424" s="24" t="s">
        <v>595</v>
      </c>
    </row>
    <row r="425" spans="1:4">
      <c r="A425" s="24">
        <v>110305</v>
      </c>
      <c r="B425" s="24" t="s">
        <v>87</v>
      </c>
      <c r="C425" s="24">
        <v>110305</v>
      </c>
      <c r="D425" s="24" t="s">
        <v>595</v>
      </c>
    </row>
    <row r="426" spans="1:4">
      <c r="A426" s="24">
        <v>110401</v>
      </c>
      <c r="B426" s="24" t="s">
        <v>2356</v>
      </c>
      <c r="C426" s="24">
        <v>110401</v>
      </c>
      <c r="D426" s="24" t="s">
        <v>592</v>
      </c>
    </row>
    <row r="427" spans="1:4">
      <c r="A427" s="24">
        <v>110402</v>
      </c>
      <c r="B427" s="24" t="s">
        <v>88</v>
      </c>
      <c r="C427" s="24">
        <v>110402</v>
      </c>
      <c r="D427" s="24" t="s">
        <v>592</v>
      </c>
    </row>
    <row r="428" spans="1:4">
      <c r="A428" s="24">
        <v>110403</v>
      </c>
      <c r="B428" s="24" t="s">
        <v>88</v>
      </c>
      <c r="C428" s="24">
        <v>110403</v>
      </c>
      <c r="D428" s="24" t="s">
        <v>592</v>
      </c>
    </row>
    <row r="429" spans="1:4">
      <c r="A429" s="24">
        <v>110404</v>
      </c>
      <c r="B429" s="24" t="s">
        <v>88</v>
      </c>
      <c r="C429" s="24">
        <v>110404</v>
      </c>
      <c r="D429" s="24" t="s">
        <v>592</v>
      </c>
    </row>
    <row r="430" spans="1:4">
      <c r="A430" s="24">
        <v>110405</v>
      </c>
      <c r="B430" s="24" t="s">
        <v>88</v>
      </c>
      <c r="C430" s="24">
        <v>110405</v>
      </c>
      <c r="D430" s="24" t="s">
        <v>592</v>
      </c>
    </row>
    <row r="431" spans="1:4">
      <c r="A431" s="24">
        <v>110501</v>
      </c>
      <c r="B431" s="24" t="s">
        <v>3544</v>
      </c>
      <c r="C431" s="24">
        <v>110501</v>
      </c>
      <c r="D431" s="24" t="s">
        <v>594</v>
      </c>
    </row>
    <row r="432" spans="1:4">
      <c r="A432" s="24">
        <v>110502</v>
      </c>
      <c r="B432" s="24" t="s">
        <v>89</v>
      </c>
      <c r="C432" s="24">
        <v>110502</v>
      </c>
      <c r="D432" s="24" t="s">
        <v>594</v>
      </c>
    </row>
    <row r="433" spans="1:4">
      <c r="A433" s="24">
        <v>110503</v>
      </c>
      <c r="B433" s="24" t="s">
        <v>89</v>
      </c>
      <c r="C433" s="24">
        <v>110503</v>
      </c>
      <c r="D433" s="24" t="s">
        <v>594</v>
      </c>
    </row>
    <row r="434" spans="1:4">
      <c r="A434" s="24">
        <v>110504</v>
      </c>
      <c r="B434" s="24" t="s">
        <v>89</v>
      </c>
      <c r="C434" s="24">
        <v>110504</v>
      </c>
      <c r="D434" s="24" t="s">
        <v>594</v>
      </c>
    </row>
    <row r="435" spans="1:4">
      <c r="A435" s="24">
        <v>110505</v>
      </c>
      <c r="B435" s="24" t="s">
        <v>89</v>
      </c>
      <c r="C435" s="24">
        <v>110505</v>
      </c>
      <c r="D435" s="24" t="s">
        <v>594</v>
      </c>
    </row>
    <row r="436" spans="1:4">
      <c r="A436" s="24">
        <v>110601</v>
      </c>
      <c r="B436" s="24" t="s">
        <v>90</v>
      </c>
      <c r="C436" s="24">
        <v>110601</v>
      </c>
      <c r="D436" s="24" t="s">
        <v>592</v>
      </c>
    </row>
    <row r="437" spans="1:4">
      <c r="A437" s="24">
        <v>110602</v>
      </c>
      <c r="B437" s="24" t="s">
        <v>90</v>
      </c>
      <c r="C437" s="24">
        <v>110602</v>
      </c>
      <c r="D437" s="24" t="s">
        <v>592</v>
      </c>
    </row>
    <row r="438" spans="1:4">
      <c r="A438" s="24">
        <v>110603</v>
      </c>
      <c r="B438" s="24" t="s">
        <v>90</v>
      </c>
      <c r="C438" s="24">
        <v>110603</v>
      </c>
      <c r="D438" s="24" t="s">
        <v>592</v>
      </c>
    </row>
    <row r="439" spans="1:4">
      <c r="A439" s="24">
        <v>110604</v>
      </c>
      <c r="B439" s="24" t="s">
        <v>90</v>
      </c>
      <c r="C439" s="24">
        <v>110604</v>
      </c>
      <c r="D439" s="24" t="s">
        <v>592</v>
      </c>
    </row>
    <row r="440" spans="1:4">
      <c r="A440" s="24">
        <v>110605</v>
      </c>
      <c r="B440" s="24" t="s">
        <v>90</v>
      </c>
      <c r="C440" s="24">
        <v>110605</v>
      </c>
      <c r="D440" s="24" t="s">
        <v>592</v>
      </c>
    </row>
    <row r="441" spans="1:4">
      <c r="A441" s="24">
        <v>110701</v>
      </c>
      <c r="B441" s="24" t="s">
        <v>91</v>
      </c>
      <c r="C441" s="24">
        <v>110701</v>
      </c>
      <c r="D441" s="24" t="s">
        <v>593</v>
      </c>
    </row>
    <row r="442" spans="1:4">
      <c r="A442" s="24">
        <v>110702</v>
      </c>
      <c r="B442" s="24" t="s">
        <v>91</v>
      </c>
      <c r="C442" s="24">
        <v>110702</v>
      </c>
      <c r="D442" s="24" t="s">
        <v>593</v>
      </c>
    </row>
    <row r="443" spans="1:4">
      <c r="A443" s="24">
        <v>110703</v>
      </c>
      <c r="B443" s="24" t="s">
        <v>91</v>
      </c>
      <c r="C443" s="24">
        <v>110703</v>
      </c>
      <c r="D443" s="24" t="s">
        <v>593</v>
      </c>
    </row>
    <row r="444" spans="1:4">
      <c r="A444" s="24">
        <v>110704</v>
      </c>
      <c r="B444" s="24" t="s">
        <v>91</v>
      </c>
      <c r="C444" s="24">
        <v>110704</v>
      </c>
      <c r="D444" s="24" t="s">
        <v>593</v>
      </c>
    </row>
    <row r="445" spans="1:4">
      <c r="A445" s="24">
        <v>110705</v>
      </c>
      <c r="B445" s="24" t="s">
        <v>91</v>
      </c>
      <c r="C445" s="24">
        <v>110705</v>
      </c>
      <c r="D445" s="24" t="s">
        <v>593</v>
      </c>
    </row>
    <row r="446" spans="1:4">
      <c r="A446" s="24">
        <v>110801</v>
      </c>
      <c r="B446" s="24" t="s">
        <v>92</v>
      </c>
      <c r="C446" s="24">
        <v>110801</v>
      </c>
      <c r="D446" s="24" t="s">
        <v>596</v>
      </c>
    </row>
    <row r="447" spans="1:4">
      <c r="A447" s="24">
        <v>110802</v>
      </c>
      <c r="B447" s="24" t="s">
        <v>92</v>
      </c>
      <c r="C447" s="24">
        <v>110802</v>
      </c>
      <c r="D447" s="24" t="s">
        <v>596</v>
      </c>
    </row>
    <row r="448" spans="1:4">
      <c r="A448" s="24">
        <v>110803</v>
      </c>
      <c r="B448" s="24" t="s">
        <v>92</v>
      </c>
      <c r="C448" s="24">
        <v>110803</v>
      </c>
      <c r="D448" s="24" t="s">
        <v>596</v>
      </c>
    </row>
    <row r="449" spans="1:4">
      <c r="A449" s="24">
        <v>110804</v>
      </c>
      <c r="B449" s="24" t="s">
        <v>92</v>
      </c>
      <c r="C449" s="24">
        <v>110804</v>
      </c>
      <c r="D449" s="24" t="s">
        <v>596</v>
      </c>
    </row>
    <row r="450" spans="1:4">
      <c r="A450" s="24">
        <v>110805</v>
      </c>
      <c r="B450" s="24" t="s">
        <v>92</v>
      </c>
      <c r="C450" s="24">
        <v>110805</v>
      </c>
      <c r="D450" s="24" t="s">
        <v>596</v>
      </c>
    </row>
    <row r="451" spans="1:4">
      <c r="A451" s="24">
        <v>110901</v>
      </c>
      <c r="B451" s="24" t="s">
        <v>93</v>
      </c>
      <c r="C451" s="24">
        <v>110901</v>
      </c>
      <c r="D451" s="24" t="s">
        <v>593</v>
      </c>
    </row>
    <row r="452" spans="1:4">
      <c r="A452" s="24">
        <v>110902</v>
      </c>
      <c r="B452" s="24" t="s">
        <v>93</v>
      </c>
      <c r="C452" s="24">
        <v>110902</v>
      </c>
      <c r="D452" s="24" t="s">
        <v>593</v>
      </c>
    </row>
    <row r="453" spans="1:4">
      <c r="A453" s="24">
        <v>110903</v>
      </c>
      <c r="B453" s="24" t="s">
        <v>93</v>
      </c>
      <c r="C453" s="24">
        <v>110903</v>
      </c>
      <c r="D453" s="24" t="s">
        <v>593</v>
      </c>
    </row>
    <row r="454" spans="1:4">
      <c r="A454" s="24">
        <v>110904</v>
      </c>
      <c r="B454" s="24" t="s">
        <v>93</v>
      </c>
      <c r="C454" s="24">
        <v>110904</v>
      </c>
      <c r="D454" s="24" t="s">
        <v>593</v>
      </c>
    </row>
    <row r="455" spans="1:4">
      <c r="A455" s="24">
        <v>110905</v>
      </c>
      <c r="B455" s="24" t="s">
        <v>93</v>
      </c>
      <c r="C455" s="24">
        <v>110905</v>
      </c>
      <c r="D455" s="24" t="s">
        <v>593</v>
      </c>
    </row>
    <row r="456" spans="1:4">
      <c r="A456" s="24">
        <v>111001</v>
      </c>
      <c r="B456" s="24" t="s">
        <v>94</v>
      </c>
      <c r="C456" s="24">
        <v>111001</v>
      </c>
      <c r="D456" s="24" t="s">
        <v>596</v>
      </c>
    </row>
    <row r="457" spans="1:4">
      <c r="A457" s="24">
        <v>111002</v>
      </c>
      <c r="B457" s="24" t="s">
        <v>94</v>
      </c>
      <c r="C457" s="24">
        <v>111002</v>
      </c>
      <c r="D457" s="24" t="s">
        <v>596</v>
      </c>
    </row>
    <row r="458" spans="1:4">
      <c r="A458" s="24">
        <v>111003</v>
      </c>
      <c r="B458" s="24" t="s">
        <v>94</v>
      </c>
      <c r="C458" s="24">
        <v>111003</v>
      </c>
      <c r="D458" s="24" t="s">
        <v>596</v>
      </c>
    </row>
    <row r="459" spans="1:4">
      <c r="A459" s="24">
        <v>111004</v>
      </c>
      <c r="B459" s="24" t="s">
        <v>94</v>
      </c>
      <c r="C459" s="24">
        <v>111004</v>
      </c>
      <c r="D459" s="24" t="s">
        <v>596</v>
      </c>
    </row>
    <row r="460" spans="1:4">
      <c r="A460" s="24">
        <v>111005</v>
      </c>
      <c r="B460" s="24" t="s">
        <v>94</v>
      </c>
      <c r="C460" s="24">
        <v>111005</v>
      </c>
      <c r="D460" s="24" t="s">
        <v>596</v>
      </c>
    </row>
    <row r="461" spans="1:4">
      <c r="A461" s="24">
        <v>111101</v>
      </c>
      <c r="B461" s="24" t="s">
        <v>95</v>
      </c>
      <c r="C461" s="24">
        <v>111101</v>
      </c>
      <c r="D461" s="24" t="s">
        <v>594</v>
      </c>
    </row>
    <row r="462" spans="1:4">
      <c r="A462" s="24">
        <v>111102</v>
      </c>
      <c r="B462" s="24" t="s">
        <v>95</v>
      </c>
      <c r="C462" s="24">
        <v>111102</v>
      </c>
      <c r="D462" s="24" t="s">
        <v>594</v>
      </c>
    </row>
    <row r="463" spans="1:4">
      <c r="A463" s="24">
        <v>111103</v>
      </c>
      <c r="B463" s="24" t="s">
        <v>95</v>
      </c>
      <c r="C463" s="24">
        <v>111103</v>
      </c>
      <c r="D463" s="24" t="s">
        <v>594</v>
      </c>
    </row>
    <row r="464" spans="1:4">
      <c r="A464" s="24">
        <v>111104</v>
      </c>
      <c r="B464" s="24" t="s">
        <v>95</v>
      </c>
      <c r="C464" s="24">
        <v>111104</v>
      </c>
      <c r="D464" s="24" t="s">
        <v>594</v>
      </c>
    </row>
    <row r="465" spans="1:4">
      <c r="A465" s="24">
        <v>111105</v>
      </c>
      <c r="B465" s="24" t="s">
        <v>95</v>
      </c>
      <c r="C465" s="24">
        <v>111105</v>
      </c>
      <c r="D465" s="24" t="s">
        <v>594</v>
      </c>
    </row>
    <row r="466" spans="1:4">
      <c r="A466" s="24">
        <v>111201</v>
      </c>
      <c r="B466" s="24" t="s">
        <v>96</v>
      </c>
      <c r="C466" s="24">
        <v>111201</v>
      </c>
      <c r="D466" s="24" t="s">
        <v>595</v>
      </c>
    </row>
    <row r="467" spans="1:4">
      <c r="A467" s="24">
        <v>111202</v>
      </c>
      <c r="B467" s="24" t="s">
        <v>96</v>
      </c>
      <c r="C467" s="24">
        <v>111202</v>
      </c>
      <c r="D467" s="24" t="s">
        <v>595</v>
      </c>
    </row>
    <row r="468" spans="1:4">
      <c r="A468" s="24">
        <v>111203</v>
      </c>
      <c r="B468" s="24" t="s">
        <v>96</v>
      </c>
      <c r="C468" s="24">
        <v>111203</v>
      </c>
      <c r="D468" s="24" t="s">
        <v>595</v>
      </c>
    </row>
    <row r="469" spans="1:4">
      <c r="A469" s="24">
        <v>111204</v>
      </c>
      <c r="B469" s="24" t="s">
        <v>96</v>
      </c>
      <c r="C469" s="24">
        <v>111204</v>
      </c>
      <c r="D469" s="24" t="s">
        <v>595</v>
      </c>
    </row>
    <row r="470" spans="1:4">
      <c r="A470" s="24">
        <v>111205</v>
      </c>
      <c r="B470" s="24" t="s">
        <v>96</v>
      </c>
      <c r="C470" s="24">
        <v>111205</v>
      </c>
      <c r="D470" s="24" t="s">
        <v>595</v>
      </c>
    </row>
    <row r="471" spans="1:4">
      <c r="A471" s="24">
        <v>111301</v>
      </c>
      <c r="B471" s="24" t="s">
        <v>97</v>
      </c>
      <c r="C471" s="24">
        <v>111301</v>
      </c>
      <c r="D471" s="24" t="s">
        <v>592</v>
      </c>
    </row>
    <row r="472" spans="1:4">
      <c r="A472" s="24">
        <v>111302</v>
      </c>
      <c r="B472" s="24" t="s">
        <v>97</v>
      </c>
      <c r="C472" s="24">
        <v>111302</v>
      </c>
      <c r="D472" s="24" t="s">
        <v>592</v>
      </c>
    </row>
    <row r="473" spans="1:4">
      <c r="A473" s="24">
        <v>111303</v>
      </c>
      <c r="B473" s="24" t="s">
        <v>97</v>
      </c>
      <c r="C473" s="24">
        <v>111303</v>
      </c>
      <c r="D473" s="24" t="s">
        <v>592</v>
      </c>
    </row>
    <row r="474" spans="1:4">
      <c r="A474" s="24">
        <v>111304</v>
      </c>
      <c r="B474" s="24" t="s">
        <v>97</v>
      </c>
      <c r="C474" s="24">
        <v>111304</v>
      </c>
      <c r="D474" s="24" t="s">
        <v>592</v>
      </c>
    </row>
    <row r="475" spans="1:4">
      <c r="A475" s="24">
        <v>111305</v>
      </c>
      <c r="B475" s="24" t="s">
        <v>97</v>
      </c>
      <c r="C475" s="24">
        <v>111305</v>
      </c>
      <c r="D475" s="24" t="s">
        <v>592</v>
      </c>
    </row>
    <row r="476" spans="1:4">
      <c r="A476" s="24">
        <v>111401</v>
      </c>
      <c r="B476" s="24" t="s">
        <v>98</v>
      </c>
      <c r="C476" s="24">
        <v>111401</v>
      </c>
      <c r="D476" s="24" t="s">
        <v>594</v>
      </c>
    </row>
    <row r="477" spans="1:4">
      <c r="A477" s="24">
        <v>111402</v>
      </c>
      <c r="B477" s="24" t="s">
        <v>98</v>
      </c>
      <c r="C477" s="24">
        <v>111402</v>
      </c>
      <c r="D477" s="24" t="s">
        <v>594</v>
      </c>
    </row>
    <row r="478" spans="1:4">
      <c r="A478" s="24">
        <v>111403</v>
      </c>
      <c r="B478" s="24" t="s">
        <v>98</v>
      </c>
      <c r="C478" s="24">
        <v>111403</v>
      </c>
      <c r="D478" s="24" t="s">
        <v>594</v>
      </c>
    </row>
    <row r="479" spans="1:4">
      <c r="A479" s="24">
        <v>111404</v>
      </c>
      <c r="B479" s="24" t="s">
        <v>98</v>
      </c>
      <c r="C479" s="24">
        <v>111404</v>
      </c>
      <c r="D479" s="24" t="s">
        <v>594</v>
      </c>
    </row>
    <row r="480" spans="1:4">
      <c r="A480" s="24">
        <v>111405</v>
      </c>
      <c r="B480" s="24" t="s">
        <v>98</v>
      </c>
      <c r="C480" s="24">
        <v>111405</v>
      </c>
      <c r="D480" s="24" t="s">
        <v>594</v>
      </c>
    </row>
    <row r="481" spans="1:4">
      <c r="A481" s="24">
        <v>111501</v>
      </c>
      <c r="B481" s="24" t="s">
        <v>99</v>
      </c>
      <c r="C481" s="24">
        <v>111501</v>
      </c>
      <c r="D481" s="24" t="s">
        <v>592</v>
      </c>
    </row>
    <row r="482" spans="1:4">
      <c r="A482" s="24">
        <v>111502</v>
      </c>
      <c r="B482" s="24" t="s">
        <v>99</v>
      </c>
      <c r="C482" s="24">
        <v>111502</v>
      </c>
      <c r="D482" s="24" t="s">
        <v>592</v>
      </c>
    </row>
    <row r="483" spans="1:4">
      <c r="A483" s="24">
        <v>111503</v>
      </c>
      <c r="B483" s="24" t="s">
        <v>99</v>
      </c>
      <c r="C483" s="24">
        <v>111503</v>
      </c>
      <c r="D483" s="24" t="s">
        <v>592</v>
      </c>
    </row>
    <row r="484" spans="1:4">
      <c r="A484" s="24">
        <v>111504</v>
      </c>
      <c r="B484" s="24" t="s">
        <v>99</v>
      </c>
      <c r="C484" s="24">
        <v>111504</v>
      </c>
      <c r="D484" s="24" t="s">
        <v>592</v>
      </c>
    </row>
    <row r="485" spans="1:4">
      <c r="A485" s="24">
        <v>111505</v>
      </c>
      <c r="B485" s="24" t="s">
        <v>99</v>
      </c>
      <c r="C485" s="24">
        <v>111505</v>
      </c>
      <c r="D485" s="24" t="s">
        <v>592</v>
      </c>
    </row>
    <row r="486" spans="1:4">
      <c r="A486" s="24">
        <v>111601</v>
      </c>
      <c r="B486" s="24" t="s">
        <v>100</v>
      </c>
      <c r="C486" s="24">
        <v>111601</v>
      </c>
      <c r="D486" s="24" t="s">
        <v>593</v>
      </c>
    </row>
    <row r="487" spans="1:4">
      <c r="A487" s="24">
        <v>111602</v>
      </c>
      <c r="B487" s="24" t="s">
        <v>100</v>
      </c>
      <c r="C487" s="24">
        <v>111602</v>
      </c>
      <c r="D487" s="24" t="s">
        <v>593</v>
      </c>
    </row>
    <row r="488" spans="1:4">
      <c r="A488" s="24">
        <v>111603</v>
      </c>
      <c r="B488" s="24" t="s">
        <v>100</v>
      </c>
      <c r="C488" s="24">
        <v>111603</v>
      </c>
      <c r="D488" s="24" t="s">
        <v>593</v>
      </c>
    </row>
    <row r="489" spans="1:4">
      <c r="A489" s="24">
        <v>111604</v>
      </c>
      <c r="B489" s="24" t="s">
        <v>100</v>
      </c>
      <c r="C489" s="24">
        <v>111604</v>
      </c>
      <c r="D489" s="24" t="s">
        <v>593</v>
      </c>
    </row>
    <row r="490" spans="1:4">
      <c r="A490" s="24">
        <v>111605</v>
      </c>
      <c r="B490" s="24" t="s">
        <v>100</v>
      </c>
      <c r="C490" s="24">
        <v>111605</v>
      </c>
      <c r="D490" s="24" t="s">
        <v>593</v>
      </c>
    </row>
    <row r="491" spans="1:4">
      <c r="A491" s="24">
        <v>111701</v>
      </c>
      <c r="B491" s="24" t="s">
        <v>101</v>
      </c>
      <c r="C491" s="24">
        <v>111701</v>
      </c>
      <c r="D491" s="24" t="s">
        <v>596</v>
      </c>
    </row>
    <row r="492" spans="1:4">
      <c r="A492" s="24">
        <v>111702</v>
      </c>
      <c r="B492" s="24" t="s">
        <v>101</v>
      </c>
      <c r="C492" s="24">
        <v>111702</v>
      </c>
      <c r="D492" s="24" t="s">
        <v>596</v>
      </c>
    </row>
    <row r="493" spans="1:4">
      <c r="A493" s="24">
        <v>111703</v>
      </c>
      <c r="B493" s="24" t="s">
        <v>101</v>
      </c>
      <c r="C493" s="24">
        <v>111703</v>
      </c>
      <c r="D493" s="24" t="s">
        <v>596</v>
      </c>
    </row>
    <row r="494" spans="1:4">
      <c r="A494" s="24">
        <v>111704</v>
      </c>
      <c r="B494" s="24" t="s">
        <v>101</v>
      </c>
      <c r="C494" s="24">
        <v>111704</v>
      </c>
      <c r="D494" s="24" t="s">
        <v>596</v>
      </c>
    </row>
    <row r="495" spans="1:4">
      <c r="A495" s="24">
        <v>111705</v>
      </c>
      <c r="B495" s="24" t="s">
        <v>101</v>
      </c>
      <c r="C495" s="24">
        <v>111705</v>
      </c>
      <c r="D495" s="24" t="s">
        <v>596</v>
      </c>
    </row>
    <row r="496" spans="1:4">
      <c r="A496" s="24">
        <v>111801</v>
      </c>
      <c r="B496" s="24" t="s">
        <v>102</v>
      </c>
      <c r="C496" s="24">
        <v>111801</v>
      </c>
      <c r="D496" s="24" t="s">
        <v>593</v>
      </c>
    </row>
    <row r="497" spans="1:4">
      <c r="A497" s="24">
        <v>111802</v>
      </c>
      <c r="B497" s="24" t="s">
        <v>102</v>
      </c>
      <c r="C497" s="24">
        <v>111802</v>
      </c>
      <c r="D497" s="24" t="s">
        <v>593</v>
      </c>
    </row>
    <row r="498" spans="1:4">
      <c r="A498" s="24">
        <v>111803</v>
      </c>
      <c r="B498" s="24" t="s">
        <v>102</v>
      </c>
      <c r="C498" s="24">
        <v>111803</v>
      </c>
      <c r="D498" s="24" t="s">
        <v>593</v>
      </c>
    </row>
    <row r="499" spans="1:4">
      <c r="A499" s="24">
        <v>111804</v>
      </c>
      <c r="B499" s="24" t="s">
        <v>102</v>
      </c>
      <c r="C499" s="24">
        <v>111804</v>
      </c>
      <c r="D499" s="24" t="s">
        <v>593</v>
      </c>
    </row>
    <row r="500" spans="1:4">
      <c r="A500" s="24">
        <v>111805</v>
      </c>
      <c r="B500" s="24" t="s">
        <v>102</v>
      </c>
      <c r="C500" s="24">
        <v>111805</v>
      </c>
      <c r="D500" s="24" t="s">
        <v>593</v>
      </c>
    </row>
    <row r="501" spans="1:4">
      <c r="A501" s="24">
        <v>111901</v>
      </c>
      <c r="B501" s="24" t="s">
        <v>103</v>
      </c>
      <c r="C501" s="24">
        <v>111901</v>
      </c>
      <c r="D501" s="24" t="s">
        <v>596</v>
      </c>
    </row>
    <row r="502" spans="1:4">
      <c r="A502" s="24">
        <v>111902</v>
      </c>
      <c r="B502" s="24" t="s">
        <v>103</v>
      </c>
      <c r="C502" s="24">
        <v>111902</v>
      </c>
      <c r="D502" s="24" t="s">
        <v>596</v>
      </c>
    </row>
    <row r="503" spans="1:4">
      <c r="A503" s="24">
        <v>111903</v>
      </c>
      <c r="B503" s="24" t="s">
        <v>103</v>
      </c>
      <c r="C503" s="24">
        <v>111903</v>
      </c>
      <c r="D503" s="24" t="s">
        <v>596</v>
      </c>
    </row>
    <row r="504" spans="1:4">
      <c r="A504" s="24">
        <v>111904</v>
      </c>
      <c r="B504" s="24" t="s">
        <v>103</v>
      </c>
      <c r="C504" s="24">
        <v>111904</v>
      </c>
      <c r="D504" s="24" t="s">
        <v>596</v>
      </c>
    </row>
    <row r="505" spans="1:4">
      <c r="A505" s="24">
        <v>111905</v>
      </c>
      <c r="B505" s="24" t="s">
        <v>103</v>
      </c>
      <c r="C505" s="24">
        <v>111905</v>
      </c>
      <c r="D505" s="24" t="s">
        <v>596</v>
      </c>
    </row>
    <row r="506" spans="1:4">
      <c r="A506" s="24">
        <v>112001</v>
      </c>
      <c r="B506" s="24" t="s">
        <v>104</v>
      </c>
      <c r="C506" s="24">
        <v>112001</v>
      </c>
      <c r="D506" s="24" t="s">
        <v>594</v>
      </c>
    </row>
    <row r="507" spans="1:4">
      <c r="A507" s="24">
        <v>112002</v>
      </c>
      <c r="B507" s="24" t="s">
        <v>104</v>
      </c>
      <c r="C507" s="24">
        <v>112002</v>
      </c>
      <c r="D507" s="24" t="s">
        <v>594</v>
      </c>
    </row>
    <row r="508" spans="1:4">
      <c r="A508" s="24">
        <v>112003</v>
      </c>
      <c r="B508" s="24" t="s">
        <v>104</v>
      </c>
      <c r="C508" s="24">
        <v>112003</v>
      </c>
      <c r="D508" s="24" t="s">
        <v>594</v>
      </c>
    </row>
    <row r="509" spans="1:4">
      <c r="A509" s="24">
        <v>112004</v>
      </c>
      <c r="B509" s="24" t="s">
        <v>104</v>
      </c>
      <c r="C509" s="24">
        <v>112004</v>
      </c>
      <c r="D509" s="24" t="s">
        <v>594</v>
      </c>
    </row>
    <row r="510" spans="1:4">
      <c r="A510" s="24">
        <v>112005</v>
      </c>
      <c r="B510" s="24" t="s">
        <v>104</v>
      </c>
      <c r="C510" s="24">
        <v>112005</v>
      </c>
      <c r="D510" s="24" t="s">
        <v>594</v>
      </c>
    </row>
    <row r="511" spans="1:4">
      <c r="A511" s="24">
        <v>112101</v>
      </c>
      <c r="B511" s="24" t="s">
        <v>105</v>
      </c>
      <c r="C511" s="24">
        <v>112101</v>
      </c>
      <c r="D511" s="24" t="s">
        <v>595</v>
      </c>
    </row>
    <row r="512" spans="1:4">
      <c r="A512" s="24">
        <v>112102</v>
      </c>
      <c r="B512" s="24" t="s">
        <v>105</v>
      </c>
      <c r="C512" s="24">
        <v>112102</v>
      </c>
      <c r="D512" s="24" t="s">
        <v>595</v>
      </c>
    </row>
    <row r="513" spans="1:4">
      <c r="A513" s="24">
        <v>112103</v>
      </c>
      <c r="B513" s="24" t="s">
        <v>105</v>
      </c>
      <c r="C513" s="24">
        <v>112103</v>
      </c>
      <c r="D513" s="24" t="s">
        <v>595</v>
      </c>
    </row>
    <row r="514" spans="1:4">
      <c r="A514" s="24">
        <v>112104</v>
      </c>
      <c r="B514" s="24" t="s">
        <v>105</v>
      </c>
      <c r="C514" s="24">
        <v>112104</v>
      </c>
      <c r="D514" s="24" t="s">
        <v>595</v>
      </c>
    </row>
    <row r="515" spans="1:4">
      <c r="A515" s="24">
        <v>112105</v>
      </c>
      <c r="B515" s="24" t="s">
        <v>105</v>
      </c>
      <c r="C515" s="24">
        <v>112105</v>
      </c>
      <c r="D515" s="24" t="s">
        <v>595</v>
      </c>
    </row>
    <row r="516" spans="1:4">
      <c r="A516" s="24">
        <v>112201</v>
      </c>
      <c r="B516" s="24" t="s">
        <v>106</v>
      </c>
      <c r="C516" s="24">
        <v>112201</v>
      </c>
      <c r="D516" s="24" t="s">
        <v>592</v>
      </c>
    </row>
    <row r="517" spans="1:4">
      <c r="A517" s="24">
        <v>112202</v>
      </c>
      <c r="B517" s="24" t="s">
        <v>106</v>
      </c>
      <c r="C517" s="24">
        <v>112202</v>
      </c>
      <c r="D517" s="24" t="s">
        <v>592</v>
      </c>
    </row>
    <row r="518" spans="1:4">
      <c r="A518" s="24">
        <v>112203</v>
      </c>
      <c r="B518" s="24" t="s">
        <v>106</v>
      </c>
      <c r="C518" s="24">
        <v>112203</v>
      </c>
      <c r="D518" s="24" t="s">
        <v>592</v>
      </c>
    </row>
    <row r="519" spans="1:4">
      <c r="A519" s="24">
        <v>112204</v>
      </c>
      <c r="B519" s="24" t="s">
        <v>106</v>
      </c>
      <c r="C519" s="24">
        <v>112204</v>
      </c>
      <c r="D519" s="24" t="s">
        <v>592</v>
      </c>
    </row>
    <row r="520" spans="1:4">
      <c r="A520" s="24">
        <v>112205</v>
      </c>
      <c r="B520" s="24" t="s">
        <v>106</v>
      </c>
      <c r="C520" s="24">
        <v>112205</v>
      </c>
      <c r="D520" s="24" t="s">
        <v>592</v>
      </c>
    </row>
    <row r="521" spans="1:4">
      <c r="A521" s="24">
        <v>112301</v>
      </c>
      <c r="B521" s="24" t="s">
        <v>107</v>
      </c>
      <c r="C521" s="24">
        <v>112301</v>
      </c>
      <c r="D521" s="24" t="s">
        <v>594</v>
      </c>
    </row>
    <row r="522" spans="1:4">
      <c r="A522" s="24">
        <v>112302</v>
      </c>
      <c r="B522" s="24" t="s">
        <v>107</v>
      </c>
      <c r="C522" s="24">
        <v>112302</v>
      </c>
      <c r="D522" s="24" t="s">
        <v>594</v>
      </c>
    </row>
    <row r="523" spans="1:4">
      <c r="A523" s="24">
        <v>112303</v>
      </c>
      <c r="B523" s="24" t="s">
        <v>107</v>
      </c>
      <c r="C523" s="24">
        <v>112303</v>
      </c>
      <c r="D523" s="24" t="s">
        <v>594</v>
      </c>
    </row>
    <row r="524" spans="1:4">
      <c r="A524" s="24">
        <v>112304</v>
      </c>
      <c r="B524" s="24" t="s">
        <v>107</v>
      </c>
      <c r="C524" s="24">
        <v>112304</v>
      </c>
      <c r="D524" s="24" t="s">
        <v>594</v>
      </c>
    </row>
    <row r="525" spans="1:4">
      <c r="A525" s="24">
        <v>112305</v>
      </c>
      <c r="B525" s="24" t="s">
        <v>107</v>
      </c>
      <c r="C525" s="24">
        <v>112305</v>
      </c>
      <c r="D525" s="24" t="s">
        <v>594</v>
      </c>
    </row>
    <row r="526" spans="1:4">
      <c r="A526" s="24">
        <v>112401</v>
      </c>
      <c r="B526" s="24" t="s">
        <v>108</v>
      </c>
      <c r="C526" s="24">
        <v>112401</v>
      </c>
      <c r="D526" s="24" t="s">
        <v>592</v>
      </c>
    </row>
    <row r="527" spans="1:4">
      <c r="A527" s="24">
        <v>112402</v>
      </c>
      <c r="B527" s="24" t="s">
        <v>108</v>
      </c>
      <c r="C527" s="24">
        <v>112402</v>
      </c>
      <c r="D527" s="24" t="s">
        <v>592</v>
      </c>
    </row>
    <row r="528" spans="1:4">
      <c r="A528" s="24">
        <v>112403</v>
      </c>
      <c r="B528" s="24" t="s">
        <v>108</v>
      </c>
      <c r="C528" s="24">
        <v>112403</v>
      </c>
      <c r="D528" s="24" t="s">
        <v>592</v>
      </c>
    </row>
    <row r="529" spans="1:4">
      <c r="A529" s="24">
        <v>112404</v>
      </c>
      <c r="B529" s="24" t="s">
        <v>108</v>
      </c>
      <c r="C529" s="24">
        <v>112404</v>
      </c>
      <c r="D529" s="24" t="s">
        <v>592</v>
      </c>
    </row>
    <row r="530" spans="1:4">
      <c r="A530" s="24">
        <v>112405</v>
      </c>
      <c r="B530" s="24" t="s">
        <v>108</v>
      </c>
      <c r="C530" s="24">
        <v>112405</v>
      </c>
      <c r="D530" s="24" t="s">
        <v>592</v>
      </c>
    </row>
    <row r="531" spans="1:4">
      <c r="A531" s="24">
        <v>112501</v>
      </c>
      <c r="B531" s="24" t="s">
        <v>109</v>
      </c>
      <c r="C531" s="24">
        <v>112501</v>
      </c>
      <c r="D531" s="24" t="s">
        <v>593</v>
      </c>
    </row>
    <row r="532" spans="1:4">
      <c r="A532" s="24">
        <v>112502</v>
      </c>
      <c r="B532" s="24" t="s">
        <v>109</v>
      </c>
      <c r="C532" s="24">
        <v>112502</v>
      </c>
      <c r="D532" s="24" t="s">
        <v>593</v>
      </c>
    </row>
    <row r="533" spans="1:4">
      <c r="A533" s="24">
        <v>112503</v>
      </c>
      <c r="B533" s="24" t="s">
        <v>109</v>
      </c>
      <c r="C533" s="24">
        <v>112503</v>
      </c>
      <c r="D533" s="24" t="s">
        <v>593</v>
      </c>
    </row>
    <row r="534" spans="1:4">
      <c r="A534" s="24">
        <v>112504</v>
      </c>
      <c r="B534" s="24" t="s">
        <v>109</v>
      </c>
      <c r="C534" s="24">
        <v>112504</v>
      </c>
      <c r="D534" s="24" t="s">
        <v>593</v>
      </c>
    </row>
    <row r="535" spans="1:4">
      <c r="A535" s="24">
        <v>112505</v>
      </c>
      <c r="B535" s="24" t="s">
        <v>109</v>
      </c>
      <c r="C535" s="24">
        <v>112505</v>
      </c>
      <c r="D535" s="24" t="s">
        <v>593</v>
      </c>
    </row>
    <row r="536" spans="1:4">
      <c r="A536" s="24">
        <v>112601</v>
      </c>
      <c r="B536" s="24" t="s">
        <v>110</v>
      </c>
      <c r="C536" s="24">
        <v>112601</v>
      </c>
      <c r="D536" s="24" t="s">
        <v>596</v>
      </c>
    </row>
    <row r="537" spans="1:4">
      <c r="A537" s="24">
        <v>112602</v>
      </c>
      <c r="B537" s="24" t="s">
        <v>110</v>
      </c>
      <c r="C537" s="24">
        <v>112602</v>
      </c>
      <c r="D537" s="24" t="s">
        <v>596</v>
      </c>
    </row>
    <row r="538" spans="1:4">
      <c r="A538" s="24">
        <v>112603</v>
      </c>
      <c r="B538" s="24" t="s">
        <v>110</v>
      </c>
      <c r="C538" s="24">
        <v>112603</v>
      </c>
      <c r="D538" s="24" t="s">
        <v>596</v>
      </c>
    </row>
    <row r="539" spans="1:4">
      <c r="A539" s="24">
        <v>112604</v>
      </c>
      <c r="B539" s="24" t="s">
        <v>110</v>
      </c>
      <c r="C539" s="24">
        <v>112604</v>
      </c>
      <c r="D539" s="24" t="s">
        <v>596</v>
      </c>
    </row>
    <row r="540" spans="1:4">
      <c r="A540" s="24">
        <v>112605</v>
      </c>
      <c r="B540" s="24" t="s">
        <v>110</v>
      </c>
      <c r="C540" s="24">
        <v>112605</v>
      </c>
      <c r="D540" s="24" t="s">
        <v>596</v>
      </c>
    </row>
    <row r="541" spans="1:4">
      <c r="A541" s="24">
        <v>112701</v>
      </c>
      <c r="B541" s="24" t="s">
        <v>111</v>
      </c>
      <c r="C541" s="24">
        <v>112701</v>
      </c>
      <c r="D541" s="24" t="s">
        <v>593</v>
      </c>
    </row>
    <row r="542" spans="1:4">
      <c r="A542" s="24">
        <v>112702</v>
      </c>
      <c r="B542" s="24" t="s">
        <v>111</v>
      </c>
      <c r="C542" s="24">
        <v>112702</v>
      </c>
      <c r="D542" s="24" t="s">
        <v>593</v>
      </c>
    </row>
    <row r="543" spans="1:4">
      <c r="A543" s="24">
        <v>112703</v>
      </c>
      <c r="B543" s="24" t="s">
        <v>111</v>
      </c>
      <c r="C543" s="24">
        <v>112703</v>
      </c>
      <c r="D543" s="24" t="s">
        <v>593</v>
      </c>
    </row>
    <row r="544" spans="1:4">
      <c r="A544" s="24">
        <v>112704</v>
      </c>
      <c r="B544" s="24" t="s">
        <v>111</v>
      </c>
      <c r="C544" s="24">
        <v>112704</v>
      </c>
      <c r="D544" s="24" t="s">
        <v>593</v>
      </c>
    </row>
    <row r="545" spans="1:4">
      <c r="A545" s="24">
        <v>112705</v>
      </c>
      <c r="B545" s="24" t="s">
        <v>111</v>
      </c>
      <c r="C545" s="24">
        <v>112705</v>
      </c>
      <c r="D545" s="24" t="s">
        <v>593</v>
      </c>
    </row>
    <row r="546" spans="1:4">
      <c r="A546" s="24">
        <v>112801</v>
      </c>
      <c r="B546" s="24" t="s">
        <v>112</v>
      </c>
      <c r="C546" s="24">
        <v>112801</v>
      </c>
      <c r="D546" s="24" t="s">
        <v>596</v>
      </c>
    </row>
    <row r="547" spans="1:4">
      <c r="A547" s="24">
        <v>112802</v>
      </c>
      <c r="B547" s="24" t="s">
        <v>112</v>
      </c>
      <c r="C547" s="24">
        <v>112802</v>
      </c>
      <c r="D547" s="24" t="s">
        <v>596</v>
      </c>
    </row>
    <row r="548" spans="1:4">
      <c r="A548" s="24">
        <v>112803</v>
      </c>
      <c r="B548" s="24" t="s">
        <v>112</v>
      </c>
      <c r="C548" s="24">
        <v>112803</v>
      </c>
      <c r="D548" s="24" t="s">
        <v>596</v>
      </c>
    </row>
    <row r="549" spans="1:4">
      <c r="A549" s="24">
        <v>112804</v>
      </c>
      <c r="B549" s="24" t="s">
        <v>112</v>
      </c>
      <c r="C549" s="24">
        <v>112804</v>
      </c>
      <c r="D549" s="24" t="s">
        <v>596</v>
      </c>
    </row>
    <row r="550" spans="1:4">
      <c r="A550" s="24">
        <v>112805</v>
      </c>
      <c r="B550" s="24" t="s">
        <v>112</v>
      </c>
      <c r="C550" s="24">
        <v>112805</v>
      </c>
      <c r="D550" s="24" t="s">
        <v>596</v>
      </c>
    </row>
    <row r="551" spans="1:4">
      <c r="A551" s="24">
        <v>112901</v>
      </c>
      <c r="B551" s="24" t="s">
        <v>113</v>
      </c>
      <c r="C551" s="24">
        <v>112901</v>
      </c>
      <c r="D551" s="24" t="s">
        <v>594</v>
      </c>
    </row>
    <row r="552" spans="1:4">
      <c r="A552" s="24">
        <v>112902</v>
      </c>
      <c r="B552" s="24" t="s">
        <v>113</v>
      </c>
      <c r="C552" s="24">
        <v>112902</v>
      </c>
      <c r="D552" s="24" t="s">
        <v>594</v>
      </c>
    </row>
    <row r="553" spans="1:4">
      <c r="A553" s="24">
        <v>112903</v>
      </c>
      <c r="B553" s="24" t="s">
        <v>113</v>
      </c>
      <c r="C553" s="24">
        <v>112903</v>
      </c>
      <c r="D553" s="24" t="s">
        <v>594</v>
      </c>
    </row>
    <row r="554" spans="1:4">
      <c r="A554" s="24">
        <v>112904</v>
      </c>
      <c r="B554" s="24" t="s">
        <v>113</v>
      </c>
      <c r="C554" s="24">
        <v>112904</v>
      </c>
      <c r="D554" s="24" t="s">
        <v>594</v>
      </c>
    </row>
    <row r="555" spans="1:4">
      <c r="A555" s="24">
        <v>112905</v>
      </c>
      <c r="B555" s="24" t="s">
        <v>113</v>
      </c>
      <c r="C555" s="24">
        <v>112905</v>
      </c>
      <c r="D555" s="24" t="s">
        <v>594</v>
      </c>
    </row>
    <row r="556" spans="1:4">
      <c r="A556" s="24">
        <v>113001</v>
      </c>
      <c r="B556" s="24" t="s">
        <v>114</v>
      </c>
      <c r="C556" s="24">
        <v>113001</v>
      </c>
      <c r="D556" s="24" t="s">
        <v>595</v>
      </c>
    </row>
    <row r="557" spans="1:4">
      <c r="A557" s="24">
        <v>113002</v>
      </c>
      <c r="B557" s="24" t="s">
        <v>114</v>
      </c>
      <c r="C557" s="24">
        <v>113002</v>
      </c>
      <c r="D557" s="24" t="s">
        <v>595</v>
      </c>
    </row>
    <row r="558" spans="1:4">
      <c r="A558" s="24">
        <v>113003</v>
      </c>
      <c r="B558" s="24" t="s">
        <v>114</v>
      </c>
      <c r="C558" s="24">
        <v>113003</v>
      </c>
      <c r="D558" s="24" t="s">
        <v>595</v>
      </c>
    </row>
    <row r="559" spans="1:4">
      <c r="A559" s="24">
        <v>113004</v>
      </c>
      <c r="B559" s="24" t="s">
        <v>114</v>
      </c>
      <c r="C559" s="24">
        <v>113004</v>
      </c>
      <c r="D559" s="24" t="s">
        <v>595</v>
      </c>
    </row>
    <row r="560" spans="1:4">
      <c r="A560" s="24">
        <v>113005</v>
      </c>
      <c r="B560" s="24" t="s">
        <v>114</v>
      </c>
      <c r="C560" s="24">
        <v>113005</v>
      </c>
      <c r="D560" s="24" t="s">
        <v>595</v>
      </c>
    </row>
    <row r="561" spans="1:4">
      <c r="A561" s="24">
        <v>113101</v>
      </c>
      <c r="B561" s="24" t="s">
        <v>115</v>
      </c>
      <c r="C561" s="24">
        <v>113101</v>
      </c>
      <c r="D561" s="24" t="s">
        <v>592</v>
      </c>
    </row>
    <row r="562" spans="1:4">
      <c r="A562" s="24">
        <v>113102</v>
      </c>
      <c r="B562" s="24" t="s">
        <v>115</v>
      </c>
      <c r="C562" s="24">
        <v>113102</v>
      </c>
      <c r="D562" s="24" t="s">
        <v>592</v>
      </c>
    </row>
    <row r="563" spans="1:4">
      <c r="A563" s="24">
        <v>113103</v>
      </c>
      <c r="B563" s="24" t="s">
        <v>115</v>
      </c>
      <c r="C563" s="24">
        <v>113103</v>
      </c>
      <c r="D563" s="24" t="s">
        <v>592</v>
      </c>
    </row>
    <row r="564" spans="1:4">
      <c r="A564" s="24">
        <v>113104</v>
      </c>
      <c r="B564" s="24" t="s">
        <v>115</v>
      </c>
      <c r="C564" s="24">
        <v>113104</v>
      </c>
      <c r="D564" s="24" t="s">
        <v>592</v>
      </c>
    </row>
    <row r="565" spans="1:4">
      <c r="A565" s="24">
        <v>113105</v>
      </c>
      <c r="B565" s="24" t="s">
        <v>115</v>
      </c>
      <c r="C565" s="24">
        <v>113105</v>
      </c>
      <c r="D565" s="24" t="s">
        <v>592</v>
      </c>
    </row>
    <row r="566" spans="1:4">
      <c r="A566" s="24">
        <v>113201</v>
      </c>
      <c r="B566" s="24" t="s">
        <v>116</v>
      </c>
      <c r="C566" s="24">
        <v>113201</v>
      </c>
      <c r="D566" s="24" t="s">
        <v>594</v>
      </c>
    </row>
    <row r="567" spans="1:4">
      <c r="A567" s="24">
        <v>113202</v>
      </c>
      <c r="B567" s="24" t="s">
        <v>116</v>
      </c>
      <c r="C567" s="24">
        <v>113202</v>
      </c>
      <c r="D567" s="24" t="s">
        <v>594</v>
      </c>
    </row>
    <row r="568" spans="1:4">
      <c r="A568" s="24">
        <v>113203</v>
      </c>
      <c r="B568" s="24" t="s">
        <v>116</v>
      </c>
      <c r="C568" s="24">
        <v>113203</v>
      </c>
      <c r="D568" s="24" t="s">
        <v>594</v>
      </c>
    </row>
    <row r="569" spans="1:4">
      <c r="A569" s="24">
        <v>113204</v>
      </c>
      <c r="B569" s="24" t="s">
        <v>116</v>
      </c>
      <c r="C569" s="24">
        <v>113204</v>
      </c>
      <c r="D569" s="24" t="s">
        <v>594</v>
      </c>
    </row>
    <row r="570" spans="1:4">
      <c r="A570" s="24">
        <v>113205</v>
      </c>
      <c r="B570" s="24" t="s">
        <v>116</v>
      </c>
      <c r="C570" s="24">
        <v>113205</v>
      </c>
      <c r="D570" s="24" t="s">
        <v>594</v>
      </c>
    </row>
    <row r="571" spans="1:4">
      <c r="A571" s="24">
        <v>113301</v>
      </c>
      <c r="B571" s="24" t="s">
        <v>117</v>
      </c>
      <c r="C571" s="24">
        <v>113301</v>
      </c>
      <c r="D571" s="24" t="s">
        <v>592</v>
      </c>
    </row>
    <row r="572" spans="1:4">
      <c r="A572" s="24">
        <v>113302</v>
      </c>
      <c r="B572" s="24" t="s">
        <v>117</v>
      </c>
      <c r="C572" s="24">
        <v>113302</v>
      </c>
      <c r="D572" s="24" t="s">
        <v>592</v>
      </c>
    </row>
    <row r="573" spans="1:4">
      <c r="A573" s="24">
        <v>113303</v>
      </c>
      <c r="B573" s="24" t="s">
        <v>117</v>
      </c>
      <c r="C573" s="24">
        <v>113303</v>
      </c>
      <c r="D573" s="24" t="s">
        <v>592</v>
      </c>
    </row>
    <row r="574" spans="1:4">
      <c r="A574" s="24">
        <v>113304</v>
      </c>
      <c r="B574" s="24" t="s">
        <v>117</v>
      </c>
      <c r="C574" s="24">
        <v>113304</v>
      </c>
      <c r="D574" s="24" t="s">
        <v>592</v>
      </c>
    </row>
    <row r="575" spans="1:4">
      <c r="A575" s="24">
        <v>113305</v>
      </c>
      <c r="B575" s="24" t="s">
        <v>117</v>
      </c>
      <c r="C575" s="24">
        <v>113305</v>
      </c>
      <c r="D575" s="24" t="s">
        <v>592</v>
      </c>
    </row>
    <row r="576" spans="1:4">
      <c r="A576" s="24">
        <v>113401</v>
      </c>
      <c r="B576" s="24" t="s">
        <v>118</v>
      </c>
      <c r="C576" s="24">
        <v>113401</v>
      </c>
      <c r="D576" s="24" t="s">
        <v>593</v>
      </c>
    </row>
    <row r="577" spans="1:4">
      <c r="A577" s="24">
        <v>113402</v>
      </c>
      <c r="B577" s="24" t="s">
        <v>118</v>
      </c>
      <c r="C577" s="24">
        <v>113402</v>
      </c>
      <c r="D577" s="24" t="s">
        <v>593</v>
      </c>
    </row>
    <row r="578" spans="1:4">
      <c r="A578" s="24">
        <v>113403</v>
      </c>
      <c r="B578" s="24" t="s">
        <v>118</v>
      </c>
      <c r="C578" s="24">
        <v>113403</v>
      </c>
      <c r="D578" s="24" t="s">
        <v>593</v>
      </c>
    </row>
    <row r="579" spans="1:4">
      <c r="A579" s="24">
        <v>113404</v>
      </c>
      <c r="B579" s="24" t="s">
        <v>118</v>
      </c>
      <c r="C579" s="24">
        <v>113404</v>
      </c>
      <c r="D579" s="24" t="s">
        <v>593</v>
      </c>
    </row>
    <row r="580" spans="1:4">
      <c r="A580" s="24">
        <v>113405</v>
      </c>
      <c r="B580" s="24" t="s">
        <v>118</v>
      </c>
      <c r="C580" s="24">
        <v>113405</v>
      </c>
      <c r="D580" s="24" t="s">
        <v>593</v>
      </c>
    </row>
    <row r="581" spans="1:4">
      <c r="A581" s="24">
        <v>113501</v>
      </c>
      <c r="B581" s="24" t="s">
        <v>119</v>
      </c>
      <c r="C581" s="24">
        <v>113501</v>
      </c>
      <c r="D581" s="24" t="s">
        <v>596</v>
      </c>
    </row>
    <row r="582" spans="1:4">
      <c r="A582" s="24">
        <v>113502</v>
      </c>
      <c r="B582" s="24" t="s">
        <v>119</v>
      </c>
      <c r="C582" s="24">
        <v>113502</v>
      </c>
      <c r="D582" s="24" t="s">
        <v>596</v>
      </c>
    </row>
    <row r="583" spans="1:4">
      <c r="A583" s="24">
        <v>113503</v>
      </c>
      <c r="B583" s="24" t="s">
        <v>119</v>
      </c>
      <c r="C583" s="24">
        <v>113503</v>
      </c>
      <c r="D583" s="24" t="s">
        <v>596</v>
      </c>
    </row>
    <row r="584" spans="1:4">
      <c r="A584" s="24">
        <v>113504</v>
      </c>
      <c r="B584" s="24" t="s">
        <v>119</v>
      </c>
      <c r="C584" s="24">
        <v>113504</v>
      </c>
      <c r="D584" s="24" t="s">
        <v>596</v>
      </c>
    </row>
    <row r="585" spans="1:4">
      <c r="A585" s="24">
        <v>113505</v>
      </c>
      <c r="B585" s="24" t="s">
        <v>119</v>
      </c>
      <c r="C585" s="24">
        <v>113505</v>
      </c>
      <c r="D585" s="24" t="s">
        <v>596</v>
      </c>
    </row>
    <row r="586" spans="1:4">
      <c r="A586" s="24">
        <v>113601</v>
      </c>
      <c r="B586" s="24" t="s">
        <v>120</v>
      </c>
      <c r="C586" s="24">
        <v>113601</v>
      </c>
      <c r="D586" s="24" t="s">
        <v>593</v>
      </c>
    </row>
    <row r="587" spans="1:4">
      <c r="A587" s="24">
        <v>113602</v>
      </c>
      <c r="B587" s="24" t="s">
        <v>120</v>
      </c>
      <c r="C587" s="24">
        <v>113602</v>
      </c>
      <c r="D587" s="24" t="s">
        <v>593</v>
      </c>
    </row>
    <row r="588" spans="1:4">
      <c r="A588" s="24">
        <v>113603</v>
      </c>
      <c r="B588" s="24" t="s">
        <v>120</v>
      </c>
      <c r="C588" s="24">
        <v>113603</v>
      </c>
      <c r="D588" s="24" t="s">
        <v>593</v>
      </c>
    </row>
    <row r="589" spans="1:4">
      <c r="A589" s="24">
        <v>113604</v>
      </c>
      <c r="B589" s="24" t="s">
        <v>120</v>
      </c>
      <c r="C589" s="24">
        <v>113604</v>
      </c>
      <c r="D589" s="24" t="s">
        <v>593</v>
      </c>
    </row>
    <row r="590" spans="1:4">
      <c r="A590" s="24">
        <v>113605</v>
      </c>
      <c r="B590" s="24" t="s">
        <v>120</v>
      </c>
      <c r="C590" s="24">
        <v>113605</v>
      </c>
      <c r="D590" s="24" t="s">
        <v>593</v>
      </c>
    </row>
    <row r="591" spans="1:4">
      <c r="D591" s="24"/>
    </row>
    <row r="592" spans="1:4">
      <c r="A592" s="23"/>
      <c r="B592" s="27" t="s">
        <v>3488</v>
      </c>
      <c r="C592" s="23"/>
      <c r="D592" s="23"/>
    </row>
    <row r="593" spans="1:4">
      <c r="A593" s="24">
        <v>130101</v>
      </c>
      <c r="B593" s="24" t="s">
        <v>2357</v>
      </c>
      <c r="C593" s="24">
        <v>130101</v>
      </c>
      <c r="D593" s="60" t="s">
        <v>596</v>
      </c>
    </row>
    <row r="594" spans="1:4">
      <c r="A594" s="24">
        <v>130102</v>
      </c>
      <c r="B594" s="24" t="s">
        <v>2357</v>
      </c>
      <c r="C594" s="24">
        <v>130102</v>
      </c>
      <c r="D594" s="60" t="s">
        <v>596</v>
      </c>
    </row>
    <row r="595" spans="1:4">
      <c r="A595" s="24">
        <v>130103</v>
      </c>
      <c r="B595" s="24" t="s">
        <v>2357</v>
      </c>
      <c r="C595" s="24">
        <v>130103</v>
      </c>
      <c r="D595" s="60" t="s">
        <v>596</v>
      </c>
    </row>
    <row r="596" spans="1:4">
      <c r="A596" s="24">
        <v>130104</v>
      </c>
      <c r="B596" s="24" t="s">
        <v>2357</v>
      </c>
      <c r="C596" s="24">
        <v>130104</v>
      </c>
      <c r="D596" s="60" t="s">
        <v>596</v>
      </c>
    </row>
    <row r="597" spans="1:4">
      <c r="A597" s="24">
        <v>130105</v>
      </c>
      <c r="B597" s="24" t="s">
        <v>2357</v>
      </c>
      <c r="C597" s="24">
        <v>130105</v>
      </c>
      <c r="D597" s="60" t="s">
        <v>596</v>
      </c>
    </row>
    <row r="598" spans="1:4">
      <c r="A598" s="24">
        <v>130201</v>
      </c>
      <c r="B598" s="24" t="s">
        <v>3545</v>
      </c>
      <c r="C598" s="24">
        <v>130201</v>
      </c>
      <c r="D598" s="24" t="s">
        <v>593</v>
      </c>
    </row>
    <row r="599" spans="1:4">
      <c r="A599" s="24">
        <v>130202</v>
      </c>
      <c r="B599" s="24" t="s">
        <v>3545</v>
      </c>
      <c r="C599" s="24">
        <v>130202</v>
      </c>
      <c r="D599" s="24" t="s">
        <v>593</v>
      </c>
    </row>
    <row r="600" spans="1:4">
      <c r="A600" s="24">
        <v>130203</v>
      </c>
      <c r="B600" s="24" t="s">
        <v>3545</v>
      </c>
      <c r="C600" s="24">
        <v>130203</v>
      </c>
      <c r="D600" s="24" t="s">
        <v>593</v>
      </c>
    </row>
    <row r="601" spans="1:4">
      <c r="A601" s="24">
        <v>130204</v>
      </c>
      <c r="B601" s="24" t="s">
        <v>3545</v>
      </c>
      <c r="C601" s="24">
        <v>130204</v>
      </c>
      <c r="D601" s="24" t="s">
        <v>593</v>
      </c>
    </row>
    <row r="602" spans="1:4">
      <c r="A602" s="24">
        <v>130205</v>
      </c>
      <c r="B602" s="24" t="s">
        <v>3545</v>
      </c>
      <c r="C602" s="24">
        <v>130205</v>
      </c>
      <c r="D602" s="24" t="s">
        <v>593</v>
      </c>
    </row>
    <row r="603" spans="1:4">
      <c r="A603" s="24">
        <v>130301</v>
      </c>
      <c r="B603" s="24" t="s">
        <v>3546</v>
      </c>
      <c r="C603" s="24">
        <v>130301</v>
      </c>
      <c r="D603" s="24" t="s">
        <v>593</v>
      </c>
    </row>
    <row r="604" spans="1:4">
      <c r="A604" s="24">
        <v>130302</v>
      </c>
      <c r="B604" s="24" t="s">
        <v>30</v>
      </c>
      <c r="C604" s="24">
        <v>130302</v>
      </c>
      <c r="D604" s="24" t="s">
        <v>593</v>
      </c>
    </row>
    <row r="605" spans="1:4">
      <c r="A605" s="24">
        <v>130303</v>
      </c>
      <c r="B605" s="24" t="s">
        <v>30</v>
      </c>
      <c r="C605" s="24">
        <v>130303</v>
      </c>
      <c r="D605" s="24" t="s">
        <v>593</v>
      </c>
    </row>
    <row r="606" spans="1:4">
      <c r="A606" s="24">
        <v>130304</v>
      </c>
      <c r="B606" s="24" t="s">
        <v>30</v>
      </c>
      <c r="C606" s="24">
        <v>130304</v>
      </c>
      <c r="D606" s="24" t="s">
        <v>593</v>
      </c>
    </row>
    <row r="607" spans="1:4">
      <c r="A607" s="24">
        <v>130305</v>
      </c>
      <c r="B607" s="24" t="s">
        <v>30</v>
      </c>
      <c r="C607" s="24">
        <v>130305</v>
      </c>
      <c r="D607" s="24" t="s">
        <v>593</v>
      </c>
    </row>
    <row r="608" spans="1:4">
      <c r="A608" s="24">
        <v>130401</v>
      </c>
      <c r="B608" s="24" t="s">
        <v>3547</v>
      </c>
      <c r="C608" s="24">
        <v>130401</v>
      </c>
      <c r="D608" s="24" t="s">
        <v>592</v>
      </c>
    </row>
    <row r="609" spans="1:4">
      <c r="A609" s="24">
        <v>130402</v>
      </c>
      <c r="B609" s="24" t="s">
        <v>31</v>
      </c>
      <c r="C609" s="24">
        <v>130402</v>
      </c>
      <c r="D609" s="24" t="s">
        <v>592</v>
      </c>
    </row>
    <row r="610" spans="1:4">
      <c r="A610" s="24">
        <v>130403</v>
      </c>
      <c r="B610" s="24" t="s">
        <v>31</v>
      </c>
      <c r="C610" s="24">
        <v>130403</v>
      </c>
      <c r="D610" s="24" t="s">
        <v>592</v>
      </c>
    </row>
    <row r="611" spans="1:4">
      <c r="A611" s="24">
        <v>130404</v>
      </c>
      <c r="B611" s="24" t="s">
        <v>31</v>
      </c>
      <c r="C611" s="24">
        <v>130404</v>
      </c>
      <c r="D611" s="24" t="s">
        <v>592</v>
      </c>
    </row>
    <row r="612" spans="1:4">
      <c r="A612" s="24">
        <v>130405</v>
      </c>
      <c r="B612" s="24" t="s">
        <v>31</v>
      </c>
      <c r="C612" s="24">
        <v>130405</v>
      </c>
      <c r="D612" s="24" t="s">
        <v>592</v>
      </c>
    </row>
    <row r="613" spans="1:4">
      <c r="A613" s="24">
        <v>130501</v>
      </c>
      <c r="B613" s="24" t="s">
        <v>3548</v>
      </c>
      <c r="C613" s="24">
        <v>130501</v>
      </c>
      <c r="D613" s="24" t="s">
        <v>593</v>
      </c>
    </row>
    <row r="614" spans="1:4">
      <c r="A614" s="24">
        <v>130502</v>
      </c>
      <c r="B614" s="24" t="s">
        <v>32</v>
      </c>
      <c r="C614" s="24">
        <v>130502</v>
      </c>
      <c r="D614" s="24" t="s">
        <v>593</v>
      </c>
    </row>
    <row r="615" spans="1:4">
      <c r="A615" s="24">
        <v>130503</v>
      </c>
      <c r="B615" s="24" t="s">
        <v>32</v>
      </c>
      <c r="C615" s="24">
        <v>130503</v>
      </c>
      <c r="D615" s="24" t="s">
        <v>593</v>
      </c>
    </row>
    <row r="616" spans="1:4">
      <c r="A616" s="24">
        <v>130504</v>
      </c>
      <c r="B616" s="24" t="s">
        <v>32</v>
      </c>
      <c r="C616" s="24">
        <v>130504</v>
      </c>
      <c r="D616" s="24" t="s">
        <v>593</v>
      </c>
    </row>
    <row r="617" spans="1:4">
      <c r="A617" s="24">
        <v>130505</v>
      </c>
      <c r="B617" s="24" t="s">
        <v>32</v>
      </c>
      <c r="C617" s="24">
        <v>130505</v>
      </c>
      <c r="D617" s="24" t="s">
        <v>593</v>
      </c>
    </row>
    <row r="618" spans="1:4">
      <c r="A618" s="24">
        <v>130601</v>
      </c>
      <c r="B618" s="24" t="s">
        <v>3549</v>
      </c>
      <c r="C618" s="24">
        <v>130601</v>
      </c>
      <c r="D618" s="24" t="s">
        <v>595</v>
      </c>
    </row>
    <row r="619" spans="1:4">
      <c r="A619" s="24">
        <v>130602</v>
      </c>
      <c r="B619" s="24" t="s">
        <v>33</v>
      </c>
      <c r="C619" s="24">
        <v>130602</v>
      </c>
      <c r="D619" s="24" t="s">
        <v>595</v>
      </c>
    </row>
    <row r="620" spans="1:4">
      <c r="A620" s="24">
        <v>130603</v>
      </c>
      <c r="B620" s="24" t="s">
        <v>33</v>
      </c>
      <c r="C620" s="24">
        <v>130603</v>
      </c>
      <c r="D620" s="24" t="s">
        <v>595</v>
      </c>
    </row>
    <row r="621" spans="1:4">
      <c r="A621" s="24">
        <v>130604</v>
      </c>
      <c r="B621" s="24" t="s">
        <v>33</v>
      </c>
      <c r="C621" s="24">
        <v>130604</v>
      </c>
      <c r="D621" s="24" t="s">
        <v>595</v>
      </c>
    </row>
    <row r="622" spans="1:4">
      <c r="A622" s="24">
        <v>130605</v>
      </c>
      <c r="B622" s="24" t="s">
        <v>33</v>
      </c>
      <c r="C622" s="24">
        <v>130605</v>
      </c>
      <c r="D622" s="24" t="s">
        <v>595</v>
      </c>
    </row>
    <row r="623" spans="1:4">
      <c r="A623" s="24">
        <v>130701</v>
      </c>
      <c r="B623" s="24" t="s">
        <v>3550</v>
      </c>
      <c r="C623" s="24">
        <v>130701</v>
      </c>
      <c r="D623" s="24" t="s">
        <v>593</v>
      </c>
    </row>
    <row r="624" spans="1:4">
      <c r="A624" s="24">
        <v>130702</v>
      </c>
      <c r="B624" s="24" t="s">
        <v>34</v>
      </c>
      <c r="C624" s="24">
        <v>130702</v>
      </c>
      <c r="D624" s="24" t="s">
        <v>593</v>
      </c>
    </row>
    <row r="625" spans="1:4">
      <c r="A625" s="24">
        <v>130703</v>
      </c>
      <c r="B625" s="24" t="s">
        <v>34</v>
      </c>
      <c r="C625" s="24">
        <v>130703</v>
      </c>
      <c r="D625" s="24" t="s">
        <v>593</v>
      </c>
    </row>
    <row r="626" spans="1:4">
      <c r="A626" s="24">
        <v>130704</v>
      </c>
      <c r="B626" s="24" t="s">
        <v>34</v>
      </c>
      <c r="C626" s="24">
        <v>130704</v>
      </c>
      <c r="D626" s="24" t="s">
        <v>593</v>
      </c>
    </row>
    <row r="627" spans="1:4">
      <c r="A627" s="24">
        <v>130705</v>
      </c>
      <c r="B627" s="24" t="s">
        <v>34</v>
      </c>
      <c r="C627" s="24">
        <v>130705</v>
      </c>
      <c r="D627" s="24" t="s">
        <v>593</v>
      </c>
    </row>
    <row r="628" spans="1:4">
      <c r="A628" s="24">
        <v>130801</v>
      </c>
      <c r="B628" s="24" t="s">
        <v>35</v>
      </c>
      <c r="C628" s="24">
        <v>130801</v>
      </c>
      <c r="D628" s="24" t="s">
        <v>596</v>
      </c>
    </row>
    <row r="629" spans="1:4">
      <c r="A629" s="24">
        <v>130802</v>
      </c>
      <c r="B629" s="24" t="s">
        <v>35</v>
      </c>
      <c r="C629" s="24">
        <v>130802</v>
      </c>
      <c r="D629" s="24" t="s">
        <v>596</v>
      </c>
    </row>
    <row r="630" spans="1:4">
      <c r="A630" s="24">
        <v>130803</v>
      </c>
      <c r="B630" s="24" t="s">
        <v>35</v>
      </c>
      <c r="C630" s="24">
        <v>130803</v>
      </c>
      <c r="D630" s="24" t="s">
        <v>596</v>
      </c>
    </row>
    <row r="631" spans="1:4">
      <c r="A631" s="24">
        <v>130804</v>
      </c>
      <c r="B631" s="24" t="s">
        <v>35</v>
      </c>
      <c r="C631" s="24">
        <v>130804</v>
      </c>
      <c r="D631" s="24" t="s">
        <v>596</v>
      </c>
    </row>
    <row r="632" spans="1:4">
      <c r="A632" s="24">
        <v>130805</v>
      </c>
      <c r="B632" s="24" t="s">
        <v>35</v>
      </c>
      <c r="C632" s="24">
        <v>130805</v>
      </c>
      <c r="D632" s="24" t="s">
        <v>596</v>
      </c>
    </row>
    <row r="633" spans="1:4">
      <c r="A633" s="24">
        <v>130901</v>
      </c>
      <c r="B633" s="24" t="s">
        <v>36</v>
      </c>
      <c r="C633" s="24">
        <v>130901</v>
      </c>
      <c r="D633" s="24" t="s">
        <v>595</v>
      </c>
    </row>
    <row r="634" spans="1:4">
      <c r="A634" s="24">
        <v>130902</v>
      </c>
      <c r="B634" s="24" t="s">
        <v>36</v>
      </c>
      <c r="C634" s="24">
        <v>130902</v>
      </c>
      <c r="D634" s="24" t="s">
        <v>595</v>
      </c>
    </row>
    <row r="635" spans="1:4">
      <c r="A635" s="24">
        <v>130903</v>
      </c>
      <c r="B635" s="24" t="s">
        <v>36</v>
      </c>
      <c r="C635" s="24">
        <v>130903</v>
      </c>
      <c r="D635" s="24" t="s">
        <v>595</v>
      </c>
    </row>
    <row r="636" spans="1:4">
      <c r="A636" s="24">
        <v>130904</v>
      </c>
      <c r="B636" s="24" t="s">
        <v>36</v>
      </c>
      <c r="C636" s="24">
        <v>130904</v>
      </c>
      <c r="D636" s="24" t="s">
        <v>595</v>
      </c>
    </row>
    <row r="637" spans="1:4">
      <c r="A637" s="24">
        <v>130905</v>
      </c>
      <c r="B637" s="24" t="s">
        <v>36</v>
      </c>
      <c r="C637" s="24">
        <v>130905</v>
      </c>
      <c r="D637" s="24" t="s">
        <v>595</v>
      </c>
    </row>
    <row r="638" spans="1:4">
      <c r="A638" s="24">
        <v>131001</v>
      </c>
      <c r="B638" s="24" t="s">
        <v>2358</v>
      </c>
      <c r="C638" s="24">
        <v>131001</v>
      </c>
      <c r="D638" s="24" t="s">
        <v>593</v>
      </c>
    </row>
    <row r="639" spans="1:4">
      <c r="A639" s="24">
        <v>131002</v>
      </c>
      <c r="B639" s="24" t="s">
        <v>2358</v>
      </c>
      <c r="C639" s="24">
        <v>131002</v>
      </c>
      <c r="D639" s="24" t="s">
        <v>593</v>
      </c>
    </row>
    <row r="640" spans="1:4">
      <c r="A640" s="24">
        <v>131003</v>
      </c>
      <c r="B640" s="24" t="s">
        <v>2358</v>
      </c>
      <c r="C640" s="24">
        <v>131003</v>
      </c>
      <c r="D640" s="24" t="s">
        <v>593</v>
      </c>
    </row>
    <row r="641" spans="1:4">
      <c r="A641" s="24">
        <v>131004</v>
      </c>
      <c r="B641" s="24" t="s">
        <v>2358</v>
      </c>
      <c r="C641" s="24">
        <v>131004</v>
      </c>
      <c r="D641" s="24" t="s">
        <v>593</v>
      </c>
    </row>
    <row r="642" spans="1:4">
      <c r="A642" s="24">
        <v>131005</v>
      </c>
      <c r="B642" s="24" t="s">
        <v>2358</v>
      </c>
      <c r="C642" s="24">
        <v>131005</v>
      </c>
      <c r="D642" s="24" t="s">
        <v>593</v>
      </c>
    </row>
    <row r="643" spans="1:4">
      <c r="A643" s="24">
        <v>131101</v>
      </c>
      <c r="B643" s="24" t="s">
        <v>3551</v>
      </c>
      <c r="C643" s="24">
        <v>131101</v>
      </c>
      <c r="D643" s="24" t="s">
        <v>592</v>
      </c>
    </row>
    <row r="644" spans="1:4">
      <c r="A644" s="24">
        <v>131102</v>
      </c>
      <c r="B644" s="24" t="s">
        <v>37</v>
      </c>
      <c r="C644" s="24">
        <v>131102</v>
      </c>
      <c r="D644" s="24" t="s">
        <v>592</v>
      </c>
    </row>
    <row r="645" spans="1:4">
      <c r="A645" s="24">
        <v>131103</v>
      </c>
      <c r="B645" s="24" t="s">
        <v>37</v>
      </c>
      <c r="C645" s="24">
        <v>131103</v>
      </c>
      <c r="D645" s="24" t="s">
        <v>592</v>
      </c>
    </row>
    <row r="646" spans="1:4">
      <c r="A646" s="24">
        <v>131104</v>
      </c>
      <c r="B646" s="24" t="s">
        <v>37</v>
      </c>
      <c r="C646" s="24">
        <v>131104</v>
      </c>
      <c r="D646" s="24" t="s">
        <v>592</v>
      </c>
    </row>
    <row r="647" spans="1:4">
      <c r="A647" s="24">
        <v>131105</v>
      </c>
      <c r="B647" s="24" t="s">
        <v>37</v>
      </c>
      <c r="C647" s="24">
        <v>131105</v>
      </c>
      <c r="D647" s="24" t="s">
        <v>592</v>
      </c>
    </row>
    <row r="648" spans="1:4">
      <c r="A648" s="24">
        <v>131201</v>
      </c>
      <c r="B648" s="24" t="s">
        <v>3552</v>
      </c>
      <c r="C648" s="24">
        <v>131201</v>
      </c>
      <c r="D648" s="24" t="s">
        <v>595</v>
      </c>
    </row>
    <row r="649" spans="1:4">
      <c r="A649" s="24">
        <v>131202</v>
      </c>
      <c r="B649" s="24" t="s">
        <v>3552</v>
      </c>
      <c r="C649" s="24">
        <v>131202</v>
      </c>
      <c r="D649" s="24" t="s">
        <v>595</v>
      </c>
    </row>
    <row r="650" spans="1:4">
      <c r="A650" s="24">
        <v>131203</v>
      </c>
      <c r="B650" s="24" t="s">
        <v>3552</v>
      </c>
      <c r="C650" s="24">
        <v>131203</v>
      </c>
      <c r="D650" s="24" t="s">
        <v>595</v>
      </c>
    </row>
    <row r="651" spans="1:4">
      <c r="A651" s="24">
        <v>131204</v>
      </c>
      <c r="B651" s="24" t="s">
        <v>3552</v>
      </c>
      <c r="C651" s="24">
        <v>131204</v>
      </c>
      <c r="D651" s="24" t="s">
        <v>595</v>
      </c>
    </row>
    <row r="652" spans="1:4">
      <c r="A652" s="24">
        <v>131205</v>
      </c>
      <c r="B652" s="24" t="s">
        <v>3552</v>
      </c>
      <c r="C652" s="24">
        <v>131205</v>
      </c>
      <c r="D652" s="24" t="s">
        <v>595</v>
      </c>
    </row>
    <row r="653" spans="1:4">
      <c r="A653" s="24">
        <v>131301</v>
      </c>
      <c r="B653" s="24" t="s">
        <v>3553</v>
      </c>
      <c r="C653" s="24">
        <v>131301</v>
      </c>
      <c r="D653" s="24" t="s">
        <v>595</v>
      </c>
    </row>
    <row r="654" spans="1:4">
      <c r="A654" s="24">
        <v>131302</v>
      </c>
      <c r="B654" s="24" t="s">
        <v>3553</v>
      </c>
      <c r="C654" s="24">
        <v>131302</v>
      </c>
      <c r="D654" s="24" t="s">
        <v>595</v>
      </c>
    </row>
    <row r="655" spans="1:4">
      <c r="A655" s="24">
        <v>131303</v>
      </c>
      <c r="B655" s="24" t="s">
        <v>3553</v>
      </c>
      <c r="C655" s="24">
        <v>131303</v>
      </c>
      <c r="D655" s="24" t="s">
        <v>595</v>
      </c>
    </row>
    <row r="656" spans="1:4">
      <c r="A656" s="24">
        <v>131304</v>
      </c>
      <c r="B656" s="24" t="s">
        <v>3553</v>
      </c>
      <c r="C656" s="24">
        <v>131304</v>
      </c>
      <c r="D656" s="24" t="s">
        <v>595</v>
      </c>
    </row>
    <row r="657" spans="1:4">
      <c r="A657" s="24">
        <v>131305</v>
      </c>
      <c r="B657" s="24" t="s">
        <v>3553</v>
      </c>
      <c r="C657" s="24">
        <v>131305</v>
      </c>
      <c r="D657" s="24" t="s">
        <v>595</v>
      </c>
    </row>
    <row r="658" spans="1:4">
      <c r="A658" s="24">
        <v>131401</v>
      </c>
      <c r="B658" s="24" t="s">
        <v>25</v>
      </c>
      <c r="C658" s="24">
        <v>131401</v>
      </c>
      <c r="D658" s="24" t="s">
        <v>596</v>
      </c>
    </row>
    <row r="659" spans="1:4">
      <c r="A659" s="24">
        <v>131402</v>
      </c>
      <c r="B659" s="24" t="s">
        <v>25</v>
      </c>
      <c r="C659" s="24">
        <v>131402</v>
      </c>
      <c r="D659" s="24" t="s">
        <v>596</v>
      </c>
    </row>
    <row r="660" spans="1:4">
      <c r="A660" s="24">
        <v>131403</v>
      </c>
      <c r="B660" s="24" t="s">
        <v>25</v>
      </c>
      <c r="C660" s="24">
        <v>131403</v>
      </c>
      <c r="D660" s="24" t="s">
        <v>596</v>
      </c>
    </row>
    <row r="661" spans="1:4">
      <c r="A661" s="24">
        <v>131404</v>
      </c>
      <c r="B661" s="24" t="s">
        <v>25</v>
      </c>
      <c r="C661" s="24">
        <v>131404</v>
      </c>
      <c r="D661" s="24" t="s">
        <v>596</v>
      </c>
    </row>
    <row r="662" spans="1:4">
      <c r="A662" s="24">
        <v>131405</v>
      </c>
      <c r="B662" s="24" t="s">
        <v>25</v>
      </c>
      <c r="C662" s="24">
        <v>131405</v>
      </c>
      <c r="D662" s="24" t="s">
        <v>596</v>
      </c>
    </row>
    <row r="663" spans="1:4">
      <c r="A663" s="24">
        <v>131501</v>
      </c>
      <c r="B663" s="24" t="s">
        <v>2359</v>
      </c>
      <c r="C663" s="24">
        <v>131501</v>
      </c>
      <c r="D663" s="24" t="s">
        <v>595</v>
      </c>
    </row>
    <row r="664" spans="1:4">
      <c r="A664" s="24">
        <v>131502</v>
      </c>
      <c r="B664" s="24" t="s">
        <v>2359</v>
      </c>
      <c r="C664" s="24">
        <v>131502</v>
      </c>
      <c r="D664" s="24" t="s">
        <v>595</v>
      </c>
    </row>
    <row r="665" spans="1:4">
      <c r="A665" s="24">
        <v>131503</v>
      </c>
      <c r="B665" s="24" t="s">
        <v>2359</v>
      </c>
      <c r="C665" s="24">
        <v>131503</v>
      </c>
      <c r="D665" s="24" t="s">
        <v>595</v>
      </c>
    </row>
    <row r="666" spans="1:4">
      <c r="A666" s="24">
        <v>131504</v>
      </c>
      <c r="B666" s="24" t="s">
        <v>2359</v>
      </c>
      <c r="C666" s="24">
        <v>131504</v>
      </c>
      <c r="D666" s="24" t="s">
        <v>595</v>
      </c>
    </row>
    <row r="667" spans="1:4">
      <c r="A667" s="24">
        <v>131505</v>
      </c>
      <c r="B667" s="24" t="s">
        <v>2359</v>
      </c>
      <c r="C667" s="24">
        <v>131505</v>
      </c>
      <c r="D667" s="24" t="s">
        <v>595</v>
      </c>
    </row>
    <row r="668" spans="1:4">
      <c r="A668" s="116">
        <v>131601</v>
      </c>
      <c r="B668" s="116" t="s">
        <v>38</v>
      </c>
      <c r="C668" s="116">
        <v>131601</v>
      </c>
      <c r="D668" s="116" t="s">
        <v>594</v>
      </c>
    </row>
    <row r="669" spans="1:4">
      <c r="A669" s="116">
        <v>131602</v>
      </c>
      <c r="B669" s="116" t="s">
        <v>38</v>
      </c>
      <c r="C669" s="116">
        <v>131602</v>
      </c>
      <c r="D669" s="116" t="s">
        <v>594</v>
      </c>
    </row>
    <row r="670" spans="1:4">
      <c r="A670" s="116">
        <v>131603</v>
      </c>
      <c r="B670" s="116" t="s">
        <v>38</v>
      </c>
      <c r="C670" s="116">
        <v>131603</v>
      </c>
      <c r="D670" s="116" t="s">
        <v>594</v>
      </c>
    </row>
    <row r="671" spans="1:4">
      <c r="A671" s="116">
        <v>131604</v>
      </c>
      <c r="B671" s="116" t="s">
        <v>38</v>
      </c>
      <c r="C671" s="116">
        <v>131604</v>
      </c>
      <c r="D671" s="116" t="s">
        <v>594</v>
      </c>
    </row>
    <row r="672" spans="1:4">
      <c r="A672" s="116">
        <v>131605</v>
      </c>
      <c r="B672" s="116" t="s">
        <v>38</v>
      </c>
      <c r="C672" s="116">
        <v>131605</v>
      </c>
      <c r="D672" s="116" t="s">
        <v>594</v>
      </c>
    </row>
    <row r="673" spans="1:4">
      <c r="A673" s="24">
        <v>131701</v>
      </c>
      <c r="B673" s="24" t="s">
        <v>26</v>
      </c>
      <c r="C673" s="24">
        <v>131701</v>
      </c>
      <c r="D673" s="24" t="s">
        <v>595</v>
      </c>
    </row>
    <row r="674" spans="1:4">
      <c r="A674" s="24">
        <v>131702</v>
      </c>
      <c r="B674" s="24" t="s">
        <v>26</v>
      </c>
      <c r="C674" s="24">
        <v>131702</v>
      </c>
      <c r="D674" s="24" t="s">
        <v>595</v>
      </c>
    </row>
    <row r="675" spans="1:4">
      <c r="A675" s="24">
        <v>131703</v>
      </c>
      <c r="B675" s="24" t="s">
        <v>26</v>
      </c>
      <c r="C675" s="24">
        <v>131703</v>
      </c>
      <c r="D675" s="24" t="s">
        <v>595</v>
      </c>
    </row>
    <row r="676" spans="1:4">
      <c r="A676" s="24">
        <v>131704</v>
      </c>
      <c r="B676" s="24" t="s">
        <v>26</v>
      </c>
      <c r="C676" s="24">
        <v>131704</v>
      </c>
      <c r="D676" s="24" t="s">
        <v>595</v>
      </c>
    </row>
    <row r="677" spans="1:4">
      <c r="A677" s="24">
        <v>131705</v>
      </c>
      <c r="B677" s="24" t="s">
        <v>26</v>
      </c>
      <c r="C677" s="24">
        <v>131705</v>
      </c>
      <c r="D677" s="24" t="s">
        <v>595</v>
      </c>
    </row>
    <row r="678" spans="1:4">
      <c r="A678" s="24">
        <v>131801</v>
      </c>
      <c r="B678" s="24" t="s">
        <v>39</v>
      </c>
      <c r="C678" s="24">
        <v>131801</v>
      </c>
      <c r="D678" s="24" t="s">
        <v>595</v>
      </c>
    </row>
    <row r="679" spans="1:4">
      <c r="A679" s="24">
        <v>131802</v>
      </c>
      <c r="B679" s="24" t="s">
        <v>39</v>
      </c>
      <c r="C679" s="24">
        <v>131802</v>
      </c>
      <c r="D679" s="24" t="s">
        <v>595</v>
      </c>
    </row>
    <row r="680" spans="1:4">
      <c r="A680" s="24">
        <v>131803</v>
      </c>
      <c r="B680" s="24" t="s">
        <v>39</v>
      </c>
      <c r="C680" s="24">
        <v>131803</v>
      </c>
      <c r="D680" s="24" t="s">
        <v>595</v>
      </c>
    </row>
    <row r="681" spans="1:4">
      <c r="A681" s="24">
        <v>131804</v>
      </c>
      <c r="B681" s="24" t="s">
        <v>39</v>
      </c>
      <c r="C681" s="24">
        <v>131804</v>
      </c>
      <c r="D681" s="24" t="s">
        <v>595</v>
      </c>
    </row>
    <row r="682" spans="1:4">
      <c r="A682" s="24">
        <v>131805</v>
      </c>
      <c r="B682" s="24" t="s">
        <v>39</v>
      </c>
      <c r="C682" s="24">
        <v>131805</v>
      </c>
      <c r="D682" s="24" t="s">
        <v>595</v>
      </c>
    </row>
    <row r="683" spans="1:4">
      <c r="A683" s="116">
        <v>131901</v>
      </c>
      <c r="B683" s="116" t="s">
        <v>40</v>
      </c>
      <c r="C683" s="116">
        <v>131901</v>
      </c>
      <c r="D683" s="116" t="s">
        <v>594</v>
      </c>
    </row>
    <row r="684" spans="1:4">
      <c r="A684" s="116">
        <v>131902</v>
      </c>
      <c r="B684" s="116" t="s">
        <v>40</v>
      </c>
      <c r="C684" s="116">
        <v>131902</v>
      </c>
      <c r="D684" s="116" t="s">
        <v>594</v>
      </c>
    </row>
    <row r="685" spans="1:4">
      <c r="A685" s="116">
        <v>131903</v>
      </c>
      <c r="B685" s="116" t="s">
        <v>40</v>
      </c>
      <c r="C685" s="116">
        <v>131903</v>
      </c>
      <c r="D685" s="116" t="s">
        <v>594</v>
      </c>
    </row>
    <row r="686" spans="1:4">
      <c r="A686" s="116">
        <v>131904</v>
      </c>
      <c r="B686" s="116" t="s">
        <v>40</v>
      </c>
      <c r="C686" s="116">
        <v>131904</v>
      </c>
      <c r="D686" s="116" t="s">
        <v>594</v>
      </c>
    </row>
    <row r="687" spans="1:4">
      <c r="A687" s="116">
        <v>131905</v>
      </c>
      <c r="B687" s="116" t="s">
        <v>40</v>
      </c>
      <c r="C687" s="116">
        <v>131905</v>
      </c>
      <c r="D687" s="116" t="s">
        <v>594</v>
      </c>
    </row>
    <row r="688" spans="1:4">
      <c r="A688" s="24">
        <v>132001</v>
      </c>
      <c r="B688" s="24" t="s">
        <v>41</v>
      </c>
      <c r="C688" s="24">
        <v>132001</v>
      </c>
      <c r="D688" s="24" t="s">
        <v>593</v>
      </c>
    </row>
    <row r="689" spans="1:4">
      <c r="A689" s="24">
        <v>132002</v>
      </c>
      <c r="B689" s="24" t="s">
        <v>41</v>
      </c>
      <c r="C689" s="24">
        <v>132002</v>
      </c>
      <c r="D689" s="24" t="s">
        <v>593</v>
      </c>
    </row>
    <row r="690" spans="1:4">
      <c r="A690" s="24">
        <v>132003</v>
      </c>
      <c r="B690" s="24" t="s">
        <v>41</v>
      </c>
      <c r="C690" s="24">
        <v>132003</v>
      </c>
      <c r="D690" s="24" t="s">
        <v>593</v>
      </c>
    </row>
    <row r="691" spans="1:4">
      <c r="A691" s="24">
        <v>132004</v>
      </c>
      <c r="B691" s="24" t="s">
        <v>41</v>
      </c>
      <c r="C691" s="24">
        <v>132004</v>
      </c>
      <c r="D691" s="24" t="s">
        <v>593</v>
      </c>
    </row>
    <row r="692" spans="1:4">
      <c r="A692" s="24">
        <v>132005</v>
      </c>
      <c r="B692" s="24" t="s">
        <v>41</v>
      </c>
      <c r="C692" s="24">
        <v>132005</v>
      </c>
      <c r="D692" s="24" t="s">
        <v>593</v>
      </c>
    </row>
    <row r="693" spans="1:4">
      <c r="A693" s="24">
        <v>132101</v>
      </c>
      <c r="B693" s="24" t="s">
        <v>42</v>
      </c>
      <c r="C693" s="24">
        <v>132101</v>
      </c>
      <c r="D693" s="24" t="s">
        <v>594</v>
      </c>
    </row>
    <row r="694" spans="1:4">
      <c r="A694" s="24">
        <v>132102</v>
      </c>
      <c r="B694" s="24" t="s">
        <v>42</v>
      </c>
      <c r="C694" s="24">
        <v>132102</v>
      </c>
      <c r="D694" s="24" t="s">
        <v>594</v>
      </c>
    </row>
    <row r="695" spans="1:4">
      <c r="A695" s="24">
        <v>132103</v>
      </c>
      <c r="B695" s="24" t="s">
        <v>42</v>
      </c>
      <c r="C695" s="24">
        <v>132103</v>
      </c>
      <c r="D695" s="24" t="s">
        <v>594</v>
      </c>
    </row>
    <row r="696" spans="1:4">
      <c r="A696" s="24">
        <v>132104</v>
      </c>
      <c r="B696" s="24" t="s">
        <v>42</v>
      </c>
      <c r="C696" s="24">
        <v>132104</v>
      </c>
      <c r="D696" s="24" t="s">
        <v>594</v>
      </c>
    </row>
    <row r="697" spans="1:4">
      <c r="A697" s="24">
        <v>132105</v>
      </c>
      <c r="B697" s="24" t="s">
        <v>42</v>
      </c>
      <c r="C697" s="24">
        <v>132105</v>
      </c>
      <c r="D697" s="24" t="s">
        <v>594</v>
      </c>
    </row>
    <row r="698" spans="1:4">
      <c r="A698" s="24">
        <v>132201</v>
      </c>
      <c r="B698" s="24" t="s">
        <v>43</v>
      </c>
      <c r="C698" s="24">
        <v>132201</v>
      </c>
      <c r="D698" s="24" t="s">
        <v>593</v>
      </c>
    </row>
    <row r="699" spans="1:4">
      <c r="A699" s="24">
        <v>132202</v>
      </c>
      <c r="B699" s="24" t="s">
        <v>43</v>
      </c>
      <c r="C699" s="24">
        <v>132202</v>
      </c>
      <c r="D699" s="24" t="s">
        <v>593</v>
      </c>
    </row>
    <row r="700" spans="1:4">
      <c r="A700" s="24">
        <v>132203</v>
      </c>
      <c r="B700" s="24" t="s">
        <v>43</v>
      </c>
      <c r="C700" s="24">
        <v>132203</v>
      </c>
      <c r="D700" s="24" t="s">
        <v>593</v>
      </c>
    </row>
    <row r="701" spans="1:4">
      <c r="A701" s="24">
        <v>132204</v>
      </c>
      <c r="B701" s="24" t="s">
        <v>43</v>
      </c>
      <c r="C701" s="24">
        <v>132204</v>
      </c>
      <c r="D701" s="24" t="s">
        <v>593</v>
      </c>
    </row>
    <row r="702" spans="1:4">
      <c r="A702" s="24">
        <v>132205</v>
      </c>
      <c r="B702" s="24" t="s">
        <v>43</v>
      </c>
      <c r="C702" s="24">
        <v>132205</v>
      </c>
      <c r="D702" s="24" t="s">
        <v>593</v>
      </c>
    </row>
    <row r="703" spans="1:4">
      <c r="A703" s="24">
        <v>132301</v>
      </c>
      <c r="B703" s="24" t="s">
        <v>44</v>
      </c>
      <c r="C703" s="24">
        <v>132301</v>
      </c>
      <c r="D703" s="24" t="s">
        <v>594</v>
      </c>
    </row>
    <row r="704" spans="1:4">
      <c r="A704" s="24">
        <v>132302</v>
      </c>
      <c r="B704" s="24" t="s">
        <v>44</v>
      </c>
      <c r="C704" s="24">
        <v>132302</v>
      </c>
      <c r="D704" s="24" t="s">
        <v>594</v>
      </c>
    </row>
    <row r="705" spans="1:4">
      <c r="A705" s="24">
        <v>132303</v>
      </c>
      <c r="B705" s="24" t="s">
        <v>44</v>
      </c>
      <c r="C705" s="24">
        <v>132303</v>
      </c>
      <c r="D705" s="24" t="s">
        <v>594</v>
      </c>
    </row>
    <row r="706" spans="1:4">
      <c r="A706" s="24">
        <v>132304</v>
      </c>
      <c r="B706" s="24" t="s">
        <v>44</v>
      </c>
      <c r="C706" s="24">
        <v>132304</v>
      </c>
      <c r="D706" s="24" t="s">
        <v>594</v>
      </c>
    </row>
    <row r="707" spans="1:4">
      <c r="A707" s="24">
        <v>132305</v>
      </c>
      <c r="B707" s="24" t="s">
        <v>44</v>
      </c>
      <c r="C707" s="24">
        <v>132305</v>
      </c>
      <c r="D707" s="24" t="s">
        <v>594</v>
      </c>
    </row>
    <row r="708" spans="1:4">
      <c r="A708" s="24">
        <v>132401</v>
      </c>
      <c r="B708" s="24" t="s">
        <v>45</v>
      </c>
      <c r="C708" s="24">
        <v>132401</v>
      </c>
      <c r="D708" s="24" t="s">
        <v>594</v>
      </c>
    </row>
    <row r="709" spans="1:4">
      <c r="A709" s="24">
        <v>132402</v>
      </c>
      <c r="B709" s="24" t="s">
        <v>45</v>
      </c>
      <c r="C709" s="24">
        <v>132402</v>
      </c>
      <c r="D709" s="24" t="s">
        <v>594</v>
      </c>
    </row>
    <row r="710" spans="1:4">
      <c r="A710" s="24">
        <v>132403</v>
      </c>
      <c r="B710" s="24" t="s">
        <v>45</v>
      </c>
      <c r="C710" s="24">
        <v>132403</v>
      </c>
      <c r="D710" s="24" t="s">
        <v>594</v>
      </c>
    </row>
    <row r="711" spans="1:4">
      <c r="A711" s="24">
        <v>132404</v>
      </c>
      <c r="B711" s="24" t="s">
        <v>45</v>
      </c>
      <c r="C711" s="24">
        <v>132404</v>
      </c>
      <c r="D711" s="24" t="s">
        <v>594</v>
      </c>
    </row>
    <row r="712" spans="1:4">
      <c r="A712" s="24">
        <v>132405</v>
      </c>
      <c r="B712" s="24" t="s">
        <v>45</v>
      </c>
      <c r="C712" s="24">
        <v>132405</v>
      </c>
      <c r="D712" s="24" t="s">
        <v>594</v>
      </c>
    </row>
    <row r="713" spans="1:4">
      <c r="A713" s="24">
        <v>132501</v>
      </c>
      <c r="B713" s="24" t="s">
        <v>46</v>
      </c>
      <c r="C713" s="24">
        <v>132501</v>
      </c>
      <c r="D713" s="24" t="s">
        <v>592</v>
      </c>
    </row>
    <row r="714" spans="1:4">
      <c r="A714" s="24">
        <v>132502</v>
      </c>
      <c r="B714" s="24" t="s">
        <v>46</v>
      </c>
      <c r="C714" s="24">
        <v>132502</v>
      </c>
      <c r="D714" s="24" t="s">
        <v>592</v>
      </c>
    </row>
    <row r="715" spans="1:4">
      <c r="A715" s="24">
        <v>132503</v>
      </c>
      <c r="B715" s="24" t="s">
        <v>46</v>
      </c>
      <c r="C715" s="24">
        <v>132503</v>
      </c>
      <c r="D715" s="24" t="s">
        <v>592</v>
      </c>
    </row>
    <row r="716" spans="1:4">
      <c r="A716" s="24">
        <v>132504</v>
      </c>
      <c r="B716" s="24" t="s">
        <v>46</v>
      </c>
      <c r="C716" s="24">
        <v>132504</v>
      </c>
      <c r="D716" s="24" t="s">
        <v>592</v>
      </c>
    </row>
    <row r="717" spans="1:4">
      <c r="A717" s="24">
        <v>132505</v>
      </c>
      <c r="B717" s="24" t="s">
        <v>46</v>
      </c>
      <c r="C717" s="24">
        <v>132505</v>
      </c>
      <c r="D717" s="24" t="s">
        <v>592</v>
      </c>
    </row>
    <row r="718" spans="1:4">
      <c r="A718" s="24">
        <v>132601</v>
      </c>
      <c r="B718" s="24" t="s">
        <v>47</v>
      </c>
      <c r="C718" s="24">
        <v>132601</v>
      </c>
      <c r="D718" s="24" t="s">
        <v>592</v>
      </c>
    </row>
    <row r="719" spans="1:4">
      <c r="A719" s="24">
        <v>132602</v>
      </c>
      <c r="B719" s="24" t="s">
        <v>47</v>
      </c>
      <c r="C719" s="24">
        <v>132602</v>
      </c>
      <c r="D719" s="24" t="s">
        <v>592</v>
      </c>
    </row>
    <row r="720" spans="1:4">
      <c r="A720" s="24">
        <v>132603</v>
      </c>
      <c r="B720" s="24" t="s">
        <v>47</v>
      </c>
      <c r="C720" s="24">
        <v>132603</v>
      </c>
      <c r="D720" s="24" t="s">
        <v>592</v>
      </c>
    </row>
    <row r="721" spans="1:4">
      <c r="A721" s="24">
        <v>132604</v>
      </c>
      <c r="B721" s="24" t="s">
        <v>47</v>
      </c>
      <c r="C721" s="24">
        <v>132604</v>
      </c>
      <c r="D721" s="24" t="s">
        <v>592</v>
      </c>
    </row>
    <row r="722" spans="1:4">
      <c r="A722" s="24">
        <v>132605</v>
      </c>
      <c r="B722" s="24" t="s">
        <v>47</v>
      </c>
      <c r="C722" s="24">
        <v>132605</v>
      </c>
      <c r="D722" s="24" t="s">
        <v>592</v>
      </c>
    </row>
    <row r="723" spans="1:4">
      <c r="A723" s="24">
        <v>132701</v>
      </c>
      <c r="B723" s="24" t="s">
        <v>3554</v>
      </c>
      <c r="C723" s="24">
        <v>132701</v>
      </c>
      <c r="D723" s="24" t="s">
        <v>596</v>
      </c>
    </row>
    <row r="724" spans="1:4">
      <c r="A724" s="24">
        <v>132702</v>
      </c>
      <c r="B724" s="24" t="s">
        <v>3554</v>
      </c>
      <c r="C724" s="24">
        <v>132702</v>
      </c>
      <c r="D724" s="24" t="s">
        <v>596</v>
      </c>
    </row>
    <row r="725" spans="1:4">
      <c r="A725" s="24">
        <v>132703</v>
      </c>
      <c r="B725" s="24" t="s">
        <v>3554</v>
      </c>
      <c r="C725" s="24">
        <v>132703</v>
      </c>
      <c r="D725" s="24" t="s">
        <v>596</v>
      </c>
    </row>
    <row r="726" spans="1:4">
      <c r="A726" s="24">
        <v>132704</v>
      </c>
      <c r="B726" s="24" t="s">
        <v>3554</v>
      </c>
      <c r="C726" s="24">
        <v>132704</v>
      </c>
      <c r="D726" s="24" t="s">
        <v>596</v>
      </c>
    </row>
    <row r="727" spans="1:4">
      <c r="A727" s="24">
        <v>132705</v>
      </c>
      <c r="B727" s="24" t="s">
        <v>3554</v>
      </c>
      <c r="C727" s="24">
        <v>132705</v>
      </c>
      <c r="D727" s="24" t="s">
        <v>596</v>
      </c>
    </row>
    <row r="728" spans="1:4">
      <c r="A728" s="24">
        <v>132801</v>
      </c>
      <c r="B728" s="24" t="s">
        <v>48</v>
      </c>
      <c r="C728" s="24">
        <v>132801</v>
      </c>
      <c r="D728" s="24" t="s">
        <v>592</v>
      </c>
    </row>
    <row r="729" spans="1:4">
      <c r="A729" s="24">
        <v>132802</v>
      </c>
      <c r="B729" s="24" t="s">
        <v>48</v>
      </c>
      <c r="C729" s="24">
        <v>132802</v>
      </c>
      <c r="D729" s="24" t="s">
        <v>592</v>
      </c>
    </row>
    <row r="730" spans="1:4">
      <c r="A730" s="24">
        <v>132803</v>
      </c>
      <c r="B730" s="24" t="s">
        <v>48</v>
      </c>
      <c r="C730" s="24">
        <v>132803</v>
      </c>
      <c r="D730" s="24" t="s">
        <v>592</v>
      </c>
    </row>
    <row r="731" spans="1:4">
      <c r="A731" s="24">
        <v>132804</v>
      </c>
      <c r="B731" s="24" t="s">
        <v>3555</v>
      </c>
      <c r="C731" s="24">
        <v>132804</v>
      </c>
      <c r="D731" s="24" t="s">
        <v>592</v>
      </c>
    </row>
    <row r="732" spans="1:4">
      <c r="A732" s="24">
        <v>132805</v>
      </c>
      <c r="B732" s="24" t="s">
        <v>48</v>
      </c>
      <c r="C732" s="24">
        <v>132805</v>
      </c>
      <c r="D732" s="24" t="s">
        <v>592</v>
      </c>
    </row>
    <row r="733" spans="1:4">
      <c r="A733" s="24">
        <v>132901</v>
      </c>
      <c r="B733" s="24" t="s">
        <v>49</v>
      </c>
      <c r="C733" s="24">
        <v>132901</v>
      </c>
      <c r="D733" s="24" t="s">
        <v>594</v>
      </c>
    </row>
    <row r="734" spans="1:4">
      <c r="A734" s="24">
        <v>132902</v>
      </c>
      <c r="B734" s="24" t="s">
        <v>49</v>
      </c>
      <c r="C734" s="24">
        <v>132902</v>
      </c>
      <c r="D734" s="24" t="s">
        <v>594</v>
      </c>
    </row>
    <row r="735" spans="1:4">
      <c r="A735" s="24">
        <v>132903</v>
      </c>
      <c r="B735" s="24" t="s">
        <v>49</v>
      </c>
      <c r="C735" s="24">
        <v>132903</v>
      </c>
      <c r="D735" s="24" t="s">
        <v>594</v>
      </c>
    </row>
    <row r="736" spans="1:4">
      <c r="A736" s="24">
        <v>132904</v>
      </c>
      <c r="B736" s="24" t="s">
        <v>49</v>
      </c>
      <c r="C736" s="24">
        <v>132904</v>
      </c>
      <c r="D736" s="24" t="s">
        <v>594</v>
      </c>
    </row>
    <row r="737" spans="1:4">
      <c r="A737" s="24">
        <v>132905</v>
      </c>
      <c r="B737" s="24" t="s">
        <v>49</v>
      </c>
      <c r="C737" s="24">
        <v>132905</v>
      </c>
      <c r="D737" s="24" t="s">
        <v>594</v>
      </c>
    </row>
    <row r="738" spans="1:4">
      <c r="A738" s="24">
        <v>133001</v>
      </c>
      <c r="B738" s="24" t="s">
        <v>27</v>
      </c>
      <c r="C738" s="24">
        <v>133001</v>
      </c>
      <c r="D738" s="24" t="s">
        <v>593</v>
      </c>
    </row>
    <row r="739" spans="1:4">
      <c r="A739" s="24">
        <v>133002</v>
      </c>
      <c r="B739" s="24" t="s">
        <v>27</v>
      </c>
      <c r="C739" s="24">
        <v>133002</v>
      </c>
      <c r="D739" s="24" t="s">
        <v>593</v>
      </c>
    </row>
    <row r="740" spans="1:4">
      <c r="A740" s="24">
        <v>133003</v>
      </c>
      <c r="B740" s="24" t="s">
        <v>27</v>
      </c>
      <c r="C740" s="24">
        <v>133003</v>
      </c>
      <c r="D740" s="24" t="s">
        <v>593</v>
      </c>
    </row>
    <row r="741" spans="1:4">
      <c r="A741" s="24">
        <v>133004</v>
      </c>
      <c r="B741" s="24" t="s">
        <v>27</v>
      </c>
      <c r="C741" s="24">
        <v>133004</v>
      </c>
      <c r="D741" s="24" t="s">
        <v>593</v>
      </c>
    </row>
    <row r="742" spans="1:4">
      <c r="A742" s="24">
        <v>133005</v>
      </c>
      <c r="B742" s="24" t="s">
        <v>27</v>
      </c>
      <c r="C742" s="24">
        <v>133005</v>
      </c>
      <c r="D742" s="24" t="s">
        <v>593</v>
      </c>
    </row>
    <row r="743" spans="1:4">
      <c r="A743" s="24">
        <v>133101</v>
      </c>
      <c r="B743" s="24" t="s">
        <v>2360</v>
      </c>
      <c r="C743" s="24">
        <v>133101</v>
      </c>
      <c r="D743" s="24" t="s">
        <v>596</v>
      </c>
    </row>
    <row r="744" spans="1:4">
      <c r="A744" s="24">
        <v>133102</v>
      </c>
      <c r="B744" s="24" t="s">
        <v>50</v>
      </c>
      <c r="C744" s="24">
        <v>133102</v>
      </c>
      <c r="D744" s="24" t="s">
        <v>596</v>
      </c>
    </row>
    <row r="745" spans="1:4">
      <c r="A745" s="24">
        <v>133103</v>
      </c>
      <c r="B745" s="24" t="s">
        <v>50</v>
      </c>
      <c r="C745" s="24">
        <v>133103</v>
      </c>
      <c r="D745" s="24" t="s">
        <v>596</v>
      </c>
    </row>
    <row r="746" spans="1:4">
      <c r="A746" s="24">
        <v>133104</v>
      </c>
      <c r="B746" s="24" t="s">
        <v>50</v>
      </c>
      <c r="C746" s="24">
        <v>133104</v>
      </c>
      <c r="D746" s="24" t="s">
        <v>596</v>
      </c>
    </row>
    <row r="747" spans="1:4">
      <c r="A747" s="24">
        <v>133105</v>
      </c>
      <c r="B747" s="24" t="s">
        <v>50</v>
      </c>
      <c r="C747" s="24">
        <v>133105</v>
      </c>
      <c r="D747" s="24" t="s">
        <v>596</v>
      </c>
    </row>
    <row r="748" spans="1:4">
      <c r="A748" s="24">
        <v>133201</v>
      </c>
      <c r="B748" s="24" t="s">
        <v>1233</v>
      </c>
      <c r="C748" s="24">
        <v>133201</v>
      </c>
      <c r="D748" s="24" t="s">
        <v>593</v>
      </c>
    </row>
    <row r="749" spans="1:4">
      <c r="A749" s="24">
        <v>133202</v>
      </c>
      <c r="B749" s="24" t="s">
        <v>1233</v>
      </c>
      <c r="C749" s="24">
        <v>133202</v>
      </c>
      <c r="D749" s="24" t="s">
        <v>593</v>
      </c>
    </row>
    <row r="750" spans="1:4">
      <c r="A750" s="24">
        <v>133203</v>
      </c>
      <c r="B750" s="24" t="s">
        <v>1233</v>
      </c>
      <c r="C750" s="24">
        <v>133203</v>
      </c>
      <c r="D750" s="24" t="s">
        <v>593</v>
      </c>
    </row>
    <row r="751" spans="1:4">
      <c r="A751" s="24">
        <v>133204</v>
      </c>
      <c r="B751" s="24" t="s">
        <v>1233</v>
      </c>
      <c r="C751" s="24">
        <v>133204</v>
      </c>
      <c r="D751" s="24" t="s">
        <v>593</v>
      </c>
    </row>
    <row r="752" spans="1:4">
      <c r="A752" s="24">
        <v>133205</v>
      </c>
      <c r="B752" s="24" t="s">
        <v>1233</v>
      </c>
      <c r="C752" s="24">
        <v>133205</v>
      </c>
      <c r="D752" s="24" t="s">
        <v>593</v>
      </c>
    </row>
    <row r="753" spans="1:4">
      <c r="A753" s="24">
        <v>133301</v>
      </c>
      <c r="B753" s="24" t="s">
        <v>51</v>
      </c>
      <c r="C753" s="24">
        <v>133301</v>
      </c>
      <c r="D753" s="24" t="s">
        <v>596</v>
      </c>
    </row>
    <row r="754" spans="1:4">
      <c r="A754" s="24">
        <v>133302</v>
      </c>
      <c r="B754" s="24" t="s">
        <v>51</v>
      </c>
      <c r="C754" s="24">
        <v>133302</v>
      </c>
      <c r="D754" s="24" t="s">
        <v>596</v>
      </c>
    </row>
    <row r="755" spans="1:4">
      <c r="A755" s="24">
        <v>133303</v>
      </c>
      <c r="B755" s="24" t="s">
        <v>51</v>
      </c>
      <c r="C755" s="24">
        <v>133303</v>
      </c>
      <c r="D755" s="24" t="s">
        <v>596</v>
      </c>
    </row>
    <row r="756" spans="1:4">
      <c r="A756" s="24">
        <v>133304</v>
      </c>
      <c r="B756" s="24" t="s">
        <v>51</v>
      </c>
      <c r="C756" s="24">
        <v>133304</v>
      </c>
      <c r="D756" s="24" t="s">
        <v>596</v>
      </c>
    </row>
    <row r="757" spans="1:4">
      <c r="A757" s="24">
        <v>133305</v>
      </c>
      <c r="B757" s="24" t="s">
        <v>51</v>
      </c>
      <c r="C757" s="24">
        <v>133305</v>
      </c>
      <c r="D757" s="24" t="s">
        <v>596</v>
      </c>
    </row>
    <row r="758" spans="1:4">
      <c r="A758" s="24">
        <v>133401</v>
      </c>
      <c r="B758" s="24" t="s">
        <v>3556</v>
      </c>
      <c r="C758" s="24">
        <v>133401</v>
      </c>
      <c r="D758" s="24" t="s">
        <v>596</v>
      </c>
    </row>
    <row r="759" spans="1:4">
      <c r="A759" s="24">
        <v>133402</v>
      </c>
      <c r="B759" s="24" t="s">
        <v>52</v>
      </c>
      <c r="C759" s="24">
        <v>133402</v>
      </c>
      <c r="D759" s="24" t="s">
        <v>596</v>
      </c>
    </row>
    <row r="760" spans="1:4">
      <c r="A760" s="24">
        <v>133403</v>
      </c>
      <c r="B760" s="24" t="s">
        <v>52</v>
      </c>
      <c r="C760" s="24">
        <v>133403</v>
      </c>
      <c r="D760" s="24" t="s">
        <v>596</v>
      </c>
    </row>
    <row r="761" spans="1:4">
      <c r="A761" s="24">
        <v>133404</v>
      </c>
      <c r="B761" s="24" t="s">
        <v>52</v>
      </c>
      <c r="C761" s="24">
        <v>133404</v>
      </c>
      <c r="D761" s="24" t="s">
        <v>596</v>
      </c>
    </row>
    <row r="762" spans="1:4">
      <c r="A762" s="24">
        <v>133405</v>
      </c>
      <c r="B762" s="24" t="s">
        <v>52</v>
      </c>
      <c r="C762" s="24">
        <v>133405</v>
      </c>
      <c r="D762" s="24" t="s">
        <v>596</v>
      </c>
    </row>
    <row r="763" spans="1:4">
      <c r="A763" s="24">
        <v>133501</v>
      </c>
      <c r="B763" s="24" t="s">
        <v>3557</v>
      </c>
      <c r="C763" s="24">
        <v>133501</v>
      </c>
      <c r="D763" s="24" t="s">
        <v>594</v>
      </c>
    </row>
    <row r="764" spans="1:4">
      <c r="A764" s="24">
        <v>133502</v>
      </c>
      <c r="B764" s="24" t="s">
        <v>3557</v>
      </c>
      <c r="C764" s="24">
        <v>133502</v>
      </c>
      <c r="D764" s="24" t="s">
        <v>594</v>
      </c>
    </row>
    <row r="765" spans="1:4">
      <c r="A765" s="24">
        <v>133503</v>
      </c>
      <c r="B765" s="24" t="s">
        <v>3557</v>
      </c>
      <c r="C765" s="24">
        <v>133503</v>
      </c>
      <c r="D765" s="24" t="s">
        <v>594</v>
      </c>
    </row>
    <row r="766" spans="1:4">
      <c r="A766" s="24">
        <v>133504</v>
      </c>
      <c r="B766" s="24" t="s">
        <v>3557</v>
      </c>
      <c r="C766" s="24">
        <v>133504</v>
      </c>
      <c r="D766" s="24" t="s">
        <v>594</v>
      </c>
    </row>
    <row r="767" spans="1:4">
      <c r="A767" s="24">
        <v>133505</v>
      </c>
      <c r="B767" s="24" t="s">
        <v>3557</v>
      </c>
      <c r="C767" s="24">
        <v>133505</v>
      </c>
      <c r="D767" s="24" t="s">
        <v>594</v>
      </c>
    </row>
    <row r="768" spans="1:4">
      <c r="A768" s="24">
        <v>133601</v>
      </c>
      <c r="B768" s="24" t="s">
        <v>2361</v>
      </c>
      <c r="C768" s="24">
        <v>133601</v>
      </c>
      <c r="D768" s="24" t="s">
        <v>594</v>
      </c>
    </row>
    <row r="769" spans="1:4">
      <c r="A769" s="24">
        <v>133602</v>
      </c>
      <c r="B769" s="24" t="s">
        <v>2361</v>
      </c>
      <c r="C769" s="24">
        <v>133602</v>
      </c>
      <c r="D769" s="24" t="s">
        <v>594</v>
      </c>
    </row>
    <row r="770" spans="1:4">
      <c r="A770" s="24">
        <v>133603</v>
      </c>
      <c r="B770" s="24" t="s">
        <v>2361</v>
      </c>
      <c r="C770" s="24">
        <v>133603</v>
      </c>
      <c r="D770" s="24" t="s">
        <v>594</v>
      </c>
    </row>
    <row r="771" spans="1:4">
      <c r="A771" s="24">
        <v>133604</v>
      </c>
      <c r="B771" s="24" t="s">
        <v>2361</v>
      </c>
      <c r="C771" s="24">
        <v>133604</v>
      </c>
      <c r="D771" s="24" t="s">
        <v>594</v>
      </c>
    </row>
    <row r="772" spans="1:4">
      <c r="A772" s="24">
        <v>133605</v>
      </c>
      <c r="B772" s="24" t="s">
        <v>2361</v>
      </c>
      <c r="C772" s="24">
        <v>133605</v>
      </c>
      <c r="D772" s="24" t="s">
        <v>594</v>
      </c>
    </row>
    <row r="773" spans="1:4">
      <c r="A773" s="24">
        <v>133701</v>
      </c>
      <c r="B773" s="24" t="s">
        <v>53</v>
      </c>
      <c r="C773" s="24">
        <v>133701</v>
      </c>
      <c r="D773" s="24" t="s">
        <v>593</v>
      </c>
    </row>
    <row r="774" spans="1:4">
      <c r="A774" s="24">
        <v>133702</v>
      </c>
      <c r="B774" s="24" t="s">
        <v>53</v>
      </c>
      <c r="C774" s="24">
        <v>133702</v>
      </c>
      <c r="D774" s="24" t="s">
        <v>593</v>
      </c>
    </row>
    <row r="775" spans="1:4">
      <c r="A775" s="24">
        <v>133703</v>
      </c>
      <c r="B775" s="24" t="s">
        <v>53</v>
      </c>
      <c r="C775" s="24">
        <v>133703</v>
      </c>
      <c r="D775" s="24" t="s">
        <v>593</v>
      </c>
    </row>
    <row r="776" spans="1:4">
      <c r="A776" s="24">
        <v>133704</v>
      </c>
      <c r="B776" s="24" t="s">
        <v>53</v>
      </c>
      <c r="C776" s="24">
        <v>133704</v>
      </c>
      <c r="D776" s="24" t="s">
        <v>593</v>
      </c>
    </row>
    <row r="777" spans="1:4">
      <c r="A777" s="24">
        <v>133705</v>
      </c>
      <c r="B777" s="24" t="s">
        <v>53</v>
      </c>
      <c r="C777" s="24">
        <v>133705</v>
      </c>
      <c r="D777" s="24" t="s">
        <v>593</v>
      </c>
    </row>
    <row r="778" spans="1:4">
      <c r="A778" s="24">
        <v>133801</v>
      </c>
      <c r="B778" s="24" t="s">
        <v>54</v>
      </c>
      <c r="C778" s="24">
        <v>133801</v>
      </c>
      <c r="D778" s="24" t="s">
        <v>596</v>
      </c>
    </row>
    <row r="779" spans="1:4">
      <c r="A779" s="24">
        <v>133802</v>
      </c>
      <c r="B779" s="24" t="s">
        <v>54</v>
      </c>
      <c r="C779" s="24">
        <v>133802</v>
      </c>
      <c r="D779" s="24" t="s">
        <v>596</v>
      </c>
    </row>
    <row r="780" spans="1:4">
      <c r="A780" s="24">
        <v>133803</v>
      </c>
      <c r="B780" s="24" t="s">
        <v>54</v>
      </c>
      <c r="C780" s="24">
        <v>133803</v>
      </c>
      <c r="D780" s="24" t="s">
        <v>596</v>
      </c>
    </row>
    <row r="781" spans="1:4">
      <c r="A781" s="24">
        <v>133804</v>
      </c>
      <c r="B781" s="24" t="s">
        <v>54</v>
      </c>
      <c r="C781" s="24">
        <v>133804</v>
      </c>
      <c r="D781" s="24" t="s">
        <v>596</v>
      </c>
    </row>
    <row r="782" spans="1:4">
      <c r="A782" s="24">
        <v>133805</v>
      </c>
      <c r="B782" s="24" t="s">
        <v>54</v>
      </c>
      <c r="C782" s="24">
        <v>133805</v>
      </c>
      <c r="D782" s="24" t="s">
        <v>596</v>
      </c>
    </row>
    <row r="783" spans="1:4">
      <c r="A783" s="24">
        <v>133901</v>
      </c>
      <c r="B783" s="24" t="s">
        <v>55</v>
      </c>
      <c r="C783" s="24">
        <v>133901</v>
      </c>
      <c r="D783" s="24" t="s">
        <v>595</v>
      </c>
    </row>
    <row r="784" spans="1:4">
      <c r="A784" s="24">
        <v>133902</v>
      </c>
      <c r="B784" s="24" t="s">
        <v>55</v>
      </c>
      <c r="C784" s="24">
        <v>133902</v>
      </c>
      <c r="D784" s="24" t="s">
        <v>595</v>
      </c>
    </row>
    <row r="785" spans="1:4">
      <c r="A785" s="24">
        <v>133903</v>
      </c>
      <c r="B785" s="24" t="s">
        <v>55</v>
      </c>
      <c r="C785" s="24">
        <v>133903</v>
      </c>
      <c r="D785" s="24" t="s">
        <v>595</v>
      </c>
    </row>
    <row r="786" spans="1:4">
      <c r="A786" s="24">
        <v>133904</v>
      </c>
      <c r="B786" s="24" t="s">
        <v>55</v>
      </c>
      <c r="C786" s="24">
        <v>133904</v>
      </c>
      <c r="D786" s="24" t="s">
        <v>595</v>
      </c>
    </row>
    <row r="787" spans="1:4">
      <c r="A787" s="24">
        <v>133905</v>
      </c>
      <c r="B787" s="24" t="s">
        <v>55</v>
      </c>
      <c r="C787" s="24">
        <v>133905</v>
      </c>
      <c r="D787" s="24" t="s">
        <v>595</v>
      </c>
    </row>
    <row r="788" spans="1:4">
      <c r="A788" s="24">
        <v>134001</v>
      </c>
      <c r="B788" s="24" t="s">
        <v>2362</v>
      </c>
      <c r="C788" s="24">
        <v>134001</v>
      </c>
      <c r="D788" s="24" t="s">
        <v>593</v>
      </c>
    </row>
    <row r="789" spans="1:4">
      <c r="A789" s="24">
        <v>134002</v>
      </c>
      <c r="B789" s="24" t="s">
        <v>2362</v>
      </c>
      <c r="C789" s="24">
        <v>134002</v>
      </c>
      <c r="D789" s="24" t="s">
        <v>593</v>
      </c>
    </row>
    <row r="790" spans="1:4">
      <c r="A790" s="24">
        <v>134003</v>
      </c>
      <c r="B790" s="24" t="s">
        <v>2362</v>
      </c>
      <c r="C790" s="24">
        <v>134003</v>
      </c>
      <c r="D790" s="24" t="s">
        <v>593</v>
      </c>
    </row>
    <row r="791" spans="1:4">
      <c r="A791" s="24">
        <v>134004</v>
      </c>
      <c r="B791" s="24" t="s">
        <v>2362</v>
      </c>
      <c r="C791" s="24">
        <v>134004</v>
      </c>
      <c r="D791" s="24" t="s">
        <v>593</v>
      </c>
    </row>
    <row r="792" spans="1:4">
      <c r="A792" s="24">
        <v>134005</v>
      </c>
      <c r="B792" s="24" t="s">
        <v>2362</v>
      </c>
      <c r="C792" s="24">
        <v>134005</v>
      </c>
      <c r="D792" s="24" t="s">
        <v>593</v>
      </c>
    </row>
    <row r="793" spans="1:4">
      <c r="A793" s="116">
        <v>134101</v>
      </c>
      <c r="B793" s="116" t="s">
        <v>56</v>
      </c>
      <c r="C793" s="116">
        <v>134101</v>
      </c>
      <c r="D793" s="116" t="s">
        <v>592</v>
      </c>
    </row>
    <row r="794" spans="1:4">
      <c r="A794" s="116">
        <v>134102</v>
      </c>
      <c r="B794" s="116" t="s">
        <v>56</v>
      </c>
      <c r="C794" s="116">
        <v>134102</v>
      </c>
      <c r="D794" s="116" t="s">
        <v>592</v>
      </c>
    </row>
    <row r="795" spans="1:4">
      <c r="A795" s="116">
        <v>134103</v>
      </c>
      <c r="B795" s="116" t="s">
        <v>56</v>
      </c>
      <c r="C795" s="116">
        <v>134103</v>
      </c>
      <c r="D795" s="116" t="s">
        <v>592</v>
      </c>
    </row>
    <row r="796" spans="1:4">
      <c r="A796" s="116">
        <v>134104</v>
      </c>
      <c r="B796" s="116" t="s">
        <v>56</v>
      </c>
      <c r="C796" s="116">
        <v>134104</v>
      </c>
      <c r="D796" s="116" t="s">
        <v>592</v>
      </c>
    </row>
    <row r="797" spans="1:4">
      <c r="A797" s="116">
        <v>134105</v>
      </c>
      <c r="B797" s="116" t="s">
        <v>56</v>
      </c>
      <c r="C797" s="116">
        <v>134105</v>
      </c>
      <c r="D797" s="116" t="s">
        <v>592</v>
      </c>
    </row>
    <row r="798" spans="1:4">
      <c r="A798" s="116">
        <v>134201</v>
      </c>
      <c r="B798" s="116" t="s">
        <v>3558</v>
      </c>
      <c r="C798" s="116">
        <v>134201</v>
      </c>
      <c r="D798" s="116" t="s">
        <v>595</v>
      </c>
    </row>
    <row r="799" spans="1:4">
      <c r="A799" s="116">
        <v>134202</v>
      </c>
      <c r="B799" s="116" t="s">
        <v>3558</v>
      </c>
      <c r="C799" s="116">
        <v>134202</v>
      </c>
      <c r="D799" s="116" t="s">
        <v>595</v>
      </c>
    </row>
    <row r="800" spans="1:4">
      <c r="A800" s="116">
        <v>134203</v>
      </c>
      <c r="B800" s="116" t="s">
        <v>3558</v>
      </c>
      <c r="C800" s="116">
        <v>134203</v>
      </c>
      <c r="D800" s="116" t="s">
        <v>595</v>
      </c>
    </row>
    <row r="801" spans="1:4">
      <c r="A801" s="116">
        <v>134204</v>
      </c>
      <c r="B801" s="116" t="s">
        <v>3558</v>
      </c>
      <c r="C801" s="116">
        <v>134204</v>
      </c>
      <c r="D801" s="116" t="s">
        <v>595</v>
      </c>
    </row>
    <row r="802" spans="1:4">
      <c r="A802" s="116">
        <v>134205</v>
      </c>
      <c r="B802" s="116" t="s">
        <v>3558</v>
      </c>
      <c r="C802" s="116">
        <v>134205</v>
      </c>
      <c r="D802" s="116" t="s">
        <v>595</v>
      </c>
    </row>
    <row r="803" spans="1:4">
      <c r="A803" s="116">
        <v>134301</v>
      </c>
      <c r="B803" s="116" t="s">
        <v>3559</v>
      </c>
      <c r="C803" s="116">
        <v>134301</v>
      </c>
      <c r="D803" s="116" t="s">
        <v>595</v>
      </c>
    </row>
    <row r="804" spans="1:4">
      <c r="A804" s="116">
        <v>134302</v>
      </c>
      <c r="B804" s="116" t="s">
        <v>3559</v>
      </c>
      <c r="C804" s="116">
        <v>134302</v>
      </c>
      <c r="D804" s="116" t="s">
        <v>595</v>
      </c>
    </row>
    <row r="805" spans="1:4">
      <c r="A805" s="116">
        <v>134303</v>
      </c>
      <c r="B805" s="116" t="s">
        <v>3559</v>
      </c>
      <c r="C805" s="116">
        <v>134303</v>
      </c>
      <c r="D805" s="116" t="s">
        <v>595</v>
      </c>
    </row>
    <row r="806" spans="1:4">
      <c r="A806" s="116">
        <v>134304</v>
      </c>
      <c r="B806" s="116" t="s">
        <v>3559</v>
      </c>
      <c r="C806" s="116">
        <v>134304</v>
      </c>
      <c r="D806" s="116" t="s">
        <v>595</v>
      </c>
    </row>
    <row r="807" spans="1:4">
      <c r="A807" s="116">
        <v>134305</v>
      </c>
      <c r="B807" s="116" t="s">
        <v>3559</v>
      </c>
      <c r="C807" s="116">
        <v>134305</v>
      </c>
      <c r="D807" s="116" t="s">
        <v>595</v>
      </c>
    </row>
    <row r="808" spans="1:4">
      <c r="A808" s="24">
        <v>134401</v>
      </c>
      <c r="B808" s="24" t="s">
        <v>57</v>
      </c>
      <c r="C808" s="24">
        <v>134401</v>
      </c>
      <c r="D808" s="24" t="s">
        <v>594</v>
      </c>
    </row>
    <row r="809" spans="1:4">
      <c r="A809" s="24">
        <v>134402</v>
      </c>
      <c r="B809" s="24" t="s">
        <v>57</v>
      </c>
      <c r="C809" s="24">
        <v>134402</v>
      </c>
      <c r="D809" s="24" t="s">
        <v>594</v>
      </c>
    </row>
    <row r="810" spans="1:4">
      <c r="A810" s="24">
        <v>134403</v>
      </c>
      <c r="B810" s="24" t="s">
        <v>57</v>
      </c>
      <c r="C810" s="24">
        <v>134403</v>
      </c>
      <c r="D810" s="24" t="s">
        <v>594</v>
      </c>
    </row>
    <row r="811" spans="1:4">
      <c r="A811" s="24">
        <v>134404</v>
      </c>
      <c r="B811" s="24" t="s">
        <v>57</v>
      </c>
      <c r="C811" s="24">
        <v>134404</v>
      </c>
      <c r="D811" s="24" t="s">
        <v>594</v>
      </c>
    </row>
    <row r="812" spans="1:4">
      <c r="A812" s="24">
        <v>134405</v>
      </c>
      <c r="B812" s="24" t="s">
        <v>57</v>
      </c>
      <c r="C812" s="24">
        <v>134405</v>
      </c>
      <c r="D812" s="24" t="s">
        <v>594</v>
      </c>
    </row>
    <row r="813" spans="1:4">
      <c r="A813" s="24">
        <v>134501</v>
      </c>
      <c r="B813" s="24" t="s">
        <v>58</v>
      </c>
      <c r="C813" s="24">
        <v>134501</v>
      </c>
      <c r="D813" s="24" t="s">
        <v>594</v>
      </c>
    </row>
    <row r="814" spans="1:4">
      <c r="A814" s="24">
        <v>134502</v>
      </c>
      <c r="B814" s="24" t="s">
        <v>58</v>
      </c>
      <c r="C814" s="24">
        <v>134502</v>
      </c>
      <c r="D814" s="24" t="s">
        <v>594</v>
      </c>
    </row>
    <row r="815" spans="1:4">
      <c r="A815" s="24">
        <v>134503</v>
      </c>
      <c r="B815" s="24" t="s">
        <v>58</v>
      </c>
      <c r="C815" s="24">
        <v>134503</v>
      </c>
      <c r="D815" s="24" t="s">
        <v>594</v>
      </c>
    </row>
    <row r="816" spans="1:4">
      <c r="A816" s="24">
        <v>134504</v>
      </c>
      <c r="B816" s="24" t="s">
        <v>58</v>
      </c>
      <c r="C816" s="24">
        <v>134504</v>
      </c>
      <c r="D816" s="24" t="s">
        <v>594</v>
      </c>
    </row>
    <row r="817" spans="1:4">
      <c r="A817" s="24">
        <v>134505</v>
      </c>
      <c r="B817" s="24" t="s">
        <v>58</v>
      </c>
      <c r="C817" s="24">
        <v>134505</v>
      </c>
      <c r="D817" s="24" t="s">
        <v>594</v>
      </c>
    </row>
    <row r="818" spans="1:4">
      <c r="A818" s="24">
        <v>134601</v>
      </c>
      <c r="B818" s="24" t="s">
        <v>59</v>
      </c>
      <c r="C818" s="24">
        <v>134601</v>
      </c>
      <c r="D818" s="24" t="s">
        <v>594</v>
      </c>
    </row>
    <row r="819" spans="1:4">
      <c r="A819" s="24">
        <v>134602</v>
      </c>
      <c r="B819" s="24" t="s">
        <v>59</v>
      </c>
      <c r="C819" s="24">
        <v>134602</v>
      </c>
      <c r="D819" s="24" t="s">
        <v>594</v>
      </c>
    </row>
    <row r="820" spans="1:4">
      <c r="A820" s="24">
        <v>134603</v>
      </c>
      <c r="B820" s="24" t="s">
        <v>59</v>
      </c>
      <c r="C820" s="24">
        <v>134603</v>
      </c>
      <c r="D820" s="24" t="s">
        <v>594</v>
      </c>
    </row>
    <row r="821" spans="1:4">
      <c r="A821" s="24">
        <v>134604</v>
      </c>
      <c r="B821" s="24" t="s">
        <v>59</v>
      </c>
      <c r="C821" s="24">
        <v>134604</v>
      </c>
      <c r="D821" s="24" t="s">
        <v>594</v>
      </c>
    </row>
    <row r="822" spans="1:4">
      <c r="A822" s="24">
        <v>134605</v>
      </c>
      <c r="B822" s="24" t="s">
        <v>59</v>
      </c>
      <c r="C822" s="24">
        <v>134605</v>
      </c>
      <c r="D822" s="24" t="s">
        <v>594</v>
      </c>
    </row>
    <row r="823" spans="1:4">
      <c r="A823" s="24">
        <v>134701</v>
      </c>
      <c r="B823" s="24" t="s">
        <v>60</v>
      </c>
      <c r="C823" s="24">
        <v>134701</v>
      </c>
      <c r="D823" s="24" t="s">
        <v>594</v>
      </c>
    </row>
    <row r="824" spans="1:4">
      <c r="A824" s="24">
        <v>134702</v>
      </c>
      <c r="B824" s="24" t="s">
        <v>60</v>
      </c>
      <c r="C824" s="24">
        <v>134702</v>
      </c>
      <c r="D824" s="24" t="s">
        <v>594</v>
      </c>
    </row>
    <row r="825" spans="1:4">
      <c r="A825" s="24">
        <v>134703</v>
      </c>
      <c r="B825" s="24" t="s">
        <v>60</v>
      </c>
      <c r="C825" s="24">
        <v>134703</v>
      </c>
      <c r="D825" s="24" t="s">
        <v>594</v>
      </c>
    </row>
    <row r="826" spans="1:4">
      <c r="A826" s="24">
        <v>134704</v>
      </c>
      <c r="B826" s="24" t="s">
        <v>60</v>
      </c>
      <c r="C826" s="24">
        <v>134704</v>
      </c>
      <c r="D826" s="24" t="s">
        <v>594</v>
      </c>
    </row>
    <row r="827" spans="1:4">
      <c r="A827" s="24">
        <v>134705</v>
      </c>
      <c r="B827" s="24" t="s">
        <v>60</v>
      </c>
      <c r="C827" s="24">
        <v>134705</v>
      </c>
      <c r="D827" s="24" t="s">
        <v>594</v>
      </c>
    </row>
    <row r="828" spans="1:4">
      <c r="A828" s="24">
        <v>134801</v>
      </c>
      <c r="B828" s="24" t="s">
        <v>61</v>
      </c>
      <c r="C828" s="24">
        <v>134801</v>
      </c>
      <c r="D828" s="24" t="s">
        <v>594</v>
      </c>
    </row>
    <row r="829" spans="1:4">
      <c r="A829" s="24">
        <v>134802</v>
      </c>
      <c r="B829" s="24" t="s">
        <v>61</v>
      </c>
      <c r="C829" s="24">
        <v>134802</v>
      </c>
      <c r="D829" s="24" t="s">
        <v>594</v>
      </c>
    </row>
    <row r="830" spans="1:4">
      <c r="A830" s="24">
        <v>134803</v>
      </c>
      <c r="B830" s="24" t="s">
        <v>61</v>
      </c>
      <c r="C830" s="24">
        <v>134803</v>
      </c>
      <c r="D830" s="24" t="s">
        <v>594</v>
      </c>
    </row>
    <row r="831" spans="1:4">
      <c r="A831" s="24">
        <v>134804</v>
      </c>
      <c r="B831" s="24" t="s">
        <v>61</v>
      </c>
      <c r="C831" s="24">
        <v>134804</v>
      </c>
      <c r="D831" s="24" t="s">
        <v>594</v>
      </c>
    </row>
    <row r="832" spans="1:4">
      <c r="A832" s="24">
        <v>134805</v>
      </c>
      <c r="B832" s="24" t="s">
        <v>61</v>
      </c>
      <c r="C832" s="24">
        <v>134805</v>
      </c>
      <c r="D832" s="24" t="s">
        <v>594</v>
      </c>
    </row>
    <row r="833" spans="1:4">
      <c r="A833" s="24">
        <v>134901</v>
      </c>
      <c r="B833" s="24" t="s">
        <v>135</v>
      </c>
      <c r="C833" s="24">
        <v>134901</v>
      </c>
      <c r="D833" s="24" t="s">
        <v>592</v>
      </c>
    </row>
    <row r="834" spans="1:4">
      <c r="A834" s="24">
        <v>134902</v>
      </c>
      <c r="B834" s="24" t="s">
        <v>135</v>
      </c>
      <c r="C834" s="24">
        <v>134902</v>
      </c>
      <c r="D834" s="24" t="s">
        <v>592</v>
      </c>
    </row>
    <row r="835" spans="1:4">
      <c r="A835" s="24">
        <v>134903</v>
      </c>
      <c r="B835" s="24" t="s">
        <v>135</v>
      </c>
      <c r="C835" s="24">
        <v>134903</v>
      </c>
      <c r="D835" s="24" t="s">
        <v>592</v>
      </c>
    </row>
    <row r="836" spans="1:4">
      <c r="A836" s="24">
        <v>134904</v>
      </c>
      <c r="B836" s="24" t="s">
        <v>135</v>
      </c>
      <c r="C836" s="24">
        <v>134904</v>
      </c>
      <c r="D836" s="24" t="s">
        <v>592</v>
      </c>
    </row>
    <row r="837" spans="1:4">
      <c r="A837" s="24">
        <v>134905</v>
      </c>
      <c r="B837" s="24" t="s">
        <v>135</v>
      </c>
      <c r="C837" s="24">
        <v>134905</v>
      </c>
      <c r="D837" s="24" t="s">
        <v>592</v>
      </c>
    </row>
    <row r="838" spans="1:4">
      <c r="A838" s="116">
        <v>135001</v>
      </c>
      <c r="B838" s="116" t="s">
        <v>62</v>
      </c>
      <c r="C838" s="116">
        <v>135001</v>
      </c>
      <c r="D838" s="116" t="s">
        <v>592</v>
      </c>
    </row>
    <row r="839" spans="1:4">
      <c r="A839" s="116">
        <v>135002</v>
      </c>
      <c r="B839" s="116" t="s">
        <v>62</v>
      </c>
      <c r="C839" s="116">
        <v>135002</v>
      </c>
      <c r="D839" s="116" t="s">
        <v>592</v>
      </c>
    </row>
    <row r="840" spans="1:4">
      <c r="A840" s="116">
        <v>135003</v>
      </c>
      <c r="B840" s="116" t="s">
        <v>62</v>
      </c>
      <c r="C840" s="116">
        <v>135003</v>
      </c>
      <c r="D840" s="116" t="s">
        <v>592</v>
      </c>
    </row>
    <row r="841" spans="1:4">
      <c r="A841" s="116">
        <v>135004</v>
      </c>
      <c r="B841" s="116" t="s">
        <v>62</v>
      </c>
      <c r="C841" s="116">
        <v>135004</v>
      </c>
      <c r="D841" s="116" t="s">
        <v>592</v>
      </c>
    </row>
    <row r="842" spans="1:4">
      <c r="A842" s="116">
        <v>135005</v>
      </c>
      <c r="B842" s="116" t="s">
        <v>62</v>
      </c>
      <c r="C842" s="116">
        <v>135005</v>
      </c>
      <c r="D842" s="116" t="s">
        <v>592</v>
      </c>
    </row>
    <row r="843" spans="1:4">
      <c r="A843" s="116">
        <v>135101</v>
      </c>
      <c r="B843" s="116" t="s">
        <v>63</v>
      </c>
      <c r="C843" s="116">
        <v>135101</v>
      </c>
      <c r="D843" s="116" t="s">
        <v>593</v>
      </c>
    </row>
    <row r="844" spans="1:4">
      <c r="A844" s="116">
        <v>135102</v>
      </c>
      <c r="B844" s="116" t="s">
        <v>63</v>
      </c>
      <c r="C844" s="116">
        <v>135102</v>
      </c>
      <c r="D844" s="116" t="s">
        <v>593</v>
      </c>
    </row>
    <row r="845" spans="1:4">
      <c r="A845" s="116">
        <v>135103</v>
      </c>
      <c r="B845" s="116" t="s">
        <v>63</v>
      </c>
      <c r="C845" s="116">
        <v>135103</v>
      </c>
      <c r="D845" s="116" t="s">
        <v>593</v>
      </c>
    </row>
    <row r="846" spans="1:4">
      <c r="A846" s="116">
        <v>135104</v>
      </c>
      <c r="B846" s="116" t="s">
        <v>63</v>
      </c>
      <c r="C846" s="116">
        <v>135104</v>
      </c>
      <c r="D846" s="116" t="s">
        <v>593</v>
      </c>
    </row>
    <row r="847" spans="1:4">
      <c r="A847" s="116">
        <v>135105</v>
      </c>
      <c r="B847" s="116" t="s">
        <v>63</v>
      </c>
      <c r="C847" s="116">
        <v>135105</v>
      </c>
      <c r="D847" s="116" t="s">
        <v>593</v>
      </c>
    </row>
    <row r="848" spans="1:4">
      <c r="A848" s="24">
        <v>135201</v>
      </c>
      <c r="B848" s="24" t="s">
        <v>28</v>
      </c>
      <c r="C848" s="24">
        <v>135201</v>
      </c>
      <c r="D848" s="60" t="s">
        <v>596</v>
      </c>
    </row>
    <row r="849" spans="1:4">
      <c r="A849" s="24">
        <v>135202</v>
      </c>
      <c r="B849" s="24" t="s">
        <v>28</v>
      </c>
      <c r="C849" s="24">
        <v>135202</v>
      </c>
      <c r="D849" s="60" t="s">
        <v>596</v>
      </c>
    </row>
    <row r="850" spans="1:4">
      <c r="A850" s="24">
        <v>135203</v>
      </c>
      <c r="B850" s="24" t="s">
        <v>28</v>
      </c>
      <c r="C850" s="24">
        <v>135203</v>
      </c>
      <c r="D850" s="60" t="s">
        <v>596</v>
      </c>
    </row>
    <row r="851" spans="1:4">
      <c r="A851" s="24">
        <v>135204</v>
      </c>
      <c r="B851" s="24" t="s">
        <v>28</v>
      </c>
      <c r="C851" s="24">
        <v>135204</v>
      </c>
      <c r="D851" s="60" t="s">
        <v>596</v>
      </c>
    </row>
    <row r="852" spans="1:4">
      <c r="A852" s="24">
        <v>135205</v>
      </c>
      <c r="B852" s="24" t="s">
        <v>28</v>
      </c>
      <c r="C852" s="24">
        <v>135205</v>
      </c>
      <c r="D852" s="60" t="s">
        <v>596</v>
      </c>
    </row>
    <row r="853" spans="1:4">
      <c r="A853" s="24">
        <v>135301</v>
      </c>
      <c r="B853" s="24" t="s">
        <v>29</v>
      </c>
      <c r="C853" s="24">
        <v>135301</v>
      </c>
      <c r="D853" s="24" t="s">
        <v>593</v>
      </c>
    </row>
    <row r="854" spans="1:4">
      <c r="A854" s="24">
        <v>135302</v>
      </c>
      <c r="B854" s="24" t="s">
        <v>29</v>
      </c>
      <c r="C854" s="24">
        <v>135302</v>
      </c>
      <c r="D854" s="24" t="s">
        <v>593</v>
      </c>
    </row>
    <row r="855" spans="1:4">
      <c r="A855" s="24">
        <v>135303</v>
      </c>
      <c r="B855" s="24" t="s">
        <v>29</v>
      </c>
      <c r="C855" s="24">
        <v>135303</v>
      </c>
      <c r="D855" s="24" t="s">
        <v>593</v>
      </c>
    </row>
    <row r="856" spans="1:4">
      <c r="A856" s="24">
        <v>135304</v>
      </c>
      <c r="B856" s="24" t="s">
        <v>29</v>
      </c>
      <c r="C856" s="24">
        <v>135304</v>
      </c>
      <c r="D856" s="24" t="s">
        <v>593</v>
      </c>
    </row>
    <row r="857" spans="1:4">
      <c r="A857" s="24">
        <v>135305</v>
      </c>
      <c r="B857" s="24" t="s">
        <v>29</v>
      </c>
      <c r="C857" s="24">
        <v>135305</v>
      </c>
      <c r="D857" s="24" t="s">
        <v>593</v>
      </c>
    </row>
    <row r="858" spans="1:4">
      <c r="A858" s="116">
        <v>135401</v>
      </c>
      <c r="B858" s="116" t="s">
        <v>64</v>
      </c>
      <c r="C858" s="116">
        <v>135401</v>
      </c>
      <c r="D858" s="116" t="s">
        <v>592</v>
      </c>
    </row>
    <row r="859" spans="1:4">
      <c r="A859" s="116">
        <v>135402</v>
      </c>
      <c r="B859" s="116" t="s">
        <v>64</v>
      </c>
      <c r="C859" s="116">
        <v>135402</v>
      </c>
      <c r="D859" s="116" t="s">
        <v>592</v>
      </c>
    </row>
    <row r="860" spans="1:4">
      <c r="A860" s="116">
        <v>135403</v>
      </c>
      <c r="B860" s="116" t="s">
        <v>64</v>
      </c>
      <c r="C860" s="116">
        <v>135403</v>
      </c>
      <c r="D860" s="116" t="s">
        <v>592</v>
      </c>
    </row>
    <row r="861" spans="1:4">
      <c r="A861" s="116">
        <v>135404</v>
      </c>
      <c r="B861" s="116" t="s">
        <v>64</v>
      </c>
      <c r="C861" s="116">
        <v>135404</v>
      </c>
      <c r="D861" s="116" t="s">
        <v>592</v>
      </c>
    </row>
    <row r="862" spans="1:4">
      <c r="A862" s="116">
        <v>135405</v>
      </c>
      <c r="B862" s="116" t="s">
        <v>64</v>
      </c>
      <c r="C862" s="116">
        <v>135405</v>
      </c>
      <c r="D862" s="116" t="s">
        <v>592</v>
      </c>
    </row>
    <row r="863" spans="1:4">
      <c r="A863" s="116">
        <v>135501</v>
      </c>
      <c r="B863" s="116" t="s">
        <v>65</v>
      </c>
      <c r="C863" s="116">
        <v>135501</v>
      </c>
      <c r="D863" s="116" t="s">
        <v>593</v>
      </c>
    </row>
    <row r="864" spans="1:4">
      <c r="A864" s="116">
        <v>135502</v>
      </c>
      <c r="B864" s="116" t="s">
        <v>65</v>
      </c>
      <c r="C864" s="116">
        <v>135502</v>
      </c>
      <c r="D864" s="116" t="s">
        <v>593</v>
      </c>
    </row>
    <row r="865" spans="1:4">
      <c r="A865" s="116">
        <v>135503</v>
      </c>
      <c r="B865" s="116" t="s">
        <v>65</v>
      </c>
      <c r="C865" s="116">
        <v>135503</v>
      </c>
      <c r="D865" s="116" t="s">
        <v>593</v>
      </c>
    </row>
    <row r="866" spans="1:4">
      <c r="A866" s="116">
        <v>135504</v>
      </c>
      <c r="B866" s="116" t="s">
        <v>65</v>
      </c>
      <c r="C866" s="116">
        <v>135504</v>
      </c>
      <c r="D866" s="116" t="s">
        <v>593</v>
      </c>
    </row>
    <row r="867" spans="1:4">
      <c r="A867" s="116">
        <v>135505</v>
      </c>
      <c r="B867" s="116" t="s">
        <v>65</v>
      </c>
      <c r="C867" s="116">
        <v>135505</v>
      </c>
      <c r="D867" s="116" t="s">
        <v>593</v>
      </c>
    </row>
    <row r="868" spans="1:4">
      <c r="A868" s="116">
        <v>135601</v>
      </c>
      <c r="B868" s="116" t="s">
        <v>66</v>
      </c>
      <c r="C868" s="116">
        <v>135601</v>
      </c>
      <c r="D868" s="116" t="s">
        <v>592</v>
      </c>
    </row>
    <row r="869" spans="1:4">
      <c r="A869" s="116">
        <v>135602</v>
      </c>
      <c r="B869" s="116" t="s">
        <v>66</v>
      </c>
      <c r="C869" s="116">
        <v>135602</v>
      </c>
      <c r="D869" s="116" t="s">
        <v>592</v>
      </c>
    </row>
    <row r="870" spans="1:4">
      <c r="A870" s="116">
        <v>135603</v>
      </c>
      <c r="B870" s="116" t="s">
        <v>66</v>
      </c>
      <c r="C870" s="116">
        <v>135603</v>
      </c>
      <c r="D870" s="116" t="s">
        <v>592</v>
      </c>
    </row>
    <row r="871" spans="1:4">
      <c r="A871" s="116">
        <v>135604</v>
      </c>
      <c r="B871" s="116" t="s">
        <v>66</v>
      </c>
      <c r="C871" s="116">
        <v>135604</v>
      </c>
      <c r="D871" s="116" t="s">
        <v>592</v>
      </c>
    </row>
    <row r="872" spans="1:4">
      <c r="A872" s="116">
        <v>135605</v>
      </c>
      <c r="B872" s="116" t="s">
        <v>66</v>
      </c>
      <c r="C872" s="116">
        <v>135605</v>
      </c>
      <c r="D872" s="116" t="s">
        <v>592</v>
      </c>
    </row>
    <row r="873" spans="1:4">
      <c r="A873" s="116">
        <v>135701</v>
      </c>
      <c r="B873" s="116" t="s">
        <v>67</v>
      </c>
      <c r="C873" s="116">
        <v>135701</v>
      </c>
      <c r="D873" s="116" t="s">
        <v>594</v>
      </c>
    </row>
    <row r="874" spans="1:4">
      <c r="A874" s="116">
        <v>135702</v>
      </c>
      <c r="B874" s="116" t="s">
        <v>67</v>
      </c>
      <c r="C874" s="116">
        <v>135702</v>
      </c>
      <c r="D874" s="116" t="s">
        <v>594</v>
      </c>
    </row>
    <row r="875" spans="1:4">
      <c r="A875" s="116">
        <v>135703</v>
      </c>
      <c r="B875" s="116" t="s">
        <v>67</v>
      </c>
      <c r="C875" s="116">
        <v>135703</v>
      </c>
      <c r="D875" s="116" t="s">
        <v>594</v>
      </c>
    </row>
    <row r="876" spans="1:4">
      <c r="A876" s="116">
        <v>135704</v>
      </c>
      <c r="B876" s="116" t="s">
        <v>67</v>
      </c>
      <c r="C876" s="116">
        <v>135704</v>
      </c>
      <c r="D876" s="116" t="s">
        <v>594</v>
      </c>
    </row>
    <row r="877" spans="1:4">
      <c r="A877" s="116">
        <v>135705</v>
      </c>
      <c r="B877" s="116" t="s">
        <v>67</v>
      </c>
      <c r="C877" s="116">
        <v>135705</v>
      </c>
      <c r="D877" s="116" t="s">
        <v>594</v>
      </c>
    </row>
    <row r="878" spans="1:4">
      <c r="A878" s="24">
        <v>135801</v>
      </c>
      <c r="B878" s="24" t="s">
        <v>2363</v>
      </c>
      <c r="C878" s="24">
        <v>135801</v>
      </c>
      <c r="D878" s="24" t="s">
        <v>594</v>
      </c>
    </row>
    <row r="879" spans="1:4">
      <c r="A879" s="24">
        <v>135802</v>
      </c>
      <c r="B879" s="24" t="s">
        <v>2363</v>
      </c>
      <c r="C879" s="24">
        <v>135802</v>
      </c>
      <c r="D879" s="24" t="s">
        <v>594</v>
      </c>
    </row>
    <row r="880" spans="1:4">
      <c r="A880" s="24">
        <v>135803</v>
      </c>
      <c r="B880" s="24" t="s">
        <v>2363</v>
      </c>
      <c r="C880" s="24">
        <v>135803</v>
      </c>
      <c r="D880" s="24" t="s">
        <v>594</v>
      </c>
    </row>
    <row r="881" spans="1:4">
      <c r="A881" s="24">
        <v>135804</v>
      </c>
      <c r="B881" s="24" t="s">
        <v>2363</v>
      </c>
      <c r="C881" s="24">
        <v>135804</v>
      </c>
      <c r="D881" s="24" t="s">
        <v>594</v>
      </c>
    </row>
    <row r="882" spans="1:4">
      <c r="A882" s="24">
        <v>135805</v>
      </c>
      <c r="B882" s="24" t="s">
        <v>2363</v>
      </c>
      <c r="C882" s="24">
        <v>135805</v>
      </c>
      <c r="D882" s="24" t="s">
        <v>594</v>
      </c>
    </row>
    <row r="883" spans="1:4">
      <c r="A883" s="116">
        <v>135901</v>
      </c>
      <c r="B883" s="116" t="s">
        <v>3560</v>
      </c>
      <c r="C883" s="116">
        <v>135901</v>
      </c>
      <c r="D883" s="116" t="s">
        <v>595</v>
      </c>
    </row>
    <row r="884" spans="1:4">
      <c r="A884" s="116">
        <v>135902</v>
      </c>
      <c r="B884" s="116" t="s">
        <v>68</v>
      </c>
      <c r="C884" s="116">
        <v>135902</v>
      </c>
      <c r="D884" s="116" t="s">
        <v>595</v>
      </c>
    </row>
    <row r="885" spans="1:4">
      <c r="A885" s="116">
        <v>135903</v>
      </c>
      <c r="B885" s="116" t="s">
        <v>68</v>
      </c>
      <c r="C885" s="116">
        <v>135903</v>
      </c>
      <c r="D885" s="116" t="s">
        <v>595</v>
      </c>
    </row>
    <row r="886" spans="1:4">
      <c r="A886" s="116">
        <v>135904</v>
      </c>
      <c r="B886" s="116" t="s">
        <v>68</v>
      </c>
      <c r="C886" s="116">
        <v>135904</v>
      </c>
      <c r="D886" s="116" t="s">
        <v>595</v>
      </c>
    </row>
    <row r="887" spans="1:4">
      <c r="A887" s="116">
        <v>135905</v>
      </c>
      <c r="B887" s="116" t="s">
        <v>68</v>
      </c>
      <c r="C887" s="116">
        <v>135905</v>
      </c>
      <c r="D887" s="116" t="s">
        <v>595</v>
      </c>
    </row>
    <row r="888" spans="1:4">
      <c r="A888" s="116">
        <v>136001</v>
      </c>
      <c r="B888" s="116" t="s">
        <v>3561</v>
      </c>
      <c r="C888" s="116">
        <v>136001</v>
      </c>
      <c r="D888" s="116" t="s">
        <v>593</v>
      </c>
    </row>
    <row r="889" spans="1:4">
      <c r="A889" s="116">
        <v>136002</v>
      </c>
      <c r="B889" s="116" t="s">
        <v>3561</v>
      </c>
      <c r="C889" s="116">
        <v>136002</v>
      </c>
      <c r="D889" s="116" t="s">
        <v>593</v>
      </c>
    </row>
    <row r="890" spans="1:4">
      <c r="A890" s="116">
        <v>136003</v>
      </c>
      <c r="B890" s="116" t="s">
        <v>3561</v>
      </c>
      <c r="C890" s="116">
        <v>136003</v>
      </c>
      <c r="D890" s="116" t="s">
        <v>593</v>
      </c>
    </row>
    <row r="891" spans="1:4">
      <c r="A891" s="116">
        <v>136004</v>
      </c>
      <c r="B891" s="116" t="s">
        <v>3561</v>
      </c>
      <c r="C891" s="116">
        <v>136004</v>
      </c>
      <c r="D891" s="116" t="s">
        <v>593</v>
      </c>
    </row>
    <row r="892" spans="1:4">
      <c r="A892" s="116">
        <v>136005</v>
      </c>
      <c r="B892" s="116" t="s">
        <v>3561</v>
      </c>
      <c r="C892" s="116">
        <v>136005</v>
      </c>
      <c r="D892" s="116" t="s">
        <v>593</v>
      </c>
    </row>
    <row r="893" spans="1:4">
      <c r="A893" s="116">
        <v>136101</v>
      </c>
      <c r="B893" s="116" t="s">
        <v>3562</v>
      </c>
      <c r="C893" s="116">
        <v>136101</v>
      </c>
      <c r="D893" s="116" t="s">
        <v>593</v>
      </c>
    </row>
    <row r="894" spans="1:4">
      <c r="A894" s="116">
        <v>136102</v>
      </c>
      <c r="B894" s="116" t="s">
        <v>3562</v>
      </c>
      <c r="C894" s="116">
        <v>136102</v>
      </c>
      <c r="D894" s="116" t="s">
        <v>593</v>
      </c>
    </row>
    <row r="895" spans="1:4">
      <c r="A895" s="116">
        <v>136103</v>
      </c>
      <c r="B895" s="116" t="s">
        <v>3562</v>
      </c>
      <c r="C895" s="116">
        <v>136103</v>
      </c>
      <c r="D895" s="116" t="s">
        <v>593</v>
      </c>
    </row>
    <row r="896" spans="1:4">
      <c r="A896" s="116">
        <v>136104</v>
      </c>
      <c r="B896" s="116" t="s">
        <v>3562</v>
      </c>
      <c r="C896" s="116">
        <v>136104</v>
      </c>
      <c r="D896" s="116" t="s">
        <v>593</v>
      </c>
    </row>
    <row r="897" spans="1:4">
      <c r="A897" s="116">
        <v>136105</v>
      </c>
      <c r="B897" s="116" t="s">
        <v>3562</v>
      </c>
      <c r="C897" s="116">
        <v>136105</v>
      </c>
      <c r="D897" s="116" t="s">
        <v>593</v>
      </c>
    </row>
    <row r="898" spans="1:4">
      <c r="A898" s="116">
        <v>136201</v>
      </c>
      <c r="B898" s="116" t="s">
        <v>3563</v>
      </c>
      <c r="C898" s="116">
        <v>136201</v>
      </c>
      <c r="D898" s="116" t="s">
        <v>595</v>
      </c>
    </row>
    <row r="899" spans="1:4">
      <c r="A899" s="116">
        <v>136202</v>
      </c>
      <c r="B899" s="116" t="s">
        <v>69</v>
      </c>
      <c r="C899" s="116">
        <v>136202</v>
      </c>
      <c r="D899" s="116" t="s">
        <v>595</v>
      </c>
    </row>
    <row r="900" spans="1:4">
      <c r="A900" s="116">
        <v>136203</v>
      </c>
      <c r="B900" s="116" t="s">
        <v>69</v>
      </c>
      <c r="C900" s="116">
        <v>136203</v>
      </c>
      <c r="D900" s="116" t="s">
        <v>595</v>
      </c>
    </row>
    <row r="901" spans="1:4">
      <c r="A901" s="116">
        <v>136204</v>
      </c>
      <c r="B901" s="116" t="s">
        <v>69</v>
      </c>
      <c r="C901" s="116">
        <v>136204</v>
      </c>
      <c r="D901" s="116" t="s">
        <v>595</v>
      </c>
    </row>
    <row r="902" spans="1:4">
      <c r="A902" s="116">
        <v>136205</v>
      </c>
      <c r="B902" s="116" t="s">
        <v>69</v>
      </c>
      <c r="C902" s="116">
        <v>136205</v>
      </c>
      <c r="D902" s="116" t="s">
        <v>595</v>
      </c>
    </row>
    <row r="903" spans="1:4">
      <c r="A903" s="116">
        <v>136301</v>
      </c>
      <c r="B903" s="116" t="s">
        <v>70</v>
      </c>
      <c r="C903" s="116">
        <v>136301</v>
      </c>
      <c r="D903" s="116" t="s">
        <v>594</v>
      </c>
    </row>
    <row r="904" spans="1:4">
      <c r="A904" s="116">
        <v>136302</v>
      </c>
      <c r="B904" s="116" t="s">
        <v>70</v>
      </c>
      <c r="C904" s="116">
        <v>136302</v>
      </c>
      <c r="D904" s="116" t="s">
        <v>594</v>
      </c>
    </row>
    <row r="905" spans="1:4">
      <c r="A905" s="116">
        <v>136303</v>
      </c>
      <c r="B905" s="116" t="s">
        <v>70</v>
      </c>
      <c r="C905" s="116">
        <v>136303</v>
      </c>
      <c r="D905" s="116" t="s">
        <v>594</v>
      </c>
    </row>
    <row r="906" spans="1:4">
      <c r="A906" s="116">
        <v>136304</v>
      </c>
      <c r="B906" s="116" t="s">
        <v>70</v>
      </c>
      <c r="C906" s="116">
        <v>136304</v>
      </c>
      <c r="D906" s="116" t="s">
        <v>594</v>
      </c>
    </row>
    <row r="907" spans="1:4">
      <c r="A907" s="116">
        <v>136305</v>
      </c>
      <c r="B907" s="116" t="s">
        <v>70</v>
      </c>
      <c r="C907" s="116">
        <v>136305</v>
      </c>
      <c r="D907" s="116" t="s">
        <v>594</v>
      </c>
    </row>
    <row r="908" spans="1:4">
      <c r="A908" s="116">
        <v>136401</v>
      </c>
      <c r="B908" s="116" t="s">
        <v>71</v>
      </c>
      <c r="C908" s="116">
        <v>136401</v>
      </c>
      <c r="D908" s="116" t="s">
        <v>595</v>
      </c>
    </row>
    <row r="909" spans="1:4">
      <c r="A909" s="116">
        <v>136402</v>
      </c>
      <c r="B909" s="116" t="s">
        <v>71</v>
      </c>
      <c r="C909" s="116">
        <v>136402</v>
      </c>
      <c r="D909" s="116" t="s">
        <v>595</v>
      </c>
    </row>
    <row r="910" spans="1:4">
      <c r="A910" s="116">
        <v>136403</v>
      </c>
      <c r="B910" s="116" t="s">
        <v>71</v>
      </c>
      <c r="C910" s="116">
        <v>136403</v>
      </c>
      <c r="D910" s="116" t="s">
        <v>595</v>
      </c>
    </row>
    <row r="911" spans="1:4">
      <c r="A911" s="116">
        <v>136404</v>
      </c>
      <c r="B911" s="116" t="s">
        <v>71</v>
      </c>
      <c r="C911" s="116">
        <v>136404</v>
      </c>
      <c r="D911" s="116" t="s">
        <v>595</v>
      </c>
    </row>
    <row r="912" spans="1:4">
      <c r="A912" s="116">
        <v>136405</v>
      </c>
      <c r="B912" s="116" t="s">
        <v>71</v>
      </c>
      <c r="C912" s="116">
        <v>136405</v>
      </c>
      <c r="D912" s="116" t="s">
        <v>595</v>
      </c>
    </row>
    <row r="913" spans="1:4">
      <c r="A913" s="116">
        <v>136501</v>
      </c>
      <c r="B913" s="116" t="s">
        <v>2364</v>
      </c>
      <c r="C913" s="116">
        <v>136501</v>
      </c>
      <c r="D913" s="116" t="s">
        <v>594</v>
      </c>
    </row>
    <row r="914" spans="1:4">
      <c r="A914" s="116">
        <v>136502</v>
      </c>
      <c r="B914" s="116" t="s">
        <v>2364</v>
      </c>
      <c r="C914" s="116">
        <v>136502</v>
      </c>
      <c r="D914" s="116" t="s">
        <v>594</v>
      </c>
    </row>
    <row r="915" spans="1:4">
      <c r="A915" s="116">
        <v>136503</v>
      </c>
      <c r="B915" s="116" t="s">
        <v>2364</v>
      </c>
      <c r="C915" s="116">
        <v>136503</v>
      </c>
      <c r="D915" s="116" t="s">
        <v>594</v>
      </c>
    </row>
    <row r="916" spans="1:4">
      <c r="A916" s="116">
        <v>136504</v>
      </c>
      <c r="B916" s="116" t="s">
        <v>2364</v>
      </c>
      <c r="C916" s="116">
        <v>136504</v>
      </c>
      <c r="D916" s="116" t="s">
        <v>594</v>
      </c>
    </row>
    <row r="917" spans="1:4">
      <c r="A917" s="116">
        <v>136505</v>
      </c>
      <c r="B917" s="116" t="s">
        <v>2364</v>
      </c>
      <c r="C917" s="116">
        <v>136505</v>
      </c>
      <c r="D917" s="116" t="s">
        <v>594</v>
      </c>
    </row>
    <row r="918" spans="1:4">
      <c r="A918" s="116">
        <v>136601</v>
      </c>
      <c r="B918" s="116" t="s">
        <v>3564</v>
      </c>
      <c r="C918" s="116">
        <v>136601</v>
      </c>
      <c r="D918" s="116" t="s">
        <v>596</v>
      </c>
    </row>
    <row r="919" spans="1:4">
      <c r="A919" s="116">
        <v>136602</v>
      </c>
      <c r="B919" s="116" t="s">
        <v>3564</v>
      </c>
      <c r="C919" s="116">
        <v>136602</v>
      </c>
      <c r="D919" s="116" t="s">
        <v>596</v>
      </c>
    </row>
    <row r="920" spans="1:4">
      <c r="A920" s="116">
        <v>136603</v>
      </c>
      <c r="B920" s="116" t="s">
        <v>3564</v>
      </c>
      <c r="C920" s="116">
        <v>136603</v>
      </c>
      <c r="D920" s="116" t="s">
        <v>596</v>
      </c>
    </row>
    <row r="921" spans="1:4">
      <c r="A921" s="116">
        <v>136604</v>
      </c>
      <c r="B921" s="116" t="s">
        <v>3564</v>
      </c>
      <c r="C921" s="116">
        <v>136604</v>
      </c>
      <c r="D921" s="116" t="s">
        <v>596</v>
      </c>
    </row>
    <row r="922" spans="1:4">
      <c r="A922" s="116">
        <v>136605</v>
      </c>
      <c r="B922" s="116" t="s">
        <v>3564</v>
      </c>
      <c r="C922" s="116">
        <v>136605</v>
      </c>
      <c r="D922" s="116" t="s">
        <v>596</v>
      </c>
    </row>
    <row r="923" spans="1:4">
      <c r="A923" s="116">
        <v>136701</v>
      </c>
      <c r="B923" s="116" t="s">
        <v>2365</v>
      </c>
      <c r="C923" s="116">
        <v>136701</v>
      </c>
      <c r="D923" s="116" t="s">
        <v>593</v>
      </c>
    </row>
    <row r="924" spans="1:4">
      <c r="A924" s="116">
        <v>136702</v>
      </c>
      <c r="B924" s="116" t="s">
        <v>72</v>
      </c>
      <c r="C924" s="116">
        <v>136702</v>
      </c>
      <c r="D924" s="116" t="s">
        <v>593</v>
      </c>
    </row>
    <row r="925" spans="1:4">
      <c r="A925" s="116">
        <v>136703</v>
      </c>
      <c r="B925" s="116" t="s">
        <v>72</v>
      </c>
      <c r="C925" s="116">
        <v>136703</v>
      </c>
      <c r="D925" s="116" t="s">
        <v>593</v>
      </c>
    </row>
    <row r="926" spans="1:4">
      <c r="A926" s="116">
        <v>136704</v>
      </c>
      <c r="B926" s="116" t="s">
        <v>72</v>
      </c>
      <c r="C926" s="116">
        <v>136704</v>
      </c>
      <c r="D926" s="116" t="s">
        <v>593</v>
      </c>
    </row>
    <row r="927" spans="1:4">
      <c r="A927" s="116">
        <v>136705</v>
      </c>
      <c r="B927" s="116" t="s">
        <v>72</v>
      </c>
      <c r="C927" s="116">
        <v>136705</v>
      </c>
      <c r="D927" s="116" t="s">
        <v>593</v>
      </c>
    </row>
    <row r="928" spans="1:4">
      <c r="A928" s="116">
        <v>136801</v>
      </c>
      <c r="B928" s="116" t="s">
        <v>3565</v>
      </c>
      <c r="C928" s="116">
        <v>136801</v>
      </c>
      <c r="D928" s="116" t="s">
        <v>593</v>
      </c>
    </row>
    <row r="929" spans="1:4">
      <c r="A929" s="116">
        <v>136802</v>
      </c>
      <c r="B929" s="116" t="s">
        <v>3565</v>
      </c>
      <c r="C929" s="116">
        <v>136802</v>
      </c>
      <c r="D929" s="116" t="s">
        <v>593</v>
      </c>
    </row>
    <row r="930" spans="1:4">
      <c r="A930" s="116">
        <v>136803</v>
      </c>
      <c r="B930" s="116" t="s">
        <v>3565</v>
      </c>
      <c r="C930" s="116">
        <v>136803</v>
      </c>
      <c r="D930" s="116" t="s">
        <v>593</v>
      </c>
    </row>
    <row r="931" spans="1:4">
      <c r="A931" s="116">
        <v>136804</v>
      </c>
      <c r="B931" s="116" t="s">
        <v>3565</v>
      </c>
      <c r="C931" s="116">
        <v>136804</v>
      </c>
      <c r="D931" s="116" t="s">
        <v>593</v>
      </c>
    </row>
    <row r="932" spans="1:4">
      <c r="A932" s="116">
        <v>136805</v>
      </c>
      <c r="B932" s="116" t="s">
        <v>3565</v>
      </c>
      <c r="C932" s="116">
        <v>136805</v>
      </c>
      <c r="D932" s="116" t="s">
        <v>593</v>
      </c>
    </row>
    <row r="933" spans="1:4">
      <c r="A933" s="116">
        <v>136901</v>
      </c>
      <c r="B933" s="116" t="s">
        <v>73</v>
      </c>
      <c r="C933" s="116">
        <v>136901</v>
      </c>
      <c r="D933" s="116" t="s">
        <v>594</v>
      </c>
    </row>
    <row r="934" spans="1:4">
      <c r="A934" s="116">
        <v>136902</v>
      </c>
      <c r="B934" s="116" t="s">
        <v>73</v>
      </c>
      <c r="C934" s="116">
        <v>136902</v>
      </c>
      <c r="D934" s="116" t="s">
        <v>594</v>
      </c>
    </row>
    <row r="935" spans="1:4">
      <c r="A935" s="116">
        <v>136903</v>
      </c>
      <c r="B935" s="116" t="s">
        <v>73</v>
      </c>
      <c r="C935" s="116">
        <v>136903</v>
      </c>
      <c r="D935" s="116" t="s">
        <v>594</v>
      </c>
    </row>
    <row r="936" spans="1:4">
      <c r="A936" s="116">
        <v>136904</v>
      </c>
      <c r="B936" s="116" t="s">
        <v>73</v>
      </c>
      <c r="C936" s="116">
        <v>136904</v>
      </c>
      <c r="D936" s="116" t="s">
        <v>594</v>
      </c>
    </row>
    <row r="937" spans="1:4">
      <c r="A937" s="116">
        <v>136905</v>
      </c>
      <c r="B937" s="116" t="s">
        <v>73</v>
      </c>
      <c r="C937" s="116">
        <v>136905</v>
      </c>
      <c r="D937" s="116" t="s">
        <v>594</v>
      </c>
    </row>
    <row r="938" spans="1:4">
      <c r="A938" s="116">
        <v>137001</v>
      </c>
      <c r="B938" s="116" t="s">
        <v>3566</v>
      </c>
      <c r="C938" s="116">
        <v>137001</v>
      </c>
      <c r="D938" s="116" t="s">
        <v>595</v>
      </c>
    </row>
    <row r="939" spans="1:4">
      <c r="A939" s="116">
        <v>137002</v>
      </c>
      <c r="B939" s="116" t="s">
        <v>3566</v>
      </c>
      <c r="C939" s="116">
        <v>137002</v>
      </c>
      <c r="D939" s="116" t="s">
        <v>595</v>
      </c>
    </row>
    <row r="940" spans="1:4">
      <c r="A940" s="116">
        <v>137003</v>
      </c>
      <c r="B940" s="116" t="s">
        <v>3566</v>
      </c>
      <c r="C940" s="116">
        <v>137003</v>
      </c>
      <c r="D940" s="116" t="s">
        <v>595</v>
      </c>
    </row>
    <row r="941" spans="1:4">
      <c r="A941" s="116">
        <v>137004</v>
      </c>
      <c r="B941" s="116" t="s">
        <v>3566</v>
      </c>
      <c r="C941" s="116">
        <v>137004</v>
      </c>
      <c r="D941" s="116" t="s">
        <v>595</v>
      </c>
    </row>
    <row r="942" spans="1:4">
      <c r="A942" s="116">
        <v>137005</v>
      </c>
      <c r="B942" s="116" t="s">
        <v>3566</v>
      </c>
      <c r="C942" s="116">
        <v>137005</v>
      </c>
      <c r="D942" s="116" t="s">
        <v>595</v>
      </c>
    </row>
    <row r="943" spans="1:4">
      <c r="A943" s="26">
        <v>137101</v>
      </c>
      <c r="B943" s="26" t="s">
        <v>3567</v>
      </c>
      <c r="C943" s="26">
        <v>137101</v>
      </c>
      <c r="D943" s="26" t="s">
        <v>594</v>
      </c>
    </row>
    <row r="944" spans="1:4">
      <c r="A944" s="26">
        <v>137102</v>
      </c>
      <c r="B944" s="26" t="s">
        <v>603</v>
      </c>
      <c r="C944" s="26">
        <v>137102</v>
      </c>
      <c r="D944" s="26" t="s">
        <v>594</v>
      </c>
    </row>
    <row r="945" spans="1:4">
      <c r="A945" s="26">
        <v>137103</v>
      </c>
      <c r="B945" s="26" t="s">
        <v>603</v>
      </c>
      <c r="C945" s="26">
        <v>137103</v>
      </c>
      <c r="D945" s="26" t="s">
        <v>594</v>
      </c>
    </row>
    <row r="946" spans="1:4">
      <c r="A946" s="26">
        <v>137104</v>
      </c>
      <c r="B946" s="26" t="s">
        <v>603</v>
      </c>
      <c r="C946" s="26">
        <v>137104</v>
      </c>
      <c r="D946" s="26" t="s">
        <v>594</v>
      </c>
    </row>
    <row r="947" spans="1:4">
      <c r="A947" s="26">
        <v>137105</v>
      </c>
      <c r="B947" s="26" t="s">
        <v>603</v>
      </c>
      <c r="C947" s="26">
        <v>137105</v>
      </c>
      <c r="D947" s="26" t="s">
        <v>594</v>
      </c>
    </row>
    <row r="948" spans="1:4">
      <c r="A948" s="25">
        <v>137201</v>
      </c>
      <c r="B948" s="25" t="s">
        <v>74</v>
      </c>
      <c r="C948" s="25">
        <v>137201</v>
      </c>
      <c r="D948" s="25" t="s">
        <v>596</v>
      </c>
    </row>
    <row r="949" spans="1:4">
      <c r="A949" s="25">
        <v>137202</v>
      </c>
      <c r="B949" s="25" t="s">
        <v>74</v>
      </c>
      <c r="C949" s="25">
        <v>137202</v>
      </c>
      <c r="D949" s="25" t="s">
        <v>596</v>
      </c>
    </row>
    <row r="950" spans="1:4">
      <c r="A950" s="25">
        <v>137203</v>
      </c>
      <c r="B950" s="25" t="s">
        <v>74</v>
      </c>
      <c r="C950" s="25">
        <v>137203</v>
      </c>
      <c r="D950" s="25" t="s">
        <v>596</v>
      </c>
    </row>
    <row r="951" spans="1:4">
      <c r="A951" s="25">
        <v>137204</v>
      </c>
      <c r="B951" s="25" t="s">
        <v>74</v>
      </c>
      <c r="C951" s="25">
        <v>137204</v>
      </c>
      <c r="D951" s="25" t="s">
        <v>596</v>
      </c>
    </row>
    <row r="952" spans="1:4">
      <c r="A952" s="25">
        <v>137205</v>
      </c>
      <c r="B952" s="25" t="s">
        <v>74</v>
      </c>
      <c r="C952" s="25">
        <v>137205</v>
      </c>
      <c r="D952" s="25" t="s">
        <v>596</v>
      </c>
    </row>
    <row r="953" spans="1:4">
      <c r="A953" s="26">
        <v>137301</v>
      </c>
      <c r="B953" s="26" t="s">
        <v>3568</v>
      </c>
      <c r="C953" s="26">
        <v>137301</v>
      </c>
      <c r="D953" s="26" t="s">
        <v>593</v>
      </c>
    </row>
    <row r="954" spans="1:4">
      <c r="A954" s="26">
        <v>137302</v>
      </c>
      <c r="B954" s="26" t="s">
        <v>3568</v>
      </c>
      <c r="C954" s="26">
        <v>137302</v>
      </c>
      <c r="D954" s="26" t="s">
        <v>593</v>
      </c>
    </row>
    <row r="955" spans="1:4">
      <c r="A955" s="26">
        <v>137303</v>
      </c>
      <c r="B955" s="26" t="s">
        <v>3568</v>
      </c>
      <c r="C955" s="26">
        <v>137303</v>
      </c>
      <c r="D955" s="26" t="s">
        <v>593</v>
      </c>
    </row>
    <row r="956" spans="1:4">
      <c r="A956" s="26">
        <v>137304</v>
      </c>
      <c r="B956" s="26" t="s">
        <v>3568</v>
      </c>
      <c r="C956" s="26">
        <v>137304</v>
      </c>
      <c r="D956" s="26" t="s">
        <v>593</v>
      </c>
    </row>
    <row r="957" spans="1:4">
      <c r="A957" s="26">
        <v>137305</v>
      </c>
      <c r="B957" s="26" t="s">
        <v>3568</v>
      </c>
      <c r="C957" s="26">
        <v>137305</v>
      </c>
      <c r="D957" s="26" t="s">
        <v>593</v>
      </c>
    </row>
    <row r="958" spans="1:4">
      <c r="A958" s="26">
        <v>137401</v>
      </c>
      <c r="B958" s="26" t="s">
        <v>136</v>
      </c>
      <c r="C958" s="26">
        <v>137401</v>
      </c>
      <c r="D958" s="26" t="s">
        <v>594</v>
      </c>
    </row>
    <row r="959" spans="1:4">
      <c r="A959" s="24">
        <v>137402</v>
      </c>
      <c r="B959" s="24" t="s">
        <v>136</v>
      </c>
      <c r="C959" s="24">
        <v>137402</v>
      </c>
      <c r="D959" s="24" t="s">
        <v>594</v>
      </c>
    </row>
    <row r="960" spans="1:4">
      <c r="A960" s="24">
        <v>137403</v>
      </c>
      <c r="B960" s="24" t="s">
        <v>136</v>
      </c>
      <c r="C960" s="24">
        <v>137403</v>
      </c>
      <c r="D960" s="24" t="s">
        <v>594</v>
      </c>
    </row>
    <row r="961" spans="1:4">
      <c r="A961" s="24">
        <v>137404</v>
      </c>
      <c r="B961" s="24" t="s">
        <v>136</v>
      </c>
      <c r="C961" s="24">
        <v>137404</v>
      </c>
      <c r="D961" s="24" t="s">
        <v>594</v>
      </c>
    </row>
    <row r="962" spans="1:4">
      <c r="A962" s="24">
        <v>137405</v>
      </c>
      <c r="B962" s="24" t="s">
        <v>136</v>
      </c>
      <c r="C962" s="24">
        <v>137405</v>
      </c>
      <c r="D962" s="24" t="s">
        <v>594</v>
      </c>
    </row>
    <row r="963" spans="1:4">
      <c r="A963" s="24">
        <v>137501</v>
      </c>
      <c r="B963" s="24" t="s">
        <v>137</v>
      </c>
      <c r="C963" s="24">
        <v>137501</v>
      </c>
      <c r="D963" s="24" t="s">
        <v>594</v>
      </c>
    </row>
    <row r="964" spans="1:4">
      <c r="A964" s="24">
        <v>137502</v>
      </c>
      <c r="B964" s="24" t="s">
        <v>137</v>
      </c>
      <c r="C964" s="24">
        <v>137502</v>
      </c>
      <c r="D964" s="24" t="s">
        <v>594</v>
      </c>
    </row>
    <row r="965" spans="1:4">
      <c r="A965" s="24">
        <v>137503</v>
      </c>
      <c r="B965" s="24" t="s">
        <v>137</v>
      </c>
      <c r="C965" s="24">
        <v>137503</v>
      </c>
      <c r="D965" s="24" t="s">
        <v>594</v>
      </c>
    </row>
    <row r="966" spans="1:4">
      <c r="A966" s="24">
        <v>137504</v>
      </c>
      <c r="B966" s="24" t="s">
        <v>137</v>
      </c>
      <c r="C966" s="24">
        <v>137504</v>
      </c>
      <c r="D966" s="24" t="s">
        <v>594</v>
      </c>
    </row>
    <row r="967" spans="1:4">
      <c r="A967" s="24">
        <v>137505</v>
      </c>
      <c r="B967" s="24" t="s">
        <v>137</v>
      </c>
      <c r="C967" s="24">
        <v>137505</v>
      </c>
      <c r="D967" s="24" t="s">
        <v>594</v>
      </c>
    </row>
    <row r="968" spans="1:4">
      <c r="A968" s="26">
        <v>137601</v>
      </c>
      <c r="B968" s="26" t="s">
        <v>138</v>
      </c>
      <c r="C968" s="26">
        <v>137601</v>
      </c>
      <c r="D968" s="26" t="s">
        <v>592</v>
      </c>
    </row>
    <row r="969" spans="1:4">
      <c r="A969" s="26">
        <v>137602</v>
      </c>
      <c r="B969" s="26" t="s">
        <v>138</v>
      </c>
      <c r="C969" s="26">
        <v>137602</v>
      </c>
      <c r="D969" s="26" t="s">
        <v>592</v>
      </c>
    </row>
    <row r="970" spans="1:4">
      <c r="A970" s="26">
        <v>137603</v>
      </c>
      <c r="B970" s="26" t="s">
        <v>138</v>
      </c>
      <c r="C970" s="26">
        <v>137603</v>
      </c>
      <c r="D970" s="26" t="s">
        <v>592</v>
      </c>
    </row>
    <row r="971" spans="1:4">
      <c r="A971" s="26">
        <v>137604</v>
      </c>
      <c r="B971" s="26" t="s">
        <v>138</v>
      </c>
      <c r="C971" s="26">
        <v>137604</v>
      </c>
      <c r="D971" s="26" t="s">
        <v>592</v>
      </c>
    </row>
    <row r="972" spans="1:4">
      <c r="A972" s="26">
        <v>137605</v>
      </c>
      <c r="B972" s="26" t="s">
        <v>138</v>
      </c>
      <c r="C972" s="26">
        <v>137605</v>
      </c>
      <c r="D972" s="26" t="s">
        <v>592</v>
      </c>
    </row>
    <row r="973" spans="1:4">
      <c r="A973" s="116">
        <v>137701</v>
      </c>
      <c r="B973" s="116" t="s">
        <v>139</v>
      </c>
      <c r="C973" s="116">
        <v>137701</v>
      </c>
      <c r="D973" s="116" t="s">
        <v>596</v>
      </c>
    </row>
    <row r="974" spans="1:4">
      <c r="A974" s="116">
        <v>137702</v>
      </c>
      <c r="B974" s="116" t="s">
        <v>139</v>
      </c>
      <c r="C974" s="116">
        <v>137702</v>
      </c>
      <c r="D974" s="116" t="s">
        <v>596</v>
      </c>
    </row>
    <row r="975" spans="1:4">
      <c r="A975" s="116">
        <v>137703</v>
      </c>
      <c r="B975" s="116" t="s">
        <v>139</v>
      </c>
      <c r="C975" s="116">
        <v>137703</v>
      </c>
      <c r="D975" s="116" t="s">
        <v>596</v>
      </c>
    </row>
    <row r="976" spans="1:4">
      <c r="A976" s="116">
        <v>137704</v>
      </c>
      <c r="B976" s="116" t="s">
        <v>139</v>
      </c>
      <c r="C976" s="116">
        <v>137704</v>
      </c>
      <c r="D976" s="116" t="s">
        <v>596</v>
      </c>
    </row>
    <row r="977" spans="1:4">
      <c r="A977" s="116">
        <v>137705</v>
      </c>
      <c r="B977" s="116" t="s">
        <v>139</v>
      </c>
      <c r="C977" s="116">
        <v>137705</v>
      </c>
      <c r="D977" s="116" t="s">
        <v>596</v>
      </c>
    </row>
    <row r="978" spans="1:4">
      <c r="A978" s="116">
        <v>137801</v>
      </c>
      <c r="B978" s="116" t="s">
        <v>140</v>
      </c>
      <c r="C978" s="116">
        <v>137801</v>
      </c>
      <c r="D978" s="116" t="s">
        <v>596</v>
      </c>
    </row>
    <row r="979" spans="1:4">
      <c r="A979" s="116">
        <v>137802</v>
      </c>
      <c r="B979" s="116" t="s">
        <v>140</v>
      </c>
      <c r="C979" s="116">
        <v>137802</v>
      </c>
      <c r="D979" s="116" t="s">
        <v>596</v>
      </c>
    </row>
    <row r="980" spans="1:4">
      <c r="A980" s="116">
        <v>137803</v>
      </c>
      <c r="B980" s="116" t="s">
        <v>140</v>
      </c>
      <c r="C980" s="116">
        <v>137803</v>
      </c>
      <c r="D980" s="116" t="s">
        <v>596</v>
      </c>
    </row>
    <row r="981" spans="1:4">
      <c r="A981" s="116">
        <v>137804</v>
      </c>
      <c r="B981" s="116" t="s">
        <v>140</v>
      </c>
      <c r="C981" s="116">
        <v>137804</v>
      </c>
      <c r="D981" s="116" t="s">
        <v>596</v>
      </c>
    </row>
    <row r="982" spans="1:4">
      <c r="A982" s="116">
        <v>137805</v>
      </c>
      <c r="B982" s="116" t="s">
        <v>140</v>
      </c>
      <c r="C982" s="116">
        <v>137805</v>
      </c>
      <c r="D982" s="116" t="s">
        <v>596</v>
      </c>
    </row>
    <row r="983" spans="1:4">
      <c r="A983" s="24">
        <v>137901</v>
      </c>
      <c r="B983" s="24" t="s">
        <v>141</v>
      </c>
      <c r="C983" s="24">
        <v>137901</v>
      </c>
      <c r="D983" s="24" t="s">
        <v>594</v>
      </c>
    </row>
    <row r="984" spans="1:4">
      <c r="A984" s="24">
        <v>137902</v>
      </c>
      <c r="B984" s="24" t="s">
        <v>141</v>
      </c>
      <c r="C984" s="24">
        <v>137902</v>
      </c>
      <c r="D984" s="24" t="s">
        <v>594</v>
      </c>
    </row>
    <row r="985" spans="1:4">
      <c r="A985" s="24">
        <v>137903</v>
      </c>
      <c r="B985" s="24" t="s">
        <v>141</v>
      </c>
      <c r="C985" s="24">
        <v>137903</v>
      </c>
      <c r="D985" s="24" t="s">
        <v>594</v>
      </c>
    </row>
    <row r="986" spans="1:4">
      <c r="A986" s="24">
        <v>137904</v>
      </c>
      <c r="B986" s="24" t="s">
        <v>141</v>
      </c>
      <c r="C986" s="24">
        <v>137904</v>
      </c>
      <c r="D986" s="24" t="s">
        <v>594</v>
      </c>
    </row>
    <row r="987" spans="1:4">
      <c r="A987" s="24">
        <v>137905</v>
      </c>
      <c r="B987" s="24" t="s">
        <v>141</v>
      </c>
      <c r="C987" s="24">
        <v>137905</v>
      </c>
      <c r="D987" s="24" t="s">
        <v>594</v>
      </c>
    </row>
    <row r="988" spans="1:4">
      <c r="A988" s="26">
        <v>138001</v>
      </c>
      <c r="B988" s="26" t="s">
        <v>604</v>
      </c>
      <c r="C988" s="26">
        <v>138001</v>
      </c>
      <c r="D988" s="26" t="s">
        <v>594</v>
      </c>
    </row>
    <row r="989" spans="1:4">
      <c r="A989" s="26">
        <v>138002</v>
      </c>
      <c r="B989" s="26" t="s">
        <v>604</v>
      </c>
      <c r="C989" s="26">
        <v>138002</v>
      </c>
      <c r="D989" s="26" t="s">
        <v>594</v>
      </c>
    </row>
    <row r="990" spans="1:4">
      <c r="A990" s="26">
        <v>138003</v>
      </c>
      <c r="B990" s="26" t="s">
        <v>604</v>
      </c>
      <c r="C990" s="26">
        <v>138003</v>
      </c>
      <c r="D990" s="26" t="s">
        <v>594</v>
      </c>
    </row>
    <row r="991" spans="1:4">
      <c r="A991" s="26">
        <v>138004</v>
      </c>
      <c r="B991" s="26" t="s">
        <v>604</v>
      </c>
      <c r="C991" s="26">
        <v>138004</v>
      </c>
      <c r="D991" s="26" t="s">
        <v>594</v>
      </c>
    </row>
    <row r="992" spans="1:4">
      <c r="A992" s="26">
        <v>138005</v>
      </c>
      <c r="B992" s="26" t="s">
        <v>604</v>
      </c>
      <c r="C992" s="26">
        <v>138005</v>
      </c>
      <c r="D992" s="26" t="s">
        <v>594</v>
      </c>
    </row>
    <row r="993" spans="1:4">
      <c r="A993" s="26">
        <v>138101</v>
      </c>
      <c r="B993" s="26" t="s">
        <v>605</v>
      </c>
      <c r="C993" s="26">
        <v>138101</v>
      </c>
      <c r="D993" s="26" t="s">
        <v>594</v>
      </c>
    </row>
    <row r="994" spans="1:4">
      <c r="A994" s="26">
        <v>138102</v>
      </c>
      <c r="B994" s="26" t="s">
        <v>605</v>
      </c>
      <c r="C994" s="26">
        <v>138102</v>
      </c>
      <c r="D994" s="26" t="s">
        <v>594</v>
      </c>
    </row>
    <row r="995" spans="1:4">
      <c r="A995" s="26">
        <v>138103</v>
      </c>
      <c r="B995" s="26" t="s">
        <v>605</v>
      </c>
      <c r="C995" s="26">
        <v>138103</v>
      </c>
      <c r="D995" s="26" t="s">
        <v>594</v>
      </c>
    </row>
    <row r="996" spans="1:4">
      <c r="A996" s="26">
        <v>138104</v>
      </c>
      <c r="B996" s="26" t="s">
        <v>605</v>
      </c>
      <c r="C996" s="26">
        <v>138104</v>
      </c>
      <c r="D996" s="26" t="s">
        <v>594</v>
      </c>
    </row>
    <row r="997" spans="1:4">
      <c r="A997" s="26">
        <v>138105</v>
      </c>
      <c r="B997" s="26" t="s">
        <v>605</v>
      </c>
      <c r="C997" s="26">
        <v>138105</v>
      </c>
      <c r="D997" s="26" t="s">
        <v>594</v>
      </c>
    </row>
    <row r="998" spans="1:4">
      <c r="A998" s="26">
        <v>138201</v>
      </c>
      <c r="B998" s="26" t="s">
        <v>606</v>
      </c>
      <c r="C998" s="26">
        <v>138201</v>
      </c>
      <c r="D998" s="26" t="s">
        <v>594</v>
      </c>
    </row>
    <row r="999" spans="1:4">
      <c r="A999" s="26">
        <v>138202</v>
      </c>
      <c r="B999" s="26" t="s">
        <v>606</v>
      </c>
      <c r="C999" s="26">
        <v>138202</v>
      </c>
      <c r="D999" s="26" t="s">
        <v>594</v>
      </c>
    </row>
    <row r="1000" spans="1:4">
      <c r="A1000" s="26">
        <v>138203</v>
      </c>
      <c r="B1000" s="26" t="s">
        <v>606</v>
      </c>
      <c r="C1000" s="26">
        <v>138203</v>
      </c>
      <c r="D1000" s="26" t="s">
        <v>594</v>
      </c>
    </row>
    <row r="1001" spans="1:4">
      <c r="A1001" s="26">
        <v>138204</v>
      </c>
      <c r="B1001" s="26" t="s">
        <v>606</v>
      </c>
      <c r="C1001" s="26">
        <v>138204</v>
      </c>
      <c r="D1001" s="26" t="s">
        <v>594</v>
      </c>
    </row>
    <row r="1002" spans="1:4">
      <c r="A1002" s="26">
        <v>138205</v>
      </c>
      <c r="B1002" s="26" t="s">
        <v>606</v>
      </c>
      <c r="C1002" s="26">
        <v>138205</v>
      </c>
      <c r="D1002" s="26" t="s">
        <v>594</v>
      </c>
    </row>
    <row r="1003" spans="1:4">
      <c r="A1003" s="116">
        <v>138301</v>
      </c>
      <c r="B1003" s="116" t="s">
        <v>607</v>
      </c>
      <c r="C1003" s="116">
        <v>138301</v>
      </c>
      <c r="D1003" s="116" t="s">
        <v>594</v>
      </c>
    </row>
    <row r="1004" spans="1:4">
      <c r="A1004" s="116">
        <v>138302</v>
      </c>
      <c r="B1004" s="116" t="s">
        <v>607</v>
      </c>
      <c r="C1004" s="116">
        <v>138302</v>
      </c>
      <c r="D1004" s="116" t="s">
        <v>594</v>
      </c>
    </row>
    <row r="1005" spans="1:4">
      <c r="A1005" s="116">
        <v>138303</v>
      </c>
      <c r="B1005" s="116" t="s">
        <v>607</v>
      </c>
      <c r="C1005" s="116">
        <v>138303</v>
      </c>
      <c r="D1005" s="116" t="s">
        <v>594</v>
      </c>
    </row>
    <row r="1006" spans="1:4">
      <c r="A1006" s="116">
        <v>138304</v>
      </c>
      <c r="B1006" s="116" t="s">
        <v>607</v>
      </c>
      <c r="C1006" s="116">
        <v>138304</v>
      </c>
      <c r="D1006" s="116" t="s">
        <v>594</v>
      </c>
    </row>
    <row r="1007" spans="1:4">
      <c r="A1007" s="116">
        <v>138305</v>
      </c>
      <c r="B1007" s="116" t="s">
        <v>607</v>
      </c>
      <c r="C1007" s="116">
        <v>138305</v>
      </c>
      <c r="D1007" s="116" t="s">
        <v>594</v>
      </c>
    </row>
    <row r="1008" spans="1:4">
      <c r="A1008" s="24">
        <v>138401</v>
      </c>
      <c r="B1008" s="24" t="s">
        <v>608</v>
      </c>
      <c r="C1008" s="24">
        <v>138401</v>
      </c>
      <c r="D1008" s="24" t="s">
        <v>592</v>
      </c>
    </row>
    <row r="1009" spans="1:4">
      <c r="A1009" s="24">
        <v>138402</v>
      </c>
      <c r="B1009" s="24" t="s">
        <v>608</v>
      </c>
      <c r="C1009" s="24">
        <v>138402</v>
      </c>
      <c r="D1009" s="24" t="s">
        <v>592</v>
      </c>
    </row>
    <row r="1010" spans="1:4">
      <c r="A1010" s="24">
        <v>138403</v>
      </c>
      <c r="B1010" s="24" t="s">
        <v>608</v>
      </c>
      <c r="C1010" s="24">
        <v>138403</v>
      </c>
      <c r="D1010" s="24" t="s">
        <v>592</v>
      </c>
    </row>
    <row r="1011" spans="1:4">
      <c r="A1011" s="24">
        <v>138404</v>
      </c>
      <c r="B1011" s="24" t="s">
        <v>608</v>
      </c>
      <c r="C1011" s="24">
        <v>138404</v>
      </c>
      <c r="D1011" s="24" t="s">
        <v>592</v>
      </c>
    </row>
    <row r="1012" spans="1:4">
      <c r="A1012" s="24">
        <v>138405</v>
      </c>
      <c r="B1012" s="24" t="s">
        <v>608</v>
      </c>
      <c r="C1012" s="24">
        <v>138405</v>
      </c>
      <c r="D1012" s="24" t="s">
        <v>592</v>
      </c>
    </row>
    <row r="1013" spans="1:4">
      <c r="A1013" s="26">
        <v>138501</v>
      </c>
      <c r="B1013" s="26" t="s">
        <v>609</v>
      </c>
      <c r="C1013" s="26">
        <v>138501</v>
      </c>
      <c r="D1013" s="26" t="s">
        <v>592</v>
      </c>
    </row>
    <row r="1014" spans="1:4">
      <c r="A1014" s="26">
        <v>138502</v>
      </c>
      <c r="B1014" s="26" t="s">
        <v>609</v>
      </c>
      <c r="C1014" s="26">
        <v>138502</v>
      </c>
      <c r="D1014" s="26" t="s">
        <v>592</v>
      </c>
    </row>
    <row r="1015" spans="1:4">
      <c r="A1015" s="26">
        <v>138503</v>
      </c>
      <c r="B1015" s="26" t="s">
        <v>609</v>
      </c>
      <c r="C1015" s="26">
        <v>138503</v>
      </c>
      <c r="D1015" s="26" t="s">
        <v>592</v>
      </c>
    </row>
    <row r="1016" spans="1:4">
      <c r="A1016" s="26">
        <v>138504</v>
      </c>
      <c r="B1016" s="26" t="s">
        <v>609</v>
      </c>
      <c r="C1016" s="26">
        <v>138504</v>
      </c>
      <c r="D1016" s="26" t="s">
        <v>592</v>
      </c>
    </row>
    <row r="1017" spans="1:4">
      <c r="A1017" s="26">
        <v>138505</v>
      </c>
      <c r="B1017" s="26" t="s">
        <v>609</v>
      </c>
      <c r="C1017" s="26">
        <v>138505</v>
      </c>
      <c r="D1017" s="26" t="s">
        <v>592</v>
      </c>
    </row>
    <row r="1018" spans="1:4">
      <c r="A1018" s="26">
        <v>138601</v>
      </c>
      <c r="B1018" s="26" t="s">
        <v>610</v>
      </c>
      <c r="C1018" s="26">
        <v>138601</v>
      </c>
      <c r="D1018" s="26" t="s">
        <v>592</v>
      </c>
    </row>
    <row r="1019" spans="1:4">
      <c r="A1019" s="26">
        <v>138602</v>
      </c>
      <c r="B1019" s="26" t="s">
        <v>610</v>
      </c>
      <c r="C1019" s="26">
        <v>138602</v>
      </c>
      <c r="D1019" s="26" t="s">
        <v>592</v>
      </c>
    </row>
    <row r="1020" spans="1:4">
      <c r="A1020" s="26">
        <v>138603</v>
      </c>
      <c r="B1020" s="26" t="s">
        <v>610</v>
      </c>
      <c r="C1020" s="26">
        <v>138603</v>
      </c>
      <c r="D1020" s="26" t="s">
        <v>592</v>
      </c>
    </row>
    <row r="1021" spans="1:4">
      <c r="A1021" s="26">
        <v>138604</v>
      </c>
      <c r="B1021" s="26" t="s">
        <v>610</v>
      </c>
      <c r="C1021" s="26">
        <v>138604</v>
      </c>
      <c r="D1021" s="26" t="s">
        <v>592</v>
      </c>
    </row>
    <row r="1022" spans="1:4">
      <c r="A1022" s="26">
        <v>138605</v>
      </c>
      <c r="B1022" s="26" t="s">
        <v>610</v>
      </c>
      <c r="C1022" s="26">
        <v>138605</v>
      </c>
      <c r="D1022" s="26" t="s">
        <v>592</v>
      </c>
    </row>
    <row r="1023" spans="1:4">
      <c r="A1023" s="26">
        <v>138701</v>
      </c>
      <c r="B1023" s="26" t="s">
        <v>611</v>
      </c>
      <c r="C1023" s="26">
        <v>138701</v>
      </c>
      <c r="D1023" s="26" t="s">
        <v>592</v>
      </c>
    </row>
    <row r="1024" spans="1:4">
      <c r="A1024" s="26">
        <v>138702</v>
      </c>
      <c r="B1024" s="26" t="s">
        <v>611</v>
      </c>
      <c r="C1024" s="26">
        <v>138702</v>
      </c>
      <c r="D1024" s="26" t="s">
        <v>592</v>
      </c>
    </row>
    <row r="1025" spans="1:4">
      <c r="A1025" s="26">
        <v>138703</v>
      </c>
      <c r="B1025" s="26" t="s">
        <v>611</v>
      </c>
      <c r="C1025" s="26">
        <v>138703</v>
      </c>
      <c r="D1025" s="26" t="s">
        <v>592</v>
      </c>
    </row>
    <row r="1026" spans="1:4">
      <c r="A1026" s="26">
        <v>138704</v>
      </c>
      <c r="B1026" s="26" t="s">
        <v>611</v>
      </c>
      <c r="C1026" s="26">
        <v>138704</v>
      </c>
      <c r="D1026" s="26" t="s">
        <v>592</v>
      </c>
    </row>
    <row r="1027" spans="1:4">
      <c r="A1027" s="26">
        <v>138705</v>
      </c>
      <c r="B1027" s="26" t="s">
        <v>611</v>
      </c>
      <c r="C1027" s="26">
        <v>138705</v>
      </c>
      <c r="D1027" s="26" t="s">
        <v>592</v>
      </c>
    </row>
    <row r="1028" spans="1:4">
      <c r="A1028" s="26">
        <v>138801</v>
      </c>
      <c r="B1028" s="26" t="s">
        <v>612</v>
      </c>
      <c r="C1028" s="26">
        <v>138801</v>
      </c>
      <c r="D1028" s="26" t="s">
        <v>595</v>
      </c>
    </row>
    <row r="1029" spans="1:4">
      <c r="A1029" s="26">
        <v>138802</v>
      </c>
      <c r="B1029" s="26" t="s">
        <v>612</v>
      </c>
      <c r="C1029" s="26">
        <v>138802</v>
      </c>
      <c r="D1029" s="26" t="s">
        <v>595</v>
      </c>
    </row>
    <row r="1030" spans="1:4">
      <c r="A1030" s="26">
        <v>138803</v>
      </c>
      <c r="B1030" s="26" t="s">
        <v>612</v>
      </c>
      <c r="C1030" s="26">
        <v>138803</v>
      </c>
      <c r="D1030" s="26" t="s">
        <v>595</v>
      </c>
    </row>
    <row r="1031" spans="1:4">
      <c r="A1031" s="26">
        <v>138804</v>
      </c>
      <c r="B1031" s="26" t="s">
        <v>612</v>
      </c>
      <c r="C1031" s="26">
        <v>138804</v>
      </c>
      <c r="D1031" s="26" t="s">
        <v>595</v>
      </c>
    </row>
    <row r="1032" spans="1:4">
      <c r="A1032" s="26">
        <v>138805</v>
      </c>
      <c r="B1032" s="26" t="s">
        <v>612</v>
      </c>
      <c r="C1032" s="26">
        <v>138805</v>
      </c>
      <c r="D1032" s="26" t="s">
        <v>595</v>
      </c>
    </row>
    <row r="1033" spans="1:4">
      <c r="A1033" s="26">
        <v>138901</v>
      </c>
      <c r="B1033" s="26" t="s">
        <v>613</v>
      </c>
      <c r="C1033" s="26">
        <v>138901</v>
      </c>
      <c r="D1033" s="26" t="s">
        <v>595</v>
      </c>
    </row>
    <row r="1034" spans="1:4">
      <c r="A1034" s="24">
        <v>138902</v>
      </c>
      <c r="B1034" s="24" t="s">
        <v>613</v>
      </c>
      <c r="C1034" s="24">
        <v>138902</v>
      </c>
      <c r="D1034" s="24" t="s">
        <v>595</v>
      </c>
    </row>
    <row r="1035" spans="1:4">
      <c r="A1035" s="24">
        <v>138903</v>
      </c>
      <c r="B1035" s="24" t="s">
        <v>613</v>
      </c>
      <c r="C1035" s="24">
        <v>138903</v>
      </c>
      <c r="D1035" s="24" t="s">
        <v>595</v>
      </c>
    </row>
    <row r="1036" spans="1:4">
      <c r="A1036" s="24">
        <v>138904</v>
      </c>
      <c r="B1036" s="24" t="s">
        <v>613</v>
      </c>
      <c r="C1036" s="24">
        <v>138904</v>
      </c>
      <c r="D1036" s="24" t="s">
        <v>595</v>
      </c>
    </row>
    <row r="1037" spans="1:4">
      <c r="A1037" s="24">
        <v>138905</v>
      </c>
      <c r="B1037" s="24" t="s">
        <v>613</v>
      </c>
      <c r="C1037" s="24">
        <v>138905</v>
      </c>
      <c r="D1037" s="24" t="s">
        <v>595</v>
      </c>
    </row>
    <row r="1038" spans="1:4">
      <c r="A1038" s="24">
        <v>139001</v>
      </c>
      <c r="B1038" s="24" t="s">
        <v>3489</v>
      </c>
      <c r="C1038" s="24">
        <v>139001</v>
      </c>
      <c r="D1038" s="24" t="s">
        <v>595</v>
      </c>
    </row>
    <row r="1039" spans="1:4">
      <c r="A1039" s="24">
        <v>139002</v>
      </c>
      <c r="B1039" s="24" t="s">
        <v>614</v>
      </c>
      <c r="C1039" s="24">
        <v>139002</v>
      </c>
      <c r="D1039" s="24" t="s">
        <v>595</v>
      </c>
    </row>
    <row r="1040" spans="1:4">
      <c r="A1040" s="24">
        <v>139003</v>
      </c>
      <c r="B1040" s="24" t="s">
        <v>614</v>
      </c>
      <c r="C1040" s="24">
        <v>139003</v>
      </c>
      <c r="D1040" s="24" t="s">
        <v>595</v>
      </c>
    </row>
    <row r="1041" spans="1:4">
      <c r="A1041" s="24">
        <v>139004</v>
      </c>
      <c r="B1041" s="24" t="s">
        <v>614</v>
      </c>
      <c r="C1041" s="24">
        <v>139004</v>
      </c>
      <c r="D1041" s="24" t="s">
        <v>595</v>
      </c>
    </row>
    <row r="1042" spans="1:4">
      <c r="A1042" s="24">
        <v>139005</v>
      </c>
      <c r="B1042" s="24" t="s">
        <v>614</v>
      </c>
      <c r="C1042" s="24">
        <v>139005</v>
      </c>
      <c r="D1042" s="24" t="s">
        <v>595</v>
      </c>
    </row>
    <row r="1043" spans="1:4">
      <c r="A1043" s="116">
        <v>139101</v>
      </c>
      <c r="B1043" s="116" t="s">
        <v>615</v>
      </c>
      <c r="C1043" s="116">
        <v>139101</v>
      </c>
      <c r="D1043" s="116" t="s">
        <v>595</v>
      </c>
    </row>
    <row r="1044" spans="1:4">
      <c r="A1044" s="116">
        <v>139102</v>
      </c>
      <c r="B1044" s="116" t="s">
        <v>615</v>
      </c>
      <c r="C1044" s="116">
        <v>139102</v>
      </c>
      <c r="D1044" s="116" t="s">
        <v>595</v>
      </c>
    </row>
    <row r="1045" spans="1:4">
      <c r="A1045" s="116">
        <v>139103</v>
      </c>
      <c r="B1045" s="116" t="s">
        <v>615</v>
      </c>
      <c r="C1045" s="116">
        <v>139103</v>
      </c>
      <c r="D1045" s="116" t="s">
        <v>595</v>
      </c>
    </row>
    <row r="1046" spans="1:4">
      <c r="A1046" s="116">
        <v>139104</v>
      </c>
      <c r="B1046" s="116" t="s">
        <v>615</v>
      </c>
      <c r="C1046" s="116">
        <v>139104</v>
      </c>
      <c r="D1046" s="116" t="s">
        <v>595</v>
      </c>
    </row>
    <row r="1047" spans="1:4">
      <c r="A1047" s="116">
        <v>139105</v>
      </c>
      <c r="B1047" s="116" t="s">
        <v>615</v>
      </c>
      <c r="C1047" s="116">
        <v>139105</v>
      </c>
      <c r="D1047" s="116" t="s">
        <v>595</v>
      </c>
    </row>
    <row r="1048" spans="1:4">
      <c r="A1048" s="24">
        <v>139201</v>
      </c>
      <c r="B1048" s="24" t="s">
        <v>2366</v>
      </c>
      <c r="C1048" s="24">
        <v>139201</v>
      </c>
      <c r="D1048" s="24" t="s">
        <v>593</v>
      </c>
    </row>
    <row r="1049" spans="1:4">
      <c r="A1049" s="24">
        <v>139202</v>
      </c>
      <c r="B1049" s="24" t="s">
        <v>616</v>
      </c>
      <c r="C1049" s="24">
        <v>139202</v>
      </c>
      <c r="D1049" s="24" t="s">
        <v>593</v>
      </c>
    </row>
    <row r="1050" spans="1:4">
      <c r="A1050" s="24">
        <v>139203</v>
      </c>
      <c r="B1050" s="24" t="s">
        <v>616</v>
      </c>
      <c r="C1050" s="24">
        <v>139203</v>
      </c>
      <c r="D1050" s="24" t="s">
        <v>593</v>
      </c>
    </row>
    <row r="1051" spans="1:4">
      <c r="A1051" s="24">
        <v>139204</v>
      </c>
      <c r="B1051" s="24" t="s">
        <v>616</v>
      </c>
      <c r="C1051" s="24">
        <v>139204</v>
      </c>
      <c r="D1051" s="24" t="s">
        <v>593</v>
      </c>
    </row>
    <row r="1052" spans="1:4">
      <c r="A1052" s="24">
        <v>139205</v>
      </c>
      <c r="B1052" s="24" t="s">
        <v>616</v>
      </c>
      <c r="C1052" s="24">
        <v>139205</v>
      </c>
      <c r="D1052" s="24" t="s">
        <v>593</v>
      </c>
    </row>
    <row r="1053" spans="1:4">
      <c r="A1053" s="25">
        <v>139301</v>
      </c>
      <c r="B1053" s="25" t="s">
        <v>617</v>
      </c>
      <c r="C1053" s="25">
        <v>139301</v>
      </c>
      <c r="D1053" s="25" t="s">
        <v>596</v>
      </c>
    </row>
    <row r="1054" spans="1:4">
      <c r="A1054" s="25">
        <v>139302</v>
      </c>
      <c r="B1054" s="25" t="s">
        <v>617</v>
      </c>
      <c r="C1054" s="25">
        <v>139302</v>
      </c>
      <c r="D1054" s="25" t="s">
        <v>596</v>
      </c>
    </row>
    <row r="1055" spans="1:4">
      <c r="A1055" s="25">
        <v>139303</v>
      </c>
      <c r="B1055" s="25" t="s">
        <v>617</v>
      </c>
      <c r="C1055" s="25">
        <v>139303</v>
      </c>
      <c r="D1055" s="25" t="s">
        <v>596</v>
      </c>
    </row>
    <row r="1056" spans="1:4">
      <c r="A1056" s="25">
        <v>139304</v>
      </c>
      <c r="B1056" s="25" t="s">
        <v>617</v>
      </c>
      <c r="C1056" s="25">
        <v>139304</v>
      </c>
      <c r="D1056" s="25" t="s">
        <v>596</v>
      </c>
    </row>
    <row r="1057" spans="1:4">
      <c r="A1057" s="25">
        <v>139305</v>
      </c>
      <c r="B1057" s="25" t="s">
        <v>617</v>
      </c>
      <c r="C1057" s="25">
        <v>139305</v>
      </c>
      <c r="D1057" s="25" t="s">
        <v>596</v>
      </c>
    </row>
    <row r="1058" spans="1:4">
      <c r="A1058" s="26">
        <v>139401</v>
      </c>
      <c r="B1058" s="26" t="s">
        <v>618</v>
      </c>
      <c r="C1058" s="26">
        <v>139401</v>
      </c>
      <c r="D1058" s="26" t="s">
        <v>596</v>
      </c>
    </row>
    <row r="1059" spans="1:4">
      <c r="A1059" s="26">
        <v>139402</v>
      </c>
      <c r="B1059" s="26" t="s">
        <v>618</v>
      </c>
      <c r="C1059" s="26">
        <v>139402</v>
      </c>
      <c r="D1059" s="26" t="s">
        <v>596</v>
      </c>
    </row>
    <row r="1060" spans="1:4">
      <c r="A1060" s="26">
        <v>139403</v>
      </c>
      <c r="B1060" s="26" t="s">
        <v>618</v>
      </c>
      <c r="C1060" s="26">
        <v>139403</v>
      </c>
      <c r="D1060" s="26" t="s">
        <v>596</v>
      </c>
    </row>
    <row r="1061" spans="1:4">
      <c r="A1061" s="26">
        <v>139404</v>
      </c>
      <c r="B1061" s="26" t="s">
        <v>618</v>
      </c>
      <c r="C1061" s="26">
        <v>139404</v>
      </c>
      <c r="D1061" s="26" t="s">
        <v>596</v>
      </c>
    </row>
    <row r="1062" spans="1:4">
      <c r="A1062" s="26">
        <v>139405</v>
      </c>
      <c r="B1062" s="26" t="s">
        <v>618</v>
      </c>
      <c r="C1062" s="26">
        <v>139405</v>
      </c>
      <c r="D1062" s="26" t="s">
        <v>596</v>
      </c>
    </row>
    <row r="1063" spans="1:4">
      <c r="A1063" s="116">
        <v>139501</v>
      </c>
      <c r="B1063" s="116" t="s">
        <v>619</v>
      </c>
      <c r="C1063" s="116">
        <v>139501</v>
      </c>
      <c r="D1063" s="116" t="s">
        <v>593</v>
      </c>
    </row>
    <row r="1064" spans="1:4">
      <c r="A1064" s="116">
        <v>139502</v>
      </c>
      <c r="B1064" s="116" t="s">
        <v>619</v>
      </c>
      <c r="C1064" s="116">
        <v>139502</v>
      </c>
      <c r="D1064" s="116" t="s">
        <v>593</v>
      </c>
    </row>
    <row r="1065" spans="1:4">
      <c r="A1065" s="116">
        <v>139503</v>
      </c>
      <c r="B1065" s="116" t="s">
        <v>619</v>
      </c>
      <c r="C1065" s="116">
        <v>139503</v>
      </c>
      <c r="D1065" s="116" t="s">
        <v>593</v>
      </c>
    </row>
    <row r="1066" spans="1:4">
      <c r="A1066" s="116">
        <v>139504</v>
      </c>
      <c r="B1066" s="116" t="s">
        <v>619</v>
      </c>
      <c r="C1066" s="116">
        <v>139504</v>
      </c>
      <c r="D1066" s="116" t="s">
        <v>593</v>
      </c>
    </row>
    <row r="1067" spans="1:4">
      <c r="A1067" s="116">
        <v>139505</v>
      </c>
      <c r="B1067" s="116" t="s">
        <v>619</v>
      </c>
      <c r="C1067" s="116">
        <v>139505</v>
      </c>
      <c r="D1067" s="116" t="s">
        <v>593</v>
      </c>
    </row>
    <row r="1068" spans="1:4">
      <c r="A1068" s="116">
        <v>139601</v>
      </c>
      <c r="B1068" s="116" t="s">
        <v>3490</v>
      </c>
      <c r="C1068" s="116">
        <v>139601</v>
      </c>
      <c r="D1068" s="116" t="s">
        <v>593</v>
      </c>
    </row>
    <row r="1069" spans="1:4">
      <c r="A1069" s="116">
        <v>139602</v>
      </c>
      <c r="B1069" s="116" t="s">
        <v>3491</v>
      </c>
      <c r="C1069" s="116">
        <v>139602</v>
      </c>
      <c r="D1069" s="116" t="s">
        <v>593</v>
      </c>
    </row>
    <row r="1070" spans="1:4">
      <c r="A1070" s="116">
        <v>139603</v>
      </c>
      <c r="B1070" s="116" t="s">
        <v>3491</v>
      </c>
      <c r="C1070" s="116">
        <v>139603</v>
      </c>
      <c r="D1070" s="116" t="s">
        <v>593</v>
      </c>
    </row>
    <row r="1071" spans="1:4">
      <c r="A1071" s="116">
        <v>139604</v>
      </c>
      <c r="B1071" s="116" t="s">
        <v>3491</v>
      </c>
      <c r="C1071" s="116">
        <v>139604</v>
      </c>
      <c r="D1071" s="116" t="s">
        <v>593</v>
      </c>
    </row>
    <row r="1072" spans="1:4">
      <c r="A1072" s="116">
        <v>139605</v>
      </c>
      <c r="B1072" s="116" t="s">
        <v>3491</v>
      </c>
      <c r="C1072" s="116">
        <v>139605</v>
      </c>
      <c r="D1072" s="116" t="s">
        <v>593</v>
      </c>
    </row>
    <row r="1073" spans="1:4">
      <c r="A1073" s="26">
        <v>139701</v>
      </c>
      <c r="B1073" s="26" t="s">
        <v>3492</v>
      </c>
      <c r="C1073" s="26">
        <v>139701</v>
      </c>
      <c r="D1073" s="117" t="s">
        <v>593</v>
      </c>
    </row>
    <row r="1074" spans="1:4">
      <c r="A1074" s="26">
        <v>139702</v>
      </c>
      <c r="B1074" s="26" t="s">
        <v>3492</v>
      </c>
      <c r="C1074" s="26">
        <v>139702</v>
      </c>
      <c r="D1074" s="117" t="s">
        <v>593</v>
      </c>
    </row>
    <row r="1075" spans="1:4">
      <c r="A1075" s="26">
        <v>139703</v>
      </c>
      <c r="B1075" s="26" t="s">
        <v>3492</v>
      </c>
      <c r="C1075" s="26">
        <v>139703</v>
      </c>
      <c r="D1075" s="117" t="s">
        <v>593</v>
      </c>
    </row>
    <row r="1076" spans="1:4">
      <c r="A1076" s="26">
        <v>139704</v>
      </c>
      <c r="B1076" s="26" t="s">
        <v>3492</v>
      </c>
      <c r="C1076" s="26">
        <v>139704</v>
      </c>
      <c r="D1076" s="117" t="s">
        <v>593</v>
      </c>
    </row>
    <row r="1077" spans="1:4">
      <c r="A1077" s="26">
        <v>139705</v>
      </c>
      <c r="B1077" s="26" t="s">
        <v>3492</v>
      </c>
      <c r="C1077" s="26">
        <v>139705</v>
      </c>
      <c r="D1077" s="117" t="s">
        <v>593</v>
      </c>
    </row>
    <row r="1078" spans="1:4">
      <c r="A1078" s="26">
        <v>139801</v>
      </c>
      <c r="B1078" s="26" t="s">
        <v>3493</v>
      </c>
      <c r="C1078" s="26">
        <v>139801</v>
      </c>
      <c r="D1078" s="118" t="s">
        <v>593</v>
      </c>
    </row>
    <row r="1079" spans="1:4">
      <c r="A1079" s="26">
        <v>139802</v>
      </c>
      <c r="B1079" s="26" t="s">
        <v>3493</v>
      </c>
      <c r="C1079" s="26">
        <v>139802</v>
      </c>
      <c r="D1079" s="118" t="s">
        <v>593</v>
      </c>
    </row>
    <row r="1080" spans="1:4">
      <c r="A1080" s="26">
        <v>139803</v>
      </c>
      <c r="B1080" s="26" t="s">
        <v>3493</v>
      </c>
      <c r="C1080" s="26">
        <v>139803</v>
      </c>
      <c r="D1080" s="118" t="s">
        <v>593</v>
      </c>
    </row>
    <row r="1081" spans="1:4">
      <c r="A1081" s="26">
        <v>139804</v>
      </c>
      <c r="B1081" s="26" t="s">
        <v>3493</v>
      </c>
      <c r="C1081" s="26">
        <v>139804</v>
      </c>
      <c r="D1081" s="118" t="s">
        <v>593</v>
      </c>
    </row>
    <row r="1082" spans="1:4">
      <c r="A1082" s="26">
        <v>139805</v>
      </c>
      <c r="B1082" s="26" t="s">
        <v>3493</v>
      </c>
      <c r="C1082" s="26">
        <v>139805</v>
      </c>
      <c r="D1082" s="118" t="s">
        <v>593</v>
      </c>
    </row>
    <row r="1083" spans="1:4">
      <c r="A1083" s="116">
        <v>139901</v>
      </c>
      <c r="B1083" s="116" t="s">
        <v>3494</v>
      </c>
      <c r="C1083" s="116">
        <v>139901</v>
      </c>
      <c r="D1083" s="119" t="s">
        <v>593</v>
      </c>
    </row>
    <row r="1084" spans="1:4">
      <c r="A1084" s="116">
        <v>139902</v>
      </c>
      <c r="B1084" s="116" t="s">
        <v>3494</v>
      </c>
      <c r="C1084" s="116">
        <v>139902</v>
      </c>
      <c r="D1084" s="119" t="s">
        <v>593</v>
      </c>
    </row>
    <row r="1085" spans="1:4">
      <c r="A1085" s="116">
        <v>139903</v>
      </c>
      <c r="B1085" s="116" t="s">
        <v>3494</v>
      </c>
      <c r="C1085" s="116">
        <v>139903</v>
      </c>
      <c r="D1085" s="119" t="s">
        <v>593</v>
      </c>
    </row>
    <row r="1086" spans="1:4">
      <c r="A1086" s="116">
        <v>139904</v>
      </c>
      <c r="B1086" s="116" t="s">
        <v>3494</v>
      </c>
      <c r="C1086" s="116">
        <v>139904</v>
      </c>
      <c r="D1086" s="119" t="s">
        <v>593</v>
      </c>
    </row>
    <row r="1087" spans="1:4">
      <c r="A1087" s="116">
        <v>139905</v>
      </c>
      <c r="B1087" s="116" t="s">
        <v>3494</v>
      </c>
      <c r="C1087" s="116">
        <v>139905</v>
      </c>
      <c r="D1087" s="119" t="s">
        <v>593</v>
      </c>
    </row>
    <row r="1088" spans="1:4">
      <c r="A1088" s="25">
        <v>140001</v>
      </c>
      <c r="B1088" s="25" t="s">
        <v>3495</v>
      </c>
      <c r="C1088" s="25">
        <v>140001</v>
      </c>
      <c r="D1088" s="81" t="s">
        <v>599</v>
      </c>
    </row>
    <row r="1089" spans="1:4">
      <c r="A1089" s="25">
        <v>140002</v>
      </c>
      <c r="B1089" s="25" t="s">
        <v>3495</v>
      </c>
      <c r="C1089" s="25">
        <v>140002</v>
      </c>
      <c r="D1089" s="81" t="s">
        <v>599</v>
      </c>
    </row>
    <row r="1090" spans="1:4">
      <c r="A1090" s="25">
        <v>140003</v>
      </c>
      <c r="B1090" s="25" t="s">
        <v>3495</v>
      </c>
      <c r="C1090" s="25">
        <v>140003</v>
      </c>
      <c r="D1090" s="81" t="s">
        <v>599</v>
      </c>
    </row>
    <row r="1091" spans="1:4">
      <c r="A1091" s="25">
        <v>140004</v>
      </c>
      <c r="B1091" s="25" t="s">
        <v>3495</v>
      </c>
      <c r="C1091" s="25">
        <v>140004</v>
      </c>
      <c r="D1091" s="81" t="s">
        <v>599</v>
      </c>
    </row>
    <row r="1092" spans="1:4">
      <c r="A1092" s="25">
        <v>140005</v>
      </c>
      <c r="B1092" s="25" t="s">
        <v>3495</v>
      </c>
      <c r="C1092" s="25">
        <v>140005</v>
      </c>
      <c r="D1092" s="81" t="s">
        <v>599</v>
      </c>
    </row>
    <row r="1093" spans="1:4">
      <c r="A1093" s="23"/>
      <c r="B1093" s="27" t="s">
        <v>3496</v>
      </c>
      <c r="C1093" s="23"/>
      <c r="D1093" s="23"/>
    </row>
    <row r="1094" spans="1:4">
      <c r="A1094" s="24">
        <v>200001</v>
      </c>
      <c r="B1094" s="24" t="s">
        <v>3569</v>
      </c>
      <c r="C1094" s="24">
        <v>200001</v>
      </c>
      <c r="D1094" s="24" t="s">
        <v>593</v>
      </c>
    </row>
    <row r="1095" spans="1:4">
      <c r="A1095" s="24">
        <v>200002</v>
      </c>
      <c r="B1095" s="24" t="s">
        <v>3569</v>
      </c>
      <c r="C1095" s="24">
        <v>200002</v>
      </c>
      <c r="D1095" s="24" t="s">
        <v>593</v>
      </c>
    </row>
    <row r="1096" spans="1:4">
      <c r="A1096" s="24">
        <v>200003</v>
      </c>
      <c r="B1096" s="24" t="s">
        <v>3569</v>
      </c>
      <c r="C1096" s="24">
        <v>200003</v>
      </c>
      <c r="D1096" s="24" t="s">
        <v>593</v>
      </c>
    </row>
    <row r="1097" spans="1:4">
      <c r="A1097" s="24">
        <v>200004</v>
      </c>
      <c r="B1097" s="24" t="s">
        <v>3570</v>
      </c>
      <c r="C1097" s="24">
        <v>200004</v>
      </c>
      <c r="D1097" s="24" t="s">
        <v>596</v>
      </c>
    </row>
    <row r="1098" spans="1:4">
      <c r="A1098" s="24">
        <v>200005</v>
      </c>
      <c r="B1098" s="24" t="s">
        <v>3570</v>
      </c>
      <c r="C1098" s="24">
        <v>200005</v>
      </c>
      <c r="D1098" s="24" t="s">
        <v>596</v>
      </c>
    </row>
    <row r="1099" spans="1:4">
      <c r="A1099" s="24">
        <v>200006</v>
      </c>
      <c r="B1099" s="24" t="s">
        <v>3570</v>
      </c>
      <c r="C1099" s="24">
        <v>200006</v>
      </c>
      <c r="D1099" s="24" t="s">
        <v>596</v>
      </c>
    </row>
    <row r="1100" spans="1:4">
      <c r="A1100" s="24">
        <v>200008</v>
      </c>
      <c r="B1100" s="24" t="s">
        <v>3571</v>
      </c>
      <c r="C1100" s="24">
        <v>200008</v>
      </c>
      <c r="D1100" s="24" t="s">
        <v>595</v>
      </c>
    </row>
    <row r="1101" spans="1:4">
      <c r="A1101" s="24">
        <v>200009</v>
      </c>
      <c r="B1101" s="24" t="s">
        <v>3572</v>
      </c>
      <c r="C1101" s="24">
        <v>200009</v>
      </c>
      <c r="D1101" s="24" t="s">
        <v>595</v>
      </c>
    </row>
    <row r="1102" spans="1:4">
      <c r="A1102" s="24">
        <v>200010</v>
      </c>
      <c r="B1102" s="24" t="s">
        <v>3573</v>
      </c>
      <c r="C1102" s="24">
        <v>200010</v>
      </c>
      <c r="D1102" s="24" t="s">
        <v>595</v>
      </c>
    </row>
    <row r="1103" spans="1:4">
      <c r="A1103" s="24">
        <v>200011</v>
      </c>
      <c r="B1103" s="24" t="s">
        <v>2367</v>
      </c>
      <c r="C1103" s="24">
        <v>200011</v>
      </c>
      <c r="D1103" s="24" t="s">
        <v>595</v>
      </c>
    </row>
    <row r="1104" spans="1:4">
      <c r="A1104" s="24">
        <v>200012</v>
      </c>
      <c r="B1104" s="24" t="s">
        <v>3574</v>
      </c>
      <c r="C1104" s="24">
        <v>200012</v>
      </c>
      <c r="D1104" s="24" t="s">
        <v>595</v>
      </c>
    </row>
    <row r="1105" spans="1:4">
      <c r="A1105" s="24">
        <v>200013</v>
      </c>
      <c r="B1105" s="24" t="s">
        <v>3575</v>
      </c>
      <c r="C1105" s="24">
        <v>200013</v>
      </c>
      <c r="D1105" s="24" t="s">
        <v>592</v>
      </c>
    </row>
    <row r="1106" spans="1:4">
      <c r="A1106" s="24">
        <v>200014</v>
      </c>
      <c r="B1106" s="24" t="s">
        <v>3576</v>
      </c>
      <c r="C1106" s="24">
        <v>200014</v>
      </c>
      <c r="D1106" s="24" t="s">
        <v>592</v>
      </c>
    </row>
    <row r="1107" spans="1:4">
      <c r="A1107" s="24">
        <v>200015</v>
      </c>
      <c r="B1107" s="24" t="s">
        <v>3577</v>
      </c>
      <c r="C1107" s="24">
        <v>200015</v>
      </c>
      <c r="D1107" s="24" t="s">
        <v>593</v>
      </c>
    </row>
    <row r="1108" spans="1:4">
      <c r="A1108" s="24">
        <v>200016</v>
      </c>
      <c r="B1108" s="26" t="s">
        <v>140</v>
      </c>
      <c r="C1108" s="24">
        <v>200016</v>
      </c>
      <c r="D1108" s="24" t="s">
        <v>596</v>
      </c>
    </row>
    <row r="1109" spans="1:4">
      <c r="A1109" s="24">
        <v>200017</v>
      </c>
      <c r="B1109" s="24" t="s">
        <v>3578</v>
      </c>
      <c r="C1109" s="24">
        <v>200017</v>
      </c>
      <c r="D1109" s="24" t="s">
        <v>593</v>
      </c>
    </row>
    <row r="1110" spans="1:4">
      <c r="A1110" s="24">
        <v>200018</v>
      </c>
      <c r="B1110" s="24" t="s">
        <v>3579</v>
      </c>
      <c r="C1110" s="24">
        <v>200018</v>
      </c>
      <c r="D1110" s="24" t="s">
        <v>594</v>
      </c>
    </row>
    <row r="1111" spans="1:4">
      <c r="A1111" s="24">
        <v>200019</v>
      </c>
      <c r="B1111" s="24" t="s">
        <v>3497</v>
      </c>
      <c r="C1111" s="24">
        <v>200019</v>
      </c>
      <c r="D1111" s="24" t="s">
        <v>593</v>
      </c>
    </row>
    <row r="1112" spans="1:4">
      <c r="A1112" s="24">
        <v>200020</v>
      </c>
      <c r="B1112" s="24" t="s">
        <v>3579</v>
      </c>
      <c r="C1112" s="24">
        <v>200020</v>
      </c>
      <c r="D1112" s="24" t="s">
        <v>594</v>
      </c>
    </row>
    <row r="1113" spans="1:4">
      <c r="A1113" s="24">
        <v>200021</v>
      </c>
      <c r="B1113" s="24" t="s">
        <v>2368</v>
      </c>
      <c r="C1113" s="24">
        <v>200021</v>
      </c>
      <c r="D1113" s="24" t="s">
        <v>595</v>
      </c>
    </row>
    <row r="1114" spans="1:4">
      <c r="A1114" s="24">
        <v>200022</v>
      </c>
      <c r="B1114" s="24" t="s">
        <v>2368</v>
      </c>
      <c r="C1114" s="24">
        <v>200022</v>
      </c>
      <c r="D1114" s="24" t="s">
        <v>595</v>
      </c>
    </row>
    <row r="1115" spans="1:4">
      <c r="A1115" s="24">
        <v>200023</v>
      </c>
      <c r="B1115" s="24" t="s">
        <v>2368</v>
      </c>
      <c r="C1115" s="24">
        <v>200023</v>
      </c>
      <c r="D1115" s="24" t="s">
        <v>595</v>
      </c>
    </row>
    <row r="1116" spans="1:4">
      <c r="A1116" s="24">
        <v>200024</v>
      </c>
      <c r="B1116" s="24" t="s">
        <v>2369</v>
      </c>
      <c r="C1116" s="24">
        <v>200024</v>
      </c>
      <c r="D1116" s="24" t="s">
        <v>594</v>
      </c>
    </row>
    <row r="1117" spans="1:4">
      <c r="A1117" s="24">
        <v>200025</v>
      </c>
      <c r="B1117" s="24" t="s">
        <v>2370</v>
      </c>
      <c r="C1117" s="24">
        <v>200025</v>
      </c>
      <c r="D1117" s="24" t="s">
        <v>596</v>
      </c>
    </row>
    <row r="1118" spans="1:4">
      <c r="A1118" s="24">
        <v>200026</v>
      </c>
      <c r="B1118" s="24" t="s">
        <v>121</v>
      </c>
      <c r="C1118" s="24">
        <v>200026</v>
      </c>
      <c r="D1118" s="24" t="s">
        <v>596</v>
      </c>
    </row>
    <row r="1119" spans="1:4">
      <c r="A1119" s="24">
        <v>200027</v>
      </c>
      <c r="B1119" s="24" t="s">
        <v>3580</v>
      </c>
      <c r="C1119" s="24">
        <v>200027</v>
      </c>
      <c r="D1119" s="24" t="s">
        <v>593</v>
      </c>
    </row>
    <row r="1120" spans="1:4">
      <c r="A1120" s="24">
        <v>200028</v>
      </c>
      <c r="B1120" s="24" t="s">
        <v>3581</v>
      </c>
      <c r="C1120" s="24">
        <v>200028</v>
      </c>
      <c r="D1120" s="24" t="s">
        <v>594</v>
      </c>
    </row>
    <row r="1121" spans="1:4">
      <c r="A1121" s="24">
        <v>200029</v>
      </c>
      <c r="B1121" s="24" t="s">
        <v>3570</v>
      </c>
      <c r="C1121" s="24">
        <v>200029</v>
      </c>
      <c r="D1121" s="24" t="s">
        <v>593</v>
      </c>
    </row>
    <row r="1122" spans="1:4">
      <c r="A1122" s="24">
        <v>200030</v>
      </c>
      <c r="B1122" s="24" t="s">
        <v>38</v>
      </c>
      <c r="C1122" s="24">
        <v>200030</v>
      </c>
      <c r="D1122" s="24" t="s">
        <v>594</v>
      </c>
    </row>
    <row r="1123" spans="1:4">
      <c r="A1123" s="24">
        <v>200033</v>
      </c>
      <c r="B1123" s="24" t="s">
        <v>3582</v>
      </c>
      <c r="C1123" s="24">
        <v>200033</v>
      </c>
      <c r="D1123" s="24" t="s">
        <v>596</v>
      </c>
    </row>
    <row r="1124" spans="1:4">
      <c r="A1124" s="24">
        <v>200034</v>
      </c>
      <c r="B1124" s="24" t="s">
        <v>3583</v>
      </c>
      <c r="C1124" s="24">
        <v>200034</v>
      </c>
      <c r="D1124" s="24" t="s">
        <v>593</v>
      </c>
    </row>
    <row r="1125" spans="1:4">
      <c r="A1125" s="24">
        <v>200035</v>
      </c>
      <c r="B1125" s="24" t="s">
        <v>635</v>
      </c>
      <c r="C1125" s="24">
        <v>200035</v>
      </c>
      <c r="D1125" s="24" t="s">
        <v>595</v>
      </c>
    </row>
    <row r="1126" spans="1:4">
      <c r="A1126" s="24">
        <v>200036</v>
      </c>
      <c r="B1126" s="24" t="s">
        <v>2371</v>
      </c>
      <c r="C1126" s="24">
        <v>200036</v>
      </c>
      <c r="D1126" s="24" t="s">
        <v>595</v>
      </c>
    </row>
    <row r="1127" spans="1:4">
      <c r="A1127" s="24">
        <v>200037</v>
      </c>
      <c r="B1127" s="24" t="s">
        <v>2372</v>
      </c>
      <c r="C1127" s="24">
        <v>200037</v>
      </c>
      <c r="D1127" s="24" t="s">
        <v>592</v>
      </c>
    </row>
    <row r="1128" spans="1:4">
      <c r="A1128" s="24">
        <v>200038</v>
      </c>
      <c r="B1128" s="24" t="s">
        <v>3498</v>
      </c>
      <c r="C1128" s="24">
        <v>200038</v>
      </c>
      <c r="D1128" s="24" t="s">
        <v>596</v>
      </c>
    </row>
    <row r="1129" spans="1:4">
      <c r="A1129" s="24">
        <v>200039</v>
      </c>
      <c r="B1129" s="24" t="s">
        <v>3499</v>
      </c>
      <c r="C1129" s="24">
        <v>200039</v>
      </c>
      <c r="D1129" s="24" t="s">
        <v>595</v>
      </c>
    </row>
    <row r="1130" spans="1:4">
      <c r="A1130" s="24">
        <v>200040</v>
      </c>
      <c r="B1130" s="24" t="s">
        <v>3500</v>
      </c>
      <c r="C1130" s="24">
        <v>200040</v>
      </c>
      <c r="D1130" s="24" t="s">
        <v>592</v>
      </c>
    </row>
    <row r="1131" spans="1:4">
      <c r="A1131" s="24">
        <v>200041</v>
      </c>
      <c r="B1131" s="24" t="s">
        <v>3584</v>
      </c>
      <c r="C1131" s="24">
        <v>200041</v>
      </c>
      <c r="D1131" s="24" t="s">
        <v>594</v>
      </c>
    </row>
    <row r="1132" spans="1:4">
      <c r="A1132" s="24">
        <v>200042</v>
      </c>
      <c r="B1132" s="24" t="s">
        <v>3585</v>
      </c>
      <c r="C1132" s="24">
        <v>200042</v>
      </c>
      <c r="D1132" s="24" t="s">
        <v>596</v>
      </c>
    </row>
    <row r="1133" spans="1:4">
      <c r="A1133" s="24">
        <v>200043</v>
      </c>
      <c r="B1133" s="24" t="s">
        <v>3501</v>
      </c>
      <c r="C1133" s="24">
        <v>200043</v>
      </c>
      <c r="D1133" s="24" t="s">
        <v>594</v>
      </c>
    </row>
    <row r="1134" spans="1:4">
      <c r="A1134" s="25">
        <v>200044</v>
      </c>
      <c r="B1134" s="25" t="s">
        <v>142</v>
      </c>
      <c r="C1134" s="25">
        <v>200044</v>
      </c>
      <c r="D1134" s="25" t="s">
        <v>592</v>
      </c>
    </row>
    <row r="1135" spans="1:4">
      <c r="A1135" s="24">
        <v>200045</v>
      </c>
      <c r="B1135" s="24" t="s">
        <v>47</v>
      </c>
      <c r="C1135" s="24">
        <v>200045</v>
      </c>
      <c r="D1135" s="24" t="s">
        <v>592</v>
      </c>
    </row>
    <row r="1136" spans="1:4">
      <c r="A1136" s="24">
        <v>200046</v>
      </c>
      <c r="B1136" s="24" t="s">
        <v>46</v>
      </c>
      <c r="C1136" s="24">
        <v>200046</v>
      </c>
      <c r="D1136" s="24" t="s">
        <v>592</v>
      </c>
    </row>
    <row r="1137" spans="1:4">
      <c r="A1137" s="24">
        <v>200047</v>
      </c>
      <c r="B1137" s="24" t="s">
        <v>56</v>
      </c>
      <c r="C1137" s="24">
        <v>200047</v>
      </c>
      <c r="D1137" s="24" t="s">
        <v>592</v>
      </c>
    </row>
    <row r="1138" spans="1:4">
      <c r="A1138" s="24">
        <v>200048</v>
      </c>
      <c r="B1138" s="24" t="s">
        <v>3568</v>
      </c>
      <c r="C1138" s="24">
        <v>200048</v>
      </c>
      <c r="D1138" s="24" t="s">
        <v>593</v>
      </c>
    </row>
    <row r="1139" spans="1:4">
      <c r="A1139" s="24">
        <v>200049</v>
      </c>
      <c r="B1139" s="24" t="s">
        <v>48</v>
      </c>
      <c r="C1139" s="24">
        <v>200049</v>
      </c>
      <c r="D1139" s="24" t="s">
        <v>592</v>
      </c>
    </row>
    <row r="1140" spans="1:4">
      <c r="A1140" s="24">
        <v>200050</v>
      </c>
      <c r="B1140" s="24" t="s">
        <v>45</v>
      </c>
      <c r="C1140" s="24">
        <v>200050</v>
      </c>
      <c r="D1140" s="24" t="s">
        <v>594</v>
      </c>
    </row>
    <row r="1141" spans="1:4">
      <c r="A1141" s="24">
        <v>200051</v>
      </c>
      <c r="B1141" s="24" t="s">
        <v>3565</v>
      </c>
      <c r="C1141" s="24">
        <v>200051</v>
      </c>
      <c r="D1141" s="24" t="s">
        <v>593</v>
      </c>
    </row>
    <row r="1142" spans="1:4">
      <c r="A1142" s="24">
        <v>200052</v>
      </c>
      <c r="B1142" s="24" t="s">
        <v>49</v>
      </c>
      <c r="C1142" s="24">
        <v>200052</v>
      </c>
      <c r="D1142" s="24" t="s">
        <v>594</v>
      </c>
    </row>
    <row r="1143" spans="1:4">
      <c r="A1143" s="24">
        <v>200053</v>
      </c>
      <c r="B1143" s="24" t="s">
        <v>44</v>
      </c>
      <c r="C1143" s="24">
        <v>200053</v>
      </c>
      <c r="D1143" s="24" t="s">
        <v>594</v>
      </c>
    </row>
    <row r="1144" spans="1:4">
      <c r="A1144" s="24">
        <v>200054</v>
      </c>
      <c r="B1144" s="24" t="s">
        <v>2364</v>
      </c>
      <c r="C1144" s="24">
        <v>200054</v>
      </c>
      <c r="D1144" s="24" t="s">
        <v>594</v>
      </c>
    </row>
    <row r="1145" spans="1:4">
      <c r="A1145" s="24">
        <v>200055</v>
      </c>
      <c r="B1145" s="24" t="s">
        <v>70</v>
      </c>
      <c r="C1145" s="24">
        <v>200055</v>
      </c>
      <c r="D1145" s="24" t="s">
        <v>594</v>
      </c>
    </row>
    <row r="1146" spans="1:4">
      <c r="A1146" s="24">
        <v>200056</v>
      </c>
      <c r="B1146" s="24" t="s">
        <v>3586</v>
      </c>
      <c r="C1146" s="24">
        <v>200056</v>
      </c>
      <c r="D1146" s="24" t="s">
        <v>594</v>
      </c>
    </row>
    <row r="1147" spans="1:4">
      <c r="A1147" s="24">
        <v>200057</v>
      </c>
      <c r="B1147" s="24" t="s">
        <v>61</v>
      </c>
      <c r="C1147" s="24">
        <v>200057</v>
      </c>
      <c r="D1147" s="24" t="s">
        <v>594</v>
      </c>
    </row>
    <row r="1148" spans="1:4">
      <c r="A1148" s="24">
        <v>200058</v>
      </c>
      <c r="B1148" s="24" t="s">
        <v>1221</v>
      </c>
      <c r="C1148" s="24">
        <v>200058</v>
      </c>
      <c r="D1148" s="24" t="s">
        <v>594</v>
      </c>
    </row>
    <row r="1149" spans="1:4">
      <c r="A1149" s="24">
        <v>200059</v>
      </c>
      <c r="B1149" s="24" t="s">
        <v>3564</v>
      </c>
      <c r="C1149" s="24">
        <v>200059</v>
      </c>
      <c r="D1149" s="24" t="s">
        <v>596</v>
      </c>
    </row>
    <row r="1150" spans="1:4">
      <c r="A1150" s="24">
        <v>200060</v>
      </c>
      <c r="B1150" s="24" t="s">
        <v>51</v>
      </c>
      <c r="C1150" s="24">
        <v>200060</v>
      </c>
      <c r="D1150" s="24" t="s">
        <v>596</v>
      </c>
    </row>
    <row r="1151" spans="1:4">
      <c r="A1151" s="24">
        <v>200061</v>
      </c>
      <c r="B1151" s="24" t="s">
        <v>2373</v>
      </c>
      <c r="C1151" s="24">
        <v>200061</v>
      </c>
      <c r="D1151" s="24" t="s">
        <v>595</v>
      </c>
    </row>
    <row r="1152" spans="1:4">
      <c r="A1152" s="24">
        <v>200062</v>
      </c>
      <c r="B1152" s="24" t="s">
        <v>1221</v>
      </c>
      <c r="C1152" s="24">
        <v>200062</v>
      </c>
      <c r="D1152" s="24" t="s">
        <v>594</v>
      </c>
    </row>
    <row r="1153" spans="1:4">
      <c r="A1153" s="24">
        <v>200063</v>
      </c>
      <c r="B1153" s="24" t="s">
        <v>66</v>
      </c>
      <c r="C1153" s="24">
        <v>200063</v>
      </c>
      <c r="D1153" s="24" t="s">
        <v>592</v>
      </c>
    </row>
    <row r="1154" spans="1:4">
      <c r="A1154" s="24">
        <v>200064</v>
      </c>
      <c r="B1154" s="24" t="s">
        <v>66</v>
      </c>
      <c r="C1154" s="24">
        <v>200064</v>
      </c>
      <c r="D1154" s="24" t="s">
        <v>592</v>
      </c>
    </row>
    <row r="1155" spans="1:4">
      <c r="A1155" s="24">
        <v>200065</v>
      </c>
      <c r="B1155" s="24" t="s">
        <v>66</v>
      </c>
      <c r="C1155" s="24">
        <v>200065</v>
      </c>
      <c r="D1155" s="24" t="s">
        <v>592</v>
      </c>
    </row>
    <row r="1156" spans="1:4">
      <c r="A1156" s="24">
        <v>200066</v>
      </c>
      <c r="B1156" s="24" t="s">
        <v>3563</v>
      </c>
      <c r="C1156" s="24">
        <v>200066</v>
      </c>
      <c r="D1156" s="24" t="s">
        <v>595</v>
      </c>
    </row>
    <row r="1157" spans="1:4">
      <c r="A1157" s="24">
        <v>200067</v>
      </c>
      <c r="B1157" s="24" t="s">
        <v>69</v>
      </c>
      <c r="C1157" s="24">
        <v>200067</v>
      </c>
      <c r="D1157" s="24" t="s">
        <v>595</v>
      </c>
    </row>
    <row r="1158" spans="1:4">
      <c r="A1158" s="24">
        <v>200068</v>
      </c>
      <c r="B1158" s="24" t="s">
        <v>69</v>
      </c>
      <c r="C1158" s="24">
        <v>200068</v>
      </c>
      <c r="D1158" s="24" t="s">
        <v>595</v>
      </c>
    </row>
    <row r="1159" spans="1:4">
      <c r="A1159" s="24">
        <v>200069</v>
      </c>
      <c r="B1159" s="24" t="s">
        <v>3566</v>
      </c>
      <c r="C1159" s="24">
        <v>200069</v>
      </c>
      <c r="D1159" s="24" t="s">
        <v>595</v>
      </c>
    </row>
    <row r="1160" spans="1:4">
      <c r="A1160" s="24">
        <v>200070</v>
      </c>
      <c r="B1160" s="24" t="s">
        <v>3566</v>
      </c>
      <c r="C1160" s="24">
        <v>200070</v>
      </c>
      <c r="D1160" s="24" t="s">
        <v>595</v>
      </c>
    </row>
    <row r="1161" spans="1:4">
      <c r="A1161" s="24">
        <v>200071</v>
      </c>
      <c r="B1161" s="24" t="s">
        <v>3566</v>
      </c>
      <c r="C1161" s="24">
        <v>200071</v>
      </c>
      <c r="D1161" s="24" t="s">
        <v>595</v>
      </c>
    </row>
    <row r="1162" spans="1:4">
      <c r="A1162" s="24">
        <v>200072</v>
      </c>
      <c r="B1162" s="24" t="s">
        <v>65</v>
      </c>
      <c r="C1162" s="24">
        <v>200072</v>
      </c>
      <c r="D1162" s="24" t="s">
        <v>594</v>
      </c>
    </row>
    <row r="1163" spans="1:4">
      <c r="A1163" s="24">
        <v>200073</v>
      </c>
      <c r="B1163" s="24" t="s">
        <v>65</v>
      </c>
      <c r="C1163" s="24">
        <v>200073</v>
      </c>
      <c r="D1163" s="24" t="s">
        <v>594</v>
      </c>
    </row>
    <row r="1164" spans="1:4">
      <c r="A1164" s="115">
        <v>200074</v>
      </c>
      <c r="B1164" s="115" t="s">
        <v>65</v>
      </c>
      <c r="C1164" s="115">
        <v>200074</v>
      </c>
      <c r="D1164" s="115" t="s">
        <v>594</v>
      </c>
    </row>
    <row r="1165" spans="1:4">
      <c r="A1165" s="24">
        <v>200075</v>
      </c>
      <c r="B1165" s="24" t="s">
        <v>51</v>
      </c>
      <c r="C1165" s="24">
        <v>200075</v>
      </c>
      <c r="D1165" s="24" t="s">
        <v>596</v>
      </c>
    </row>
    <row r="1166" spans="1:4">
      <c r="A1166" s="24">
        <v>200077</v>
      </c>
      <c r="B1166" s="24" t="s">
        <v>2374</v>
      </c>
      <c r="C1166" s="24">
        <v>200077</v>
      </c>
      <c r="D1166" s="24" t="s">
        <v>595</v>
      </c>
    </row>
    <row r="1167" spans="1:4">
      <c r="A1167" s="24">
        <v>200078</v>
      </c>
      <c r="B1167" s="24" t="s">
        <v>3587</v>
      </c>
      <c r="C1167" s="24">
        <v>200078</v>
      </c>
      <c r="D1167" s="24" t="s">
        <v>594</v>
      </c>
    </row>
    <row r="1168" spans="1:4">
      <c r="A1168" s="24">
        <v>200079</v>
      </c>
      <c r="B1168" s="24" t="s">
        <v>3502</v>
      </c>
      <c r="C1168" s="24">
        <v>200079</v>
      </c>
      <c r="D1168" s="24" t="s">
        <v>594</v>
      </c>
    </row>
    <row r="1169" spans="1:4">
      <c r="A1169" s="24">
        <v>200080</v>
      </c>
      <c r="B1169" s="24" t="s">
        <v>2375</v>
      </c>
      <c r="C1169" s="24">
        <v>200080</v>
      </c>
      <c r="D1169" s="24" t="s">
        <v>592</v>
      </c>
    </row>
    <row r="1170" spans="1:4">
      <c r="A1170" s="24">
        <v>200081</v>
      </c>
      <c r="B1170" s="24" t="s">
        <v>2376</v>
      </c>
      <c r="C1170" s="24">
        <v>200081</v>
      </c>
      <c r="D1170" s="24" t="s">
        <v>594</v>
      </c>
    </row>
    <row r="1171" spans="1:4">
      <c r="A1171" s="24">
        <v>200082</v>
      </c>
      <c r="B1171" s="24" t="s">
        <v>143</v>
      </c>
      <c r="C1171" s="24">
        <v>200082</v>
      </c>
      <c r="D1171" s="24" t="s">
        <v>594</v>
      </c>
    </row>
    <row r="1172" spans="1:4">
      <c r="A1172" s="24">
        <v>200083</v>
      </c>
      <c r="B1172" s="24" t="s">
        <v>144</v>
      </c>
      <c r="C1172" s="24">
        <v>200083</v>
      </c>
      <c r="D1172" s="24" t="s">
        <v>594</v>
      </c>
    </row>
    <row r="1173" spans="1:4">
      <c r="A1173" s="24">
        <v>200084</v>
      </c>
      <c r="B1173" s="24" t="s">
        <v>145</v>
      </c>
      <c r="C1173" s="24">
        <v>200084</v>
      </c>
      <c r="D1173" s="24" t="s">
        <v>594</v>
      </c>
    </row>
    <row r="1174" spans="1:4">
      <c r="A1174" s="24">
        <v>200085</v>
      </c>
      <c r="B1174" s="24" t="s">
        <v>146</v>
      </c>
      <c r="C1174" s="24">
        <v>200085</v>
      </c>
      <c r="D1174" s="24" t="s">
        <v>594</v>
      </c>
    </row>
    <row r="1175" spans="1:4">
      <c r="A1175" s="24">
        <v>200086</v>
      </c>
      <c r="B1175" s="24" t="s">
        <v>3557</v>
      </c>
      <c r="C1175" s="24">
        <v>200086</v>
      </c>
      <c r="D1175" s="24" t="s">
        <v>594</v>
      </c>
    </row>
    <row r="1176" spans="1:4">
      <c r="A1176" s="24">
        <v>200087</v>
      </c>
      <c r="B1176" s="24" t="s">
        <v>3588</v>
      </c>
      <c r="C1176" s="24">
        <v>200087</v>
      </c>
      <c r="D1176" s="24" t="s">
        <v>596</v>
      </c>
    </row>
    <row r="1177" spans="1:4">
      <c r="A1177" s="24">
        <v>200088</v>
      </c>
      <c r="B1177" s="24" t="s">
        <v>3588</v>
      </c>
      <c r="C1177" s="24">
        <v>200088</v>
      </c>
      <c r="D1177" s="24" t="s">
        <v>596</v>
      </c>
    </row>
    <row r="1178" spans="1:4">
      <c r="A1178" s="24">
        <v>200089</v>
      </c>
      <c r="B1178" s="24" t="s">
        <v>3519</v>
      </c>
      <c r="C1178" s="24">
        <v>200089</v>
      </c>
      <c r="D1178" s="24" t="s">
        <v>595</v>
      </c>
    </row>
    <row r="1179" spans="1:4">
      <c r="A1179" s="24">
        <v>200090</v>
      </c>
      <c r="B1179" s="24" t="s">
        <v>3535</v>
      </c>
      <c r="C1179" s="24">
        <v>200090</v>
      </c>
      <c r="D1179" s="24" t="s">
        <v>594</v>
      </c>
    </row>
    <row r="1180" spans="1:4">
      <c r="A1180" s="24">
        <v>200091</v>
      </c>
      <c r="B1180" s="24" t="s">
        <v>3589</v>
      </c>
      <c r="C1180" s="24">
        <v>200091</v>
      </c>
      <c r="D1180" s="24" t="s">
        <v>593</v>
      </c>
    </row>
    <row r="1181" spans="1:4">
      <c r="A1181" s="24">
        <v>200092</v>
      </c>
      <c r="B1181" s="24" t="s">
        <v>27</v>
      </c>
      <c r="C1181" s="24">
        <v>200092</v>
      </c>
      <c r="D1181" s="24" t="s">
        <v>593</v>
      </c>
    </row>
    <row r="1182" spans="1:4">
      <c r="A1182" s="24">
        <v>200093</v>
      </c>
      <c r="B1182" s="24" t="s">
        <v>27</v>
      </c>
      <c r="C1182" s="24">
        <v>200093</v>
      </c>
      <c r="D1182" s="24" t="s">
        <v>593</v>
      </c>
    </row>
    <row r="1183" spans="1:4">
      <c r="A1183" s="24">
        <v>200094</v>
      </c>
      <c r="B1183" s="24" t="s">
        <v>1189</v>
      </c>
      <c r="C1183" s="24">
        <v>200094</v>
      </c>
      <c r="D1183" s="24" t="s">
        <v>593</v>
      </c>
    </row>
    <row r="1184" spans="1:4">
      <c r="A1184" s="24">
        <v>200095</v>
      </c>
      <c r="B1184" s="24" t="s">
        <v>1190</v>
      </c>
      <c r="C1184" s="24">
        <v>200095</v>
      </c>
      <c r="D1184" s="24" t="s">
        <v>594</v>
      </c>
    </row>
    <row r="1185" spans="1:4">
      <c r="A1185" s="24">
        <v>200096</v>
      </c>
      <c r="B1185" s="24" t="s">
        <v>1221</v>
      </c>
      <c r="C1185" s="24">
        <v>200096</v>
      </c>
      <c r="D1185" s="24" t="s">
        <v>594</v>
      </c>
    </row>
    <row r="1186" spans="1:4">
      <c r="A1186" s="24">
        <v>200097</v>
      </c>
      <c r="B1186" s="24" t="s">
        <v>1188</v>
      </c>
      <c r="C1186" s="24">
        <v>200097</v>
      </c>
      <c r="D1186" s="24" t="s">
        <v>592</v>
      </c>
    </row>
    <row r="1187" spans="1:4">
      <c r="A1187" s="24">
        <v>200098</v>
      </c>
      <c r="B1187" s="24" t="s">
        <v>1191</v>
      </c>
      <c r="C1187" s="24">
        <v>200098</v>
      </c>
      <c r="D1187" s="24" t="s">
        <v>595</v>
      </c>
    </row>
    <row r="1188" spans="1:4">
      <c r="A1188" s="24">
        <v>200099</v>
      </c>
      <c r="B1188" s="24" t="s">
        <v>1192</v>
      </c>
      <c r="C1188" s="24">
        <v>200099</v>
      </c>
      <c r="D1188" s="24" t="s">
        <v>592</v>
      </c>
    </row>
    <row r="1189" spans="1:4">
      <c r="A1189" s="24">
        <v>200100</v>
      </c>
      <c r="B1189" s="24" t="s">
        <v>1203</v>
      </c>
      <c r="C1189" s="24">
        <v>200100</v>
      </c>
      <c r="D1189" s="24" t="s">
        <v>595</v>
      </c>
    </row>
    <row r="1190" spans="1:4">
      <c r="A1190" s="24">
        <v>200101</v>
      </c>
      <c r="B1190" s="24" t="s">
        <v>1203</v>
      </c>
      <c r="C1190" s="24">
        <v>200101</v>
      </c>
      <c r="D1190" s="24" t="s">
        <v>595</v>
      </c>
    </row>
    <row r="1191" spans="1:4">
      <c r="A1191" s="24">
        <v>200102</v>
      </c>
      <c r="B1191" s="24" t="s">
        <v>1212</v>
      </c>
      <c r="C1191" s="24">
        <v>200102</v>
      </c>
      <c r="D1191" s="24" t="s">
        <v>595</v>
      </c>
    </row>
    <row r="1192" spans="1:4">
      <c r="A1192" s="24">
        <v>200103</v>
      </c>
      <c r="B1192" s="24" t="s">
        <v>1203</v>
      </c>
      <c r="C1192" s="24">
        <v>200103</v>
      </c>
      <c r="D1192" s="24" t="s">
        <v>595</v>
      </c>
    </row>
    <row r="1193" spans="1:4">
      <c r="A1193" s="24">
        <v>200104</v>
      </c>
      <c r="B1193" s="24" t="s">
        <v>3519</v>
      </c>
      <c r="C1193" s="24">
        <v>200104</v>
      </c>
      <c r="D1193" s="24" t="s">
        <v>595</v>
      </c>
    </row>
    <row r="1194" spans="1:4">
      <c r="A1194" s="24">
        <v>200105</v>
      </c>
      <c r="B1194" s="24" t="s">
        <v>1227</v>
      </c>
      <c r="C1194" s="24">
        <v>200105</v>
      </c>
      <c r="D1194" s="24" t="s">
        <v>592</v>
      </c>
    </row>
    <row r="1195" spans="1:4">
      <c r="A1195" s="24">
        <v>200106</v>
      </c>
      <c r="B1195" s="24" t="s">
        <v>2360</v>
      </c>
      <c r="C1195" s="24">
        <v>200106</v>
      </c>
      <c r="D1195" s="24" t="s">
        <v>596</v>
      </c>
    </row>
    <row r="1196" spans="1:4">
      <c r="A1196" s="24">
        <v>200107</v>
      </c>
      <c r="B1196" s="24" t="s">
        <v>1189</v>
      </c>
      <c r="C1196" s="24">
        <v>200107</v>
      </c>
      <c r="D1196" s="24" t="s">
        <v>593</v>
      </c>
    </row>
    <row r="1197" spans="1:4">
      <c r="A1197" s="24">
        <v>200108</v>
      </c>
      <c r="B1197" s="24" t="s">
        <v>1202</v>
      </c>
      <c r="C1197" s="24">
        <v>200108</v>
      </c>
      <c r="D1197" s="24" t="s">
        <v>596</v>
      </c>
    </row>
    <row r="1198" spans="1:4">
      <c r="A1198" s="24">
        <v>200109</v>
      </c>
      <c r="B1198" s="24" t="s">
        <v>29</v>
      </c>
      <c r="C1198" s="24">
        <v>200109</v>
      </c>
      <c r="D1198" s="24" t="s">
        <v>593</v>
      </c>
    </row>
    <row r="1199" spans="1:4">
      <c r="A1199" s="24">
        <v>200110</v>
      </c>
      <c r="B1199" s="24" t="s">
        <v>1201</v>
      </c>
      <c r="C1199" s="24">
        <v>200110</v>
      </c>
      <c r="D1199" s="24" t="s">
        <v>596</v>
      </c>
    </row>
    <row r="1200" spans="1:4">
      <c r="A1200" s="24">
        <v>200111</v>
      </c>
      <c r="B1200" s="24" t="s">
        <v>1201</v>
      </c>
      <c r="C1200" s="24">
        <v>200111</v>
      </c>
      <c r="D1200" s="24" t="s">
        <v>596</v>
      </c>
    </row>
    <row r="1201" spans="1:4">
      <c r="A1201" s="24">
        <v>200112</v>
      </c>
      <c r="B1201" s="24" t="s">
        <v>1232</v>
      </c>
      <c r="C1201" s="24">
        <v>200112</v>
      </c>
      <c r="D1201" s="24" t="s">
        <v>595</v>
      </c>
    </row>
    <row r="1202" spans="1:4">
      <c r="A1202" s="24">
        <v>200113</v>
      </c>
      <c r="B1202" s="24" t="s">
        <v>3575</v>
      </c>
      <c r="C1202" s="24">
        <v>200113</v>
      </c>
      <c r="D1202" s="24" t="s">
        <v>592</v>
      </c>
    </row>
    <row r="1203" spans="1:4">
      <c r="A1203" s="24">
        <v>200114</v>
      </c>
      <c r="B1203" s="24" t="s">
        <v>1201</v>
      </c>
      <c r="C1203" s="24">
        <v>200114</v>
      </c>
      <c r="D1203" s="24" t="s">
        <v>596</v>
      </c>
    </row>
    <row r="1204" spans="1:4">
      <c r="A1204" s="24">
        <v>200115</v>
      </c>
      <c r="B1204" s="24" t="s">
        <v>3503</v>
      </c>
      <c r="C1204" s="24">
        <v>200115</v>
      </c>
      <c r="D1204" s="24" t="s">
        <v>593</v>
      </c>
    </row>
    <row r="1205" spans="1:4">
      <c r="A1205" s="24">
        <v>200116</v>
      </c>
      <c r="B1205" s="24" t="s">
        <v>1189</v>
      </c>
      <c r="C1205" s="24">
        <v>200116</v>
      </c>
      <c r="D1205" s="24" t="s">
        <v>593</v>
      </c>
    </row>
    <row r="1206" spans="1:4">
      <c r="A1206" s="24">
        <v>200117</v>
      </c>
      <c r="B1206" s="24" t="s">
        <v>1191</v>
      </c>
      <c r="C1206" s="24">
        <v>200117</v>
      </c>
      <c r="D1206" s="24" t="s">
        <v>595</v>
      </c>
    </row>
    <row r="1207" spans="1:4">
      <c r="A1207" s="24">
        <v>200118</v>
      </c>
      <c r="B1207" s="24" t="s">
        <v>1207</v>
      </c>
      <c r="C1207" s="24">
        <v>200118</v>
      </c>
      <c r="D1207" s="24" t="s">
        <v>592</v>
      </c>
    </row>
    <row r="1208" spans="1:4">
      <c r="A1208" s="24">
        <v>200119</v>
      </c>
      <c r="B1208" s="24" t="s">
        <v>1190</v>
      </c>
      <c r="C1208" s="24">
        <v>200119</v>
      </c>
      <c r="D1208" s="24" t="s">
        <v>594</v>
      </c>
    </row>
    <row r="1209" spans="1:4">
      <c r="A1209" s="24">
        <v>200120</v>
      </c>
      <c r="B1209" s="24" t="s">
        <v>1228</v>
      </c>
      <c r="C1209" s="24">
        <v>200120</v>
      </c>
      <c r="D1209" s="24" t="s">
        <v>595</v>
      </c>
    </row>
    <row r="1210" spans="1:4">
      <c r="A1210" s="24">
        <v>200121</v>
      </c>
      <c r="B1210" s="24" t="s">
        <v>2358</v>
      </c>
      <c r="C1210" s="24">
        <v>200121</v>
      </c>
      <c r="D1210" s="24" t="s">
        <v>593</v>
      </c>
    </row>
    <row r="1211" spans="1:4">
      <c r="A1211" s="24">
        <v>200122</v>
      </c>
      <c r="B1211" s="24" t="s">
        <v>1210</v>
      </c>
      <c r="C1211" s="24">
        <v>200122</v>
      </c>
      <c r="D1211" s="24" t="s">
        <v>593</v>
      </c>
    </row>
    <row r="1212" spans="1:4">
      <c r="A1212" s="24">
        <v>200123</v>
      </c>
      <c r="B1212" s="24" t="s">
        <v>1230</v>
      </c>
      <c r="C1212" s="24">
        <v>200123</v>
      </c>
      <c r="D1212" s="24" t="s">
        <v>592</v>
      </c>
    </row>
    <row r="1213" spans="1:4">
      <c r="A1213" s="24">
        <v>200124</v>
      </c>
      <c r="B1213" s="24" t="s">
        <v>3504</v>
      </c>
      <c r="C1213" s="24">
        <v>200124</v>
      </c>
      <c r="D1213" s="24" t="s">
        <v>596</v>
      </c>
    </row>
    <row r="1214" spans="1:4">
      <c r="A1214" s="24">
        <v>200125</v>
      </c>
      <c r="B1214" s="24" t="s">
        <v>1214</v>
      </c>
      <c r="C1214" s="24">
        <v>200125</v>
      </c>
      <c r="D1214" s="24" t="s">
        <v>596</v>
      </c>
    </row>
    <row r="1215" spans="1:4">
      <c r="A1215" s="25">
        <v>200126</v>
      </c>
      <c r="B1215" s="25" t="s">
        <v>3590</v>
      </c>
      <c r="C1215" s="25">
        <v>200126</v>
      </c>
      <c r="D1215" s="25" t="s">
        <v>594</v>
      </c>
    </row>
    <row r="1216" spans="1:4">
      <c r="A1216" s="24">
        <v>200127</v>
      </c>
      <c r="B1216" s="26" t="s">
        <v>3591</v>
      </c>
      <c r="C1216" s="24">
        <v>200127</v>
      </c>
      <c r="D1216" s="24" t="s">
        <v>593</v>
      </c>
    </row>
    <row r="1217" spans="1:4">
      <c r="A1217" s="24">
        <v>200128</v>
      </c>
      <c r="B1217" s="24" t="s">
        <v>634</v>
      </c>
      <c r="C1217" s="24">
        <v>200128</v>
      </c>
      <c r="D1217" s="24" t="s">
        <v>595</v>
      </c>
    </row>
    <row r="1218" spans="1:4">
      <c r="A1218" s="24">
        <v>200129</v>
      </c>
      <c r="B1218" s="26" t="s">
        <v>3591</v>
      </c>
      <c r="C1218" s="24">
        <v>200129</v>
      </c>
      <c r="D1218" s="24" t="s">
        <v>593</v>
      </c>
    </row>
    <row r="1219" spans="1:4">
      <c r="A1219" s="24">
        <v>200130</v>
      </c>
      <c r="B1219" s="26" t="s">
        <v>3591</v>
      </c>
      <c r="C1219" s="24">
        <v>200130</v>
      </c>
      <c r="D1219" s="24" t="s">
        <v>593</v>
      </c>
    </row>
    <row r="1220" spans="1:4">
      <c r="A1220" s="24">
        <v>200131</v>
      </c>
      <c r="B1220" s="24" t="s">
        <v>2358</v>
      </c>
      <c r="C1220" s="24">
        <v>200131</v>
      </c>
      <c r="D1220" s="24" t="s">
        <v>593</v>
      </c>
    </row>
    <row r="1221" spans="1:4">
      <c r="A1221" s="24">
        <v>200132</v>
      </c>
      <c r="B1221" s="24" t="s">
        <v>2358</v>
      </c>
      <c r="C1221" s="24">
        <v>200132</v>
      </c>
      <c r="D1221" s="24" t="s">
        <v>593</v>
      </c>
    </row>
    <row r="1222" spans="1:4">
      <c r="A1222" s="24">
        <v>200133</v>
      </c>
      <c r="B1222" s="24" t="s">
        <v>1210</v>
      </c>
      <c r="C1222" s="24">
        <v>200133</v>
      </c>
      <c r="D1222" s="24" t="s">
        <v>593</v>
      </c>
    </row>
    <row r="1223" spans="1:4">
      <c r="A1223" s="24">
        <v>200134</v>
      </c>
      <c r="B1223" s="24" t="s">
        <v>1210</v>
      </c>
      <c r="C1223" s="24">
        <v>200134</v>
      </c>
      <c r="D1223" s="24" t="s">
        <v>593</v>
      </c>
    </row>
    <row r="1224" spans="1:4">
      <c r="A1224" s="24">
        <v>200135</v>
      </c>
      <c r="B1224" s="24" t="s">
        <v>1230</v>
      </c>
      <c r="C1224" s="24">
        <v>200135</v>
      </c>
      <c r="D1224" s="24" t="s">
        <v>592</v>
      </c>
    </row>
    <row r="1225" spans="1:4">
      <c r="A1225" s="24">
        <v>200136</v>
      </c>
      <c r="B1225" s="24" t="s">
        <v>1230</v>
      </c>
      <c r="C1225" s="24">
        <v>200136</v>
      </c>
      <c r="D1225" s="24" t="s">
        <v>592</v>
      </c>
    </row>
    <row r="1226" spans="1:4">
      <c r="A1226" s="24">
        <v>200137</v>
      </c>
      <c r="B1226" s="24" t="s">
        <v>3504</v>
      </c>
      <c r="C1226" s="24">
        <v>200137</v>
      </c>
      <c r="D1226" s="24" t="s">
        <v>596</v>
      </c>
    </row>
    <row r="1227" spans="1:4">
      <c r="A1227" s="24">
        <v>200138</v>
      </c>
      <c r="B1227" s="24" t="s">
        <v>3504</v>
      </c>
      <c r="C1227" s="24">
        <v>200138</v>
      </c>
      <c r="D1227" s="24" t="s">
        <v>596</v>
      </c>
    </row>
    <row r="1228" spans="1:4">
      <c r="A1228" s="24">
        <v>200139</v>
      </c>
      <c r="B1228" s="24" t="s">
        <v>1214</v>
      </c>
      <c r="C1228" s="24">
        <v>200139</v>
      </c>
      <c r="D1228" s="24" t="s">
        <v>596</v>
      </c>
    </row>
    <row r="1229" spans="1:4">
      <c r="A1229" s="24">
        <v>200140</v>
      </c>
      <c r="B1229" s="24" t="s">
        <v>1214</v>
      </c>
      <c r="C1229" s="24">
        <v>200140</v>
      </c>
      <c r="D1229" s="24" t="s">
        <v>596</v>
      </c>
    </row>
    <row r="1230" spans="1:4">
      <c r="A1230" s="24">
        <v>200141</v>
      </c>
      <c r="B1230" s="24" t="s">
        <v>1213</v>
      </c>
      <c r="C1230" s="24">
        <v>200141</v>
      </c>
      <c r="D1230" s="24" t="s">
        <v>593</v>
      </c>
    </row>
    <row r="1231" spans="1:4">
      <c r="A1231" s="24">
        <v>200142</v>
      </c>
      <c r="B1231" s="24" t="s">
        <v>1213</v>
      </c>
      <c r="C1231" s="24">
        <v>200142</v>
      </c>
      <c r="D1231" s="24" t="s">
        <v>593</v>
      </c>
    </row>
    <row r="1232" spans="1:4">
      <c r="A1232" s="24">
        <v>200143</v>
      </c>
      <c r="B1232" s="24" t="s">
        <v>1213</v>
      </c>
      <c r="C1232" s="24">
        <v>200143</v>
      </c>
      <c r="D1232" s="24" t="s">
        <v>593</v>
      </c>
    </row>
    <row r="1233" spans="1:4">
      <c r="A1233" s="24">
        <v>200144</v>
      </c>
      <c r="B1233" s="24" t="s">
        <v>3505</v>
      </c>
      <c r="C1233" s="24">
        <v>200144</v>
      </c>
      <c r="D1233" s="24" t="s">
        <v>596</v>
      </c>
    </row>
    <row r="1234" spans="1:4">
      <c r="A1234" s="24">
        <v>200145</v>
      </c>
      <c r="B1234" s="24" t="s">
        <v>611</v>
      </c>
      <c r="C1234" s="24">
        <v>200145</v>
      </c>
      <c r="D1234" s="24" t="s">
        <v>592</v>
      </c>
    </row>
    <row r="1235" spans="1:4">
      <c r="A1235" s="24">
        <v>200146</v>
      </c>
      <c r="B1235" s="24" t="s">
        <v>614</v>
      </c>
      <c r="C1235" s="24">
        <v>200146</v>
      </c>
      <c r="D1235" s="24" t="s">
        <v>595</v>
      </c>
    </row>
    <row r="1236" spans="1:4">
      <c r="A1236" s="24">
        <v>200147</v>
      </c>
      <c r="B1236" s="24" t="s">
        <v>614</v>
      </c>
      <c r="C1236" s="24">
        <v>200147</v>
      </c>
      <c r="D1236" s="24" t="s">
        <v>595</v>
      </c>
    </row>
    <row r="1237" spans="1:4">
      <c r="A1237" s="24">
        <v>200148</v>
      </c>
      <c r="B1237" s="24" t="s">
        <v>53</v>
      </c>
      <c r="C1237" s="24">
        <v>200148</v>
      </c>
      <c r="D1237" s="24" t="s">
        <v>593</v>
      </c>
    </row>
    <row r="1238" spans="1:4">
      <c r="A1238" s="24">
        <v>200149</v>
      </c>
      <c r="B1238" s="24" t="s">
        <v>3491</v>
      </c>
      <c r="C1238" s="24">
        <v>200149</v>
      </c>
      <c r="D1238" s="24" t="s">
        <v>593</v>
      </c>
    </row>
    <row r="1239" spans="1:4">
      <c r="A1239" s="24">
        <v>200150</v>
      </c>
      <c r="B1239" s="24" t="s">
        <v>607</v>
      </c>
      <c r="C1239" s="24">
        <v>200150</v>
      </c>
      <c r="D1239" s="24" t="s">
        <v>594</v>
      </c>
    </row>
    <row r="1240" spans="1:4">
      <c r="A1240" s="24">
        <v>200151</v>
      </c>
      <c r="B1240" s="24" t="s">
        <v>630</v>
      </c>
      <c r="C1240" s="24">
        <v>200151</v>
      </c>
      <c r="D1240" s="24" t="s">
        <v>595</v>
      </c>
    </row>
    <row r="1241" spans="1:4">
      <c r="A1241" s="24">
        <v>200152</v>
      </c>
      <c r="B1241" s="24" t="s">
        <v>140</v>
      </c>
      <c r="C1241" s="24">
        <v>200152</v>
      </c>
      <c r="D1241" s="24" t="s">
        <v>596</v>
      </c>
    </row>
    <row r="1242" spans="1:4">
      <c r="A1242" s="24">
        <v>200153</v>
      </c>
      <c r="B1242" s="24" t="s">
        <v>619</v>
      </c>
      <c r="C1242" s="24">
        <v>200153</v>
      </c>
      <c r="D1242" s="24" t="s">
        <v>593</v>
      </c>
    </row>
    <row r="1243" spans="1:4">
      <c r="A1243" s="24">
        <v>200154</v>
      </c>
      <c r="B1243" s="24" t="s">
        <v>619</v>
      </c>
      <c r="C1243" s="24">
        <v>200154</v>
      </c>
      <c r="D1243" s="24" t="s">
        <v>593</v>
      </c>
    </row>
    <row r="1244" spans="1:4">
      <c r="A1244" s="24">
        <v>200155</v>
      </c>
      <c r="B1244" s="24" t="s">
        <v>619</v>
      </c>
      <c r="C1244" s="24">
        <v>200155</v>
      </c>
      <c r="D1244" s="24" t="s">
        <v>593</v>
      </c>
    </row>
    <row r="1245" spans="1:4">
      <c r="A1245" s="24">
        <v>200156</v>
      </c>
      <c r="B1245" s="24" t="s">
        <v>3571</v>
      </c>
      <c r="C1245" s="24">
        <v>200156</v>
      </c>
      <c r="D1245" s="24" t="s">
        <v>595</v>
      </c>
    </row>
    <row r="1246" spans="1:4">
      <c r="A1246" s="24">
        <v>200157</v>
      </c>
      <c r="B1246" s="24" t="s">
        <v>3571</v>
      </c>
      <c r="C1246" s="24">
        <v>200157</v>
      </c>
      <c r="D1246" s="24" t="s">
        <v>595</v>
      </c>
    </row>
    <row r="1247" spans="1:4">
      <c r="A1247" s="24">
        <v>200158</v>
      </c>
      <c r="B1247" s="24" t="s">
        <v>3592</v>
      </c>
      <c r="C1247" s="24">
        <v>200158</v>
      </c>
      <c r="D1247" s="24" t="s">
        <v>592</v>
      </c>
    </row>
    <row r="1248" spans="1:4">
      <c r="A1248" s="24">
        <v>200159</v>
      </c>
      <c r="B1248" s="24" t="s">
        <v>2365</v>
      </c>
      <c r="C1248" s="24">
        <v>200159</v>
      </c>
      <c r="D1248" s="24" t="s">
        <v>593</v>
      </c>
    </row>
    <row r="1249" spans="1:4">
      <c r="A1249" s="24">
        <v>200160</v>
      </c>
      <c r="B1249" s="24" t="s">
        <v>3593</v>
      </c>
      <c r="C1249" s="24">
        <v>200160</v>
      </c>
      <c r="D1249" s="24" t="s">
        <v>596</v>
      </c>
    </row>
    <row r="1250" spans="1:4">
      <c r="A1250" s="24">
        <v>200161</v>
      </c>
      <c r="B1250" s="24" t="s">
        <v>3594</v>
      </c>
      <c r="C1250" s="24">
        <v>200161</v>
      </c>
      <c r="D1250" s="24" t="s">
        <v>595</v>
      </c>
    </row>
    <row r="1251" spans="1:4">
      <c r="A1251" s="24">
        <v>200162</v>
      </c>
      <c r="B1251" s="24" t="s">
        <v>3490</v>
      </c>
      <c r="C1251" s="24">
        <v>200162</v>
      </c>
      <c r="D1251" s="24" t="s">
        <v>593</v>
      </c>
    </row>
    <row r="1252" spans="1:4">
      <c r="D1252" s="24"/>
    </row>
    <row r="1253" spans="1:4">
      <c r="A1253" s="112">
        <v>200171</v>
      </c>
      <c r="B1253" s="24" t="s">
        <v>95</v>
      </c>
      <c r="C1253" s="112">
        <v>200171</v>
      </c>
      <c r="D1253" s="24" t="s">
        <v>594</v>
      </c>
    </row>
    <row r="1254" spans="1:4">
      <c r="A1254" s="112">
        <v>200172</v>
      </c>
      <c r="B1254" s="24" t="s">
        <v>101</v>
      </c>
      <c r="C1254" s="112">
        <v>200172</v>
      </c>
      <c r="D1254" s="24" t="s">
        <v>596</v>
      </c>
    </row>
    <row r="1255" spans="1:4">
      <c r="A1255" s="112">
        <v>200173</v>
      </c>
      <c r="B1255" s="24" t="s">
        <v>96</v>
      </c>
      <c r="C1255" s="112">
        <v>200173</v>
      </c>
      <c r="D1255" s="24" t="s">
        <v>595</v>
      </c>
    </row>
    <row r="1256" spans="1:4">
      <c r="A1256" s="112">
        <v>200174</v>
      </c>
      <c r="B1256" s="24" t="s">
        <v>97</v>
      </c>
      <c r="C1256" s="112">
        <v>200174</v>
      </c>
      <c r="D1256" s="24" t="s">
        <v>592</v>
      </c>
    </row>
    <row r="1257" spans="1:4">
      <c r="A1257" s="112">
        <v>200175</v>
      </c>
      <c r="B1257" s="24" t="s">
        <v>100</v>
      </c>
      <c r="C1257" s="112">
        <v>200175</v>
      </c>
      <c r="D1257" s="24" t="s">
        <v>593</v>
      </c>
    </row>
    <row r="1258" spans="1:4">
      <c r="A1258" s="112">
        <v>200176</v>
      </c>
      <c r="B1258" s="24" t="s">
        <v>98</v>
      </c>
      <c r="C1258" s="112">
        <v>200176</v>
      </c>
      <c r="D1258" s="24" t="s">
        <v>594</v>
      </c>
    </row>
    <row r="1259" spans="1:4">
      <c r="A1259" s="112">
        <v>200177</v>
      </c>
      <c r="B1259" s="24" t="s">
        <v>99</v>
      </c>
      <c r="C1259" s="112">
        <v>200177</v>
      </c>
      <c r="D1259" s="24" t="s">
        <v>592</v>
      </c>
    </row>
    <row r="1260" spans="1:4">
      <c r="A1260" s="112">
        <v>200178</v>
      </c>
      <c r="B1260" s="24" t="s">
        <v>95</v>
      </c>
      <c r="C1260" s="112">
        <v>200178</v>
      </c>
      <c r="D1260" s="24" t="s">
        <v>594</v>
      </c>
    </row>
    <row r="1261" spans="1:4">
      <c r="A1261" s="112">
        <v>200179</v>
      </c>
      <c r="B1261" s="24" t="s">
        <v>101</v>
      </c>
      <c r="C1261" s="112">
        <v>200179</v>
      </c>
      <c r="D1261" s="24" t="s">
        <v>596</v>
      </c>
    </row>
    <row r="1262" spans="1:4">
      <c r="A1262" s="112">
        <v>200180</v>
      </c>
      <c r="B1262" s="24" t="s">
        <v>96</v>
      </c>
      <c r="C1262" s="112">
        <v>200180</v>
      </c>
      <c r="D1262" s="24" t="s">
        <v>595</v>
      </c>
    </row>
    <row r="1263" spans="1:4">
      <c r="A1263" s="112">
        <v>200181</v>
      </c>
      <c r="B1263" s="24" t="s">
        <v>97</v>
      </c>
      <c r="C1263" s="112">
        <v>200181</v>
      </c>
      <c r="D1263" s="24" t="s">
        <v>592</v>
      </c>
    </row>
    <row r="1264" spans="1:4">
      <c r="A1264" s="112">
        <v>200182</v>
      </c>
      <c r="B1264" s="24" t="s">
        <v>100</v>
      </c>
      <c r="C1264" s="112">
        <v>200182</v>
      </c>
      <c r="D1264" s="24" t="s">
        <v>593</v>
      </c>
    </row>
    <row r="1265" spans="1:4">
      <c r="A1265" s="112">
        <v>200183</v>
      </c>
      <c r="B1265" s="24" t="s">
        <v>98</v>
      </c>
      <c r="C1265" s="112">
        <v>200183</v>
      </c>
      <c r="D1265" s="24" t="s">
        <v>594</v>
      </c>
    </row>
    <row r="1266" spans="1:4">
      <c r="A1266" s="112">
        <v>200184</v>
      </c>
      <c r="B1266" s="24" t="s">
        <v>99</v>
      </c>
      <c r="C1266" s="112">
        <v>200184</v>
      </c>
      <c r="D1266" s="24" t="s">
        <v>592</v>
      </c>
    </row>
    <row r="1267" spans="1:4">
      <c r="A1267" s="112">
        <v>200185</v>
      </c>
      <c r="B1267" s="24" t="s">
        <v>95</v>
      </c>
      <c r="C1267" s="112">
        <v>200185</v>
      </c>
      <c r="D1267" s="24" t="s">
        <v>594</v>
      </c>
    </row>
    <row r="1268" spans="1:4">
      <c r="A1268" s="112">
        <v>200186</v>
      </c>
      <c r="B1268" s="24" t="s">
        <v>101</v>
      </c>
      <c r="C1268" s="112">
        <v>200186</v>
      </c>
      <c r="D1268" s="24" t="s">
        <v>596</v>
      </c>
    </row>
    <row r="1269" spans="1:4">
      <c r="A1269" s="112">
        <v>200187</v>
      </c>
      <c r="B1269" s="24" t="s">
        <v>96</v>
      </c>
      <c r="C1269" s="112">
        <v>200187</v>
      </c>
      <c r="D1269" s="24" t="s">
        <v>595</v>
      </c>
    </row>
    <row r="1270" spans="1:4">
      <c r="A1270" s="112">
        <v>200188</v>
      </c>
      <c r="B1270" s="24" t="s">
        <v>97</v>
      </c>
      <c r="C1270" s="112">
        <v>200188</v>
      </c>
      <c r="D1270" s="24" t="s">
        <v>592</v>
      </c>
    </row>
    <row r="1271" spans="1:4">
      <c r="A1271" s="112">
        <v>200189</v>
      </c>
      <c r="B1271" s="24" t="s">
        <v>100</v>
      </c>
      <c r="C1271" s="112">
        <v>200189</v>
      </c>
      <c r="D1271" s="24" t="s">
        <v>593</v>
      </c>
    </row>
    <row r="1272" spans="1:4">
      <c r="A1272" s="112">
        <v>200190</v>
      </c>
      <c r="B1272" s="24" t="s">
        <v>98</v>
      </c>
      <c r="C1272" s="112">
        <v>200190</v>
      </c>
      <c r="D1272" s="24" t="s">
        <v>594</v>
      </c>
    </row>
    <row r="1273" spans="1:4">
      <c r="A1273" s="112">
        <v>200191</v>
      </c>
      <c r="B1273" s="24" t="s">
        <v>99</v>
      </c>
      <c r="C1273" s="112">
        <v>200191</v>
      </c>
      <c r="D1273" s="24" t="s">
        <v>592</v>
      </c>
    </row>
    <row r="1274" spans="1:4">
      <c r="D1274" s="24"/>
    </row>
    <row r="1275" spans="1:4">
      <c r="A1275" s="23"/>
      <c r="B1275" s="27" t="s">
        <v>636</v>
      </c>
      <c r="C1275" s="23"/>
      <c r="D1275" s="23"/>
    </row>
    <row r="1276" spans="1:4">
      <c r="A1276" s="24">
        <v>210000</v>
      </c>
      <c r="B1276" s="24" t="s">
        <v>3595</v>
      </c>
      <c r="C1276" s="24">
        <v>210000</v>
      </c>
      <c r="D1276" s="24" t="s">
        <v>596</v>
      </c>
    </row>
    <row r="1277" spans="1:4">
      <c r="A1277" s="24">
        <v>210001</v>
      </c>
      <c r="B1277" s="24" t="s">
        <v>3596</v>
      </c>
      <c r="C1277" s="24">
        <v>210001</v>
      </c>
      <c r="D1277" s="24" t="s">
        <v>596</v>
      </c>
    </row>
    <row r="1278" spans="1:4">
      <c r="A1278" s="24">
        <v>210002</v>
      </c>
      <c r="B1278" s="24" t="s">
        <v>3597</v>
      </c>
      <c r="C1278" s="24">
        <v>210002</v>
      </c>
      <c r="D1278" s="24" t="s">
        <v>593</v>
      </c>
    </row>
    <row r="1279" spans="1:4">
      <c r="A1279" s="24">
        <v>210003</v>
      </c>
      <c r="B1279" s="24" t="s">
        <v>1234</v>
      </c>
      <c r="C1279" s="24">
        <v>210003</v>
      </c>
      <c r="D1279" s="24" t="s">
        <v>595</v>
      </c>
    </row>
    <row r="1280" spans="1:4">
      <c r="A1280" s="24">
        <v>210004</v>
      </c>
      <c r="B1280" s="24" t="s">
        <v>3598</v>
      </c>
      <c r="C1280" s="24">
        <v>210004</v>
      </c>
      <c r="D1280" s="24" t="s">
        <v>595</v>
      </c>
    </row>
    <row r="1281" spans="1:4">
      <c r="A1281" s="24">
        <v>210005</v>
      </c>
      <c r="B1281" s="24" t="s">
        <v>3599</v>
      </c>
      <c r="C1281" s="24">
        <v>210005</v>
      </c>
      <c r="D1281" s="24" t="s">
        <v>596</v>
      </c>
    </row>
    <row r="1282" spans="1:4">
      <c r="A1282" s="24">
        <v>210006</v>
      </c>
      <c r="B1282" s="24" t="s">
        <v>3599</v>
      </c>
      <c r="C1282" s="24">
        <v>210006</v>
      </c>
      <c r="D1282" s="24" t="s">
        <v>596</v>
      </c>
    </row>
    <row r="1283" spans="1:4">
      <c r="A1283" s="24">
        <v>210007</v>
      </c>
      <c r="B1283" s="24" t="s">
        <v>3600</v>
      </c>
      <c r="C1283" s="24">
        <v>210007</v>
      </c>
      <c r="D1283" s="24" t="s">
        <v>596</v>
      </c>
    </row>
    <row r="1284" spans="1:4">
      <c r="A1284" s="24">
        <v>210008</v>
      </c>
      <c r="B1284" s="24" t="s">
        <v>2377</v>
      </c>
      <c r="C1284" s="24">
        <v>210008</v>
      </c>
      <c r="D1284" s="24" t="s">
        <v>593</v>
      </c>
    </row>
    <row r="1285" spans="1:4">
      <c r="A1285" s="24">
        <v>210009</v>
      </c>
      <c r="B1285" s="26" t="s">
        <v>3601</v>
      </c>
      <c r="C1285" s="24">
        <v>210009</v>
      </c>
      <c r="D1285" s="24" t="s">
        <v>594</v>
      </c>
    </row>
    <row r="1286" spans="1:4">
      <c r="A1286" s="24">
        <v>210010</v>
      </c>
      <c r="B1286" s="26" t="s">
        <v>3602</v>
      </c>
      <c r="C1286" s="24">
        <v>210010</v>
      </c>
      <c r="D1286" s="24" t="s">
        <v>596</v>
      </c>
    </row>
    <row r="1287" spans="1:4">
      <c r="A1287" s="24">
        <v>210011</v>
      </c>
      <c r="B1287" s="24" t="s">
        <v>2378</v>
      </c>
      <c r="C1287" s="24">
        <v>210011</v>
      </c>
      <c r="D1287" s="24" t="s">
        <v>594</v>
      </c>
    </row>
    <row r="1288" spans="1:4">
      <c r="A1288" s="24">
        <v>210012</v>
      </c>
      <c r="B1288" s="26" t="s">
        <v>3603</v>
      </c>
      <c r="C1288" s="24">
        <v>210012</v>
      </c>
      <c r="D1288" s="24" t="s">
        <v>594</v>
      </c>
    </row>
    <row r="1289" spans="1:4">
      <c r="A1289" s="24">
        <v>210013</v>
      </c>
      <c r="B1289" s="26" t="s">
        <v>3604</v>
      </c>
      <c r="C1289" s="24">
        <v>210013</v>
      </c>
      <c r="D1289" s="24" t="s">
        <v>595</v>
      </c>
    </row>
    <row r="1290" spans="1:4">
      <c r="A1290" s="24">
        <v>210014</v>
      </c>
      <c r="B1290" s="26" t="s">
        <v>2379</v>
      </c>
      <c r="C1290" s="24">
        <v>210014</v>
      </c>
      <c r="D1290" s="24" t="s">
        <v>595</v>
      </c>
    </row>
    <row r="1291" spans="1:4">
      <c r="A1291" s="24">
        <v>210015</v>
      </c>
      <c r="B1291" s="26" t="s">
        <v>3605</v>
      </c>
      <c r="C1291" s="24">
        <v>210015</v>
      </c>
      <c r="D1291" s="24" t="s">
        <v>595</v>
      </c>
    </row>
    <row r="1292" spans="1:4">
      <c r="A1292" s="24">
        <v>210016</v>
      </c>
      <c r="B1292" s="26" t="s">
        <v>3606</v>
      </c>
      <c r="C1292" s="24">
        <v>210016</v>
      </c>
      <c r="D1292" s="24" t="s">
        <v>595</v>
      </c>
    </row>
    <row r="1293" spans="1:4">
      <c r="A1293" s="24">
        <v>210017</v>
      </c>
      <c r="B1293" s="26" t="s">
        <v>3607</v>
      </c>
      <c r="C1293" s="24">
        <v>210017</v>
      </c>
      <c r="D1293" s="24" t="s">
        <v>595</v>
      </c>
    </row>
    <row r="1294" spans="1:4">
      <c r="A1294" s="24">
        <v>210018</v>
      </c>
      <c r="B1294" s="26" t="s">
        <v>3608</v>
      </c>
      <c r="C1294" s="24">
        <v>210018</v>
      </c>
      <c r="D1294" s="24" t="s">
        <v>594</v>
      </c>
    </row>
    <row r="1295" spans="1:4">
      <c r="A1295" s="24">
        <v>210019</v>
      </c>
      <c r="B1295" s="26" t="s">
        <v>3609</v>
      </c>
      <c r="C1295" s="24">
        <v>210019</v>
      </c>
      <c r="D1295" s="24" t="s">
        <v>592</v>
      </c>
    </row>
    <row r="1296" spans="1:4">
      <c r="A1296" s="24">
        <v>210020</v>
      </c>
      <c r="B1296" s="26" t="s">
        <v>2380</v>
      </c>
      <c r="C1296" s="24">
        <v>210020</v>
      </c>
      <c r="D1296" s="24" t="s">
        <v>592</v>
      </c>
    </row>
    <row r="1297" spans="1:4">
      <c r="A1297" s="24">
        <v>210021</v>
      </c>
      <c r="B1297" s="26" t="s">
        <v>2381</v>
      </c>
      <c r="C1297" s="24">
        <v>210021</v>
      </c>
      <c r="D1297" s="24" t="s">
        <v>592</v>
      </c>
    </row>
    <row r="1298" spans="1:4">
      <c r="A1298" s="24">
        <v>210022</v>
      </c>
      <c r="B1298" s="26" t="s">
        <v>2382</v>
      </c>
      <c r="C1298" s="24">
        <v>210022</v>
      </c>
      <c r="D1298" s="24" t="s">
        <v>592</v>
      </c>
    </row>
    <row r="1299" spans="1:4">
      <c r="A1299" s="24">
        <v>210023</v>
      </c>
      <c r="B1299" s="24" t="s">
        <v>3610</v>
      </c>
      <c r="C1299" s="24">
        <v>210023</v>
      </c>
      <c r="D1299" s="24" t="s">
        <v>592</v>
      </c>
    </row>
    <row r="1300" spans="1:4">
      <c r="A1300" s="24">
        <v>210024</v>
      </c>
      <c r="B1300" s="24" t="s">
        <v>3611</v>
      </c>
      <c r="C1300" s="24">
        <v>210024</v>
      </c>
      <c r="D1300" s="24" t="s">
        <v>593</v>
      </c>
    </row>
    <row r="1301" spans="1:4">
      <c r="A1301" s="24">
        <v>210025</v>
      </c>
      <c r="B1301" s="24" t="s">
        <v>3612</v>
      </c>
      <c r="C1301" s="24">
        <v>210025</v>
      </c>
      <c r="D1301" s="24" t="s">
        <v>596</v>
      </c>
    </row>
    <row r="1302" spans="1:4">
      <c r="A1302" s="24">
        <v>210026</v>
      </c>
      <c r="B1302" s="24" t="s">
        <v>2383</v>
      </c>
      <c r="C1302" s="24">
        <v>210026</v>
      </c>
      <c r="D1302" s="24" t="s">
        <v>593</v>
      </c>
    </row>
    <row r="1303" spans="1:4">
      <c r="A1303" s="24">
        <v>210027</v>
      </c>
      <c r="B1303" s="24" t="s">
        <v>3613</v>
      </c>
      <c r="C1303" s="24">
        <v>210027</v>
      </c>
      <c r="D1303" s="24" t="s">
        <v>592</v>
      </c>
    </row>
    <row r="1304" spans="1:4">
      <c r="A1304" s="24">
        <v>210028</v>
      </c>
      <c r="B1304" s="24" t="s">
        <v>3614</v>
      </c>
      <c r="C1304" s="24">
        <v>210028</v>
      </c>
      <c r="D1304" s="24" t="s">
        <v>594</v>
      </c>
    </row>
    <row r="1305" spans="1:4">
      <c r="A1305" s="24">
        <v>210029</v>
      </c>
      <c r="B1305" s="24" t="s">
        <v>3615</v>
      </c>
      <c r="C1305" s="24">
        <v>210029</v>
      </c>
      <c r="D1305" s="24" t="s">
        <v>593</v>
      </c>
    </row>
    <row r="1306" spans="1:4">
      <c r="A1306" s="24">
        <v>210030</v>
      </c>
      <c r="B1306" s="24" t="s">
        <v>3616</v>
      </c>
      <c r="C1306" s="24">
        <v>210030</v>
      </c>
      <c r="D1306" s="24" t="s">
        <v>593</v>
      </c>
    </row>
    <row r="1307" spans="1:4">
      <c r="A1307" s="24">
        <v>210031</v>
      </c>
      <c r="B1307" s="26" t="s">
        <v>3617</v>
      </c>
      <c r="C1307" s="24">
        <v>210031</v>
      </c>
      <c r="D1307" s="24" t="s">
        <v>594</v>
      </c>
    </row>
    <row r="1308" spans="1:4">
      <c r="A1308" s="24">
        <v>210032</v>
      </c>
      <c r="B1308" s="26" t="s">
        <v>3618</v>
      </c>
      <c r="C1308" s="24">
        <v>210032</v>
      </c>
      <c r="D1308" s="24" t="s">
        <v>594</v>
      </c>
    </row>
    <row r="1309" spans="1:4">
      <c r="A1309" s="24">
        <v>210033</v>
      </c>
      <c r="B1309" s="26" t="s">
        <v>3619</v>
      </c>
      <c r="C1309" s="24">
        <v>210033</v>
      </c>
      <c r="D1309" s="24" t="s">
        <v>594</v>
      </c>
    </row>
    <row r="1310" spans="1:4">
      <c r="A1310" s="24">
        <v>210034</v>
      </c>
      <c r="B1310" s="24" t="s">
        <v>3620</v>
      </c>
      <c r="C1310" s="24">
        <v>210034</v>
      </c>
      <c r="D1310" s="24" t="s">
        <v>594</v>
      </c>
    </row>
    <row r="1311" spans="1:4">
      <c r="A1311" s="24">
        <v>210035</v>
      </c>
      <c r="B1311" s="24" t="s">
        <v>2384</v>
      </c>
      <c r="C1311" s="24">
        <v>210035</v>
      </c>
      <c r="D1311" s="24" t="s">
        <v>594</v>
      </c>
    </row>
    <row r="1312" spans="1:4">
      <c r="A1312" s="24">
        <v>210036</v>
      </c>
      <c r="B1312" s="26" t="s">
        <v>3621</v>
      </c>
      <c r="C1312" s="24">
        <v>210036</v>
      </c>
      <c r="D1312" s="24" t="s">
        <v>594</v>
      </c>
    </row>
    <row r="1313" spans="1:4">
      <c r="B1313" s="26"/>
      <c r="D1313" s="24"/>
    </row>
    <row r="1314" spans="1:4">
      <c r="A1314" s="24">
        <v>211001</v>
      </c>
      <c r="B1314" s="26" t="s">
        <v>3571</v>
      </c>
      <c r="C1314" s="24">
        <v>211001</v>
      </c>
      <c r="D1314" s="24" t="s">
        <v>595</v>
      </c>
    </row>
    <row r="1315" spans="1:4">
      <c r="A1315" s="24">
        <v>211002</v>
      </c>
      <c r="B1315" s="26" t="s">
        <v>3571</v>
      </c>
      <c r="C1315" s="24">
        <v>211002</v>
      </c>
      <c r="D1315" s="24" t="s">
        <v>595</v>
      </c>
    </row>
    <row r="1316" spans="1:4">
      <c r="A1316" s="112">
        <v>211003</v>
      </c>
      <c r="B1316" s="24" t="s">
        <v>100</v>
      </c>
      <c r="C1316" s="112">
        <v>211003</v>
      </c>
      <c r="D1316" s="24" t="s">
        <v>593</v>
      </c>
    </row>
    <row r="1317" spans="1:4">
      <c r="A1317" s="112">
        <v>211004</v>
      </c>
      <c r="B1317" s="24" t="s">
        <v>98</v>
      </c>
      <c r="C1317" s="112">
        <v>211004</v>
      </c>
      <c r="D1317" s="24" t="s">
        <v>594</v>
      </c>
    </row>
    <row r="1318" spans="1:4">
      <c r="A1318" s="112">
        <v>211005</v>
      </c>
      <c r="B1318" s="24" t="s">
        <v>99</v>
      </c>
      <c r="C1318" s="112">
        <v>211005</v>
      </c>
      <c r="D1318" s="24" t="s">
        <v>592</v>
      </c>
    </row>
    <row r="1319" spans="1:4">
      <c r="D1319" s="24"/>
    </row>
    <row r="1320" spans="1:4">
      <c r="D1320" s="24"/>
    </row>
    <row r="1321" spans="1:4">
      <c r="A1321" s="23"/>
      <c r="B1321" s="27" t="s">
        <v>3506</v>
      </c>
      <c r="C1321" s="23"/>
      <c r="D1321" s="23"/>
    </row>
    <row r="1322" spans="1:4">
      <c r="A1322" s="25">
        <v>220001</v>
      </c>
      <c r="B1322" s="25" t="s">
        <v>2385</v>
      </c>
      <c r="C1322" s="25">
        <v>220001</v>
      </c>
      <c r="D1322" s="25" t="s">
        <v>594</v>
      </c>
    </row>
    <row r="1323" spans="1:4">
      <c r="A1323" s="25">
        <v>220002</v>
      </c>
      <c r="B1323" s="25" t="s">
        <v>3622</v>
      </c>
      <c r="C1323" s="25">
        <v>220002</v>
      </c>
      <c r="D1323" s="25" t="s">
        <v>592</v>
      </c>
    </row>
    <row r="1324" spans="1:4">
      <c r="A1324" s="25">
        <v>220003</v>
      </c>
      <c r="B1324" s="25" t="s">
        <v>2386</v>
      </c>
      <c r="C1324" s="25">
        <v>220003</v>
      </c>
      <c r="D1324" s="25" t="s">
        <v>595</v>
      </c>
    </row>
    <row r="1325" spans="1:4">
      <c r="A1325" s="25">
        <v>220008</v>
      </c>
      <c r="B1325" s="25" t="s">
        <v>3623</v>
      </c>
      <c r="C1325" s="25">
        <v>220008</v>
      </c>
      <c r="D1325" s="25" t="s">
        <v>594</v>
      </c>
    </row>
    <row r="1326" spans="1:4">
      <c r="A1326" s="25">
        <v>220011</v>
      </c>
      <c r="B1326" s="25" t="s">
        <v>3624</v>
      </c>
      <c r="C1326" s="25">
        <v>220011</v>
      </c>
      <c r="D1326" s="25" t="s">
        <v>595</v>
      </c>
    </row>
    <row r="1327" spans="1:4">
      <c r="A1327" s="25">
        <v>220016</v>
      </c>
      <c r="B1327" s="25" t="s">
        <v>3625</v>
      </c>
      <c r="C1327" s="25">
        <v>220016</v>
      </c>
      <c r="D1327" s="25" t="s">
        <v>592</v>
      </c>
    </row>
    <row r="1328" spans="1:4">
      <c r="A1328" s="25">
        <v>220017</v>
      </c>
      <c r="B1328" s="25" t="s">
        <v>3625</v>
      </c>
      <c r="C1328" s="25">
        <v>220017</v>
      </c>
      <c r="D1328" s="25" t="s">
        <v>592</v>
      </c>
    </row>
    <row r="1329" spans="1:4">
      <c r="A1329" s="25">
        <v>220018</v>
      </c>
      <c r="B1329" s="25" t="s">
        <v>3625</v>
      </c>
      <c r="C1329" s="25">
        <v>220018</v>
      </c>
      <c r="D1329" s="25" t="s">
        <v>592</v>
      </c>
    </row>
    <row r="1330" spans="1:4">
      <c r="A1330" s="24">
        <v>220019</v>
      </c>
      <c r="B1330" s="26" t="s">
        <v>2387</v>
      </c>
      <c r="C1330" s="24">
        <v>220019</v>
      </c>
      <c r="D1330" s="24" t="s">
        <v>594</v>
      </c>
    </row>
    <row r="1331" spans="1:4">
      <c r="A1331" s="25">
        <v>220020</v>
      </c>
      <c r="B1331" s="25" t="s">
        <v>2387</v>
      </c>
      <c r="C1331" s="25">
        <v>220020</v>
      </c>
      <c r="D1331" s="25" t="s">
        <v>594</v>
      </c>
    </row>
    <row r="1332" spans="1:4">
      <c r="A1332" s="25">
        <v>220021</v>
      </c>
      <c r="B1332" s="25" t="s">
        <v>3626</v>
      </c>
      <c r="C1332" s="25">
        <v>220021</v>
      </c>
      <c r="D1332" s="25" t="s">
        <v>594</v>
      </c>
    </row>
    <row r="1333" spans="1:4">
      <c r="A1333" s="25">
        <v>220022</v>
      </c>
      <c r="B1333" s="25" t="s">
        <v>2388</v>
      </c>
      <c r="C1333" s="25">
        <v>220022</v>
      </c>
      <c r="D1333" s="25" t="s">
        <v>594</v>
      </c>
    </row>
    <row r="1334" spans="1:4">
      <c r="A1334" s="25">
        <v>220023</v>
      </c>
      <c r="B1334" s="25" t="s">
        <v>1235</v>
      </c>
      <c r="C1334" s="25">
        <v>220023</v>
      </c>
      <c r="D1334" s="25" t="s">
        <v>593</v>
      </c>
    </row>
    <row r="1335" spans="1:4">
      <c r="A1335" s="25">
        <v>220024</v>
      </c>
      <c r="B1335" s="25" t="s">
        <v>2389</v>
      </c>
      <c r="C1335" s="25">
        <v>220024</v>
      </c>
      <c r="D1335" s="25" t="s">
        <v>593</v>
      </c>
    </row>
    <row r="1336" spans="1:4">
      <c r="A1336" s="24">
        <v>220025</v>
      </c>
      <c r="B1336" s="26" t="s">
        <v>2390</v>
      </c>
      <c r="C1336" s="24">
        <v>220025</v>
      </c>
      <c r="D1336" s="24" t="s">
        <v>592</v>
      </c>
    </row>
    <row r="1337" spans="1:4">
      <c r="A1337" s="25">
        <v>220026</v>
      </c>
      <c r="B1337" s="25" t="s">
        <v>3627</v>
      </c>
      <c r="C1337" s="25">
        <v>220026</v>
      </c>
      <c r="D1337" s="25" t="s">
        <v>595</v>
      </c>
    </row>
    <row r="1338" spans="1:4">
      <c r="A1338" s="25">
        <v>220028</v>
      </c>
      <c r="B1338" s="25" t="s">
        <v>3628</v>
      </c>
      <c r="C1338" s="25">
        <v>220028</v>
      </c>
      <c r="D1338" s="25" t="s">
        <v>593</v>
      </c>
    </row>
    <row r="1339" spans="1:4">
      <c r="A1339" s="25">
        <v>220030</v>
      </c>
      <c r="B1339" s="25" t="s">
        <v>3629</v>
      </c>
      <c r="C1339" s="25">
        <v>220030</v>
      </c>
      <c r="D1339" s="25" t="s">
        <v>594</v>
      </c>
    </row>
    <row r="1340" spans="1:4">
      <c r="A1340" s="25">
        <v>220031</v>
      </c>
      <c r="B1340" s="25" t="s">
        <v>2391</v>
      </c>
      <c r="C1340" s="25">
        <v>220031</v>
      </c>
      <c r="D1340" s="25" t="s">
        <v>594</v>
      </c>
    </row>
    <row r="1341" spans="1:4">
      <c r="A1341" s="25">
        <v>220033</v>
      </c>
      <c r="B1341" s="25" t="s">
        <v>1236</v>
      </c>
      <c r="C1341" s="25">
        <v>220033</v>
      </c>
      <c r="D1341" s="25" t="s">
        <v>593</v>
      </c>
    </row>
    <row r="1342" spans="1:4">
      <c r="A1342" s="25">
        <v>220034</v>
      </c>
      <c r="B1342" s="25" t="s">
        <v>2392</v>
      </c>
      <c r="C1342" s="25">
        <v>220034</v>
      </c>
      <c r="D1342" s="25" t="s">
        <v>594</v>
      </c>
    </row>
    <row r="1343" spans="1:4">
      <c r="A1343" s="25">
        <v>220035</v>
      </c>
      <c r="B1343" s="25" t="s">
        <v>2390</v>
      </c>
      <c r="C1343" s="25">
        <v>220035</v>
      </c>
      <c r="D1343" s="25" t="s">
        <v>592</v>
      </c>
    </row>
    <row r="1344" spans="1:4">
      <c r="A1344" s="25">
        <v>220036</v>
      </c>
      <c r="B1344" s="25" t="s">
        <v>3630</v>
      </c>
      <c r="C1344" s="25">
        <v>220036</v>
      </c>
      <c r="D1344" s="25" t="s">
        <v>592</v>
      </c>
    </row>
    <row r="1345" spans="1:4">
      <c r="A1345" s="24">
        <v>220037</v>
      </c>
      <c r="B1345" s="26" t="s">
        <v>3631</v>
      </c>
      <c r="C1345" s="24">
        <v>220037</v>
      </c>
      <c r="D1345" s="24" t="s">
        <v>592</v>
      </c>
    </row>
    <row r="1346" spans="1:4">
      <c r="A1346" s="25">
        <v>220038</v>
      </c>
      <c r="B1346" s="25" t="s">
        <v>2393</v>
      </c>
      <c r="C1346" s="25">
        <v>220038</v>
      </c>
      <c r="D1346" s="25" t="s">
        <v>596</v>
      </c>
    </row>
    <row r="1347" spans="1:4">
      <c r="A1347" s="25">
        <v>220041</v>
      </c>
      <c r="B1347" s="25" t="s">
        <v>3632</v>
      </c>
      <c r="C1347" s="25">
        <v>220041</v>
      </c>
      <c r="D1347" s="25" t="s">
        <v>594</v>
      </c>
    </row>
    <row r="1348" spans="1:4">
      <c r="A1348" s="24">
        <v>220042</v>
      </c>
      <c r="B1348" s="24" t="s">
        <v>3633</v>
      </c>
      <c r="C1348" s="24">
        <v>220042</v>
      </c>
      <c r="D1348" s="24" t="s">
        <v>594</v>
      </c>
    </row>
    <row r="1349" spans="1:4">
      <c r="A1349" s="25">
        <v>220043</v>
      </c>
      <c r="B1349" s="25" t="s">
        <v>3507</v>
      </c>
      <c r="C1349" s="25">
        <v>220043</v>
      </c>
      <c r="D1349" s="25" t="s">
        <v>594</v>
      </c>
    </row>
    <row r="1350" spans="1:4">
      <c r="A1350" s="25">
        <v>220044</v>
      </c>
      <c r="B1350" s="25" t="s">
        <v>3634</v>
      </c>
      <c r="C1350" s="25">
        <v>220044</v>
      </c>
      <c r="D1350" s="25" t="s">
        <v>593</v>
      </c>
    </row>
    <row r="1351" spans="1:4">
      <c r="A1351" s="25">
        <v>220045</v>
      </c>
      <c r="B1351" s="25" t="s">
        <v>3635</v>
      </c>
      <c r="C1351" s="25">
        <v>220045</v>
      </c>
      <c r="D1351" s="25" t="s">
        <v>593</v>
      </c>
    </row>
    <row r="1352" spans="1:4">
      <c r="A1352" s="25">
        <v>220046</v>
      </c>
      <c r="B1352" s="25" t="s">
        <v>2394</v>
      </c>
      <c r="C1352" s="25">
        <v>220046</v>
      </c>
      <c r="D1352" s="25" t="s">
        <v>593</v>
      </c>
    </row>
    <row r="1353" spans="1:4">
      <c r="A1353" s="25">
        <v>220047</v>
      </c>
      <c r="B1353" s="25" t="s">
        <v>3508</v>
      </c>
      <c r="C1353" s="25">
        <v>220047</v>
      </c>
      <c r="D1353" s="25" t="s">
        <v>594</v>
      </c>
    </row>
    <row r="1354" spans="1:4">
      <c r="A1354" s="24">
        <v>220048</v>
      </c>
      <c r="B1354" s="24" t="s">
        <v>3636</v>
      </c>
      <c r="C1354" s="24">
        <v>220048</v>
      </c>
      <c r="D1354" s="24" t="s">
        <v>596</v>
      </c>
    </row>
    <row r="1355" spans="1:4">
      <c r="A1355" s="25">
        <v>220049</v>
      </c>
      <c r="B1355" s="25" t="s">
        <v>3637</v>
      </c>
      <c r="C1355" s="25">
        <v>220049</v>
      </c>
      <c r="D1355" s="25" t="s">
        <v>592</v>
      </c>
    </row>
    <row r="1356" spans="1:4">
      <c r="A1356" s="25">
        <v>220050</v>
      </c>
      <c r="B1356" s="25" t="s">
        <v>3638</v>
      </c>
      <c r="C1356" s="25">
        <v>220050</v>
      </c>
      <c r="D1356" s="25" t="s">
        <v>595</v>
      </c>
    </row>
    <row r="1357" spans="1:4">
      <c r="A1357" s="25">
        <v>220051</v>
      </c>
      <c r="B1357" s="25" t="s">
        <v>3637</v>
      </c>
      <c r="C1357" s="25">
        <v>220051</v>
      </c>
      <c r="D1357" s="25" t="s">
        <v>592</v>
      </c>
    </row>
    <row r="1358" spans="1:4">
      <c r="A1358" s="24">
        <v>220052</v>
      </c>
      <c r="B1358" s="24" t="s">
        <v>3639</v>
      </c>
      <c r="C1358" s="24">
        <v>220052</v>
      </c>
      <c r="D1358" s="24" t="s">
        <v>594</v>
      </c>
    </row>
    <row r="1359" spans="1:4">
      <c r="A1359" s="24">
        <v>220053</v>
      </c>
      <c r="B1359" s="24" t="s">
        <v>2395</v>
      </c>
      <c r="C1359" s="24">
        <v>220053</v>
      </c>
      <c r="D1359" s="24" t="s">
        <v>594</v>
      </c>
    </row>
    <row r="1360" spans="1:4">
      <c r="A1360" s="25">
        <v>220054</v>
      </c>
      <c r="B1360" s="25" t="s">
        <v>3640</v>
      </c>
      <c r="C1360" s="25">
        <v>220054</v>
      </c>
      <c r="D1360" s="25" t="s">
        <v>595</v>
      </c>
    </row>
    <row r="1361" spans="1:4">
      <c r="A1361" s="25">
        <v>220055</v>
      </c>
      <c r="B1361" s="25" t="s">
        <v>3641</v>
      </c>
      <c r="C1361" s="25">
        <v>220055</v>
      </c>
      <c r="D1361" s="25" t="s">
        <v>593</v>
      </c>
    </row>
    <row r="1362" spans="1:4">
      <c r="A1362" s="25">
        <v>220056</v>
      </c>
      <c r="B1362" s="25" t="s">
        <v>3642</v>
      </c>
      <c r="C1362" s="25">
        <v>220056</v>
      </c>
      <c r="D1362" s="25" t="s">
        <v>595</v>
      </c>
    </row>
    <row r="1363" spans="1:4">
      <c r="A1363" s="25">
        <v>220057</v>
      </c>
      <c r="B1363" s="25" t="s">
        <v>3626</v>
      </c>
      <c r="C1363" s="25">
        <v>220057</v>
      </c>
      <c r="D1363" s="25" t="s">
        <v>594</v>
      </c>
    </row>
    <row r="1364" spans="1:4">
      <c r="A1364" s="24">
        <v>220058</v>
      </c>
      <c r="B1364" s="24" t="s">
        <v>3643</v>
      </c>
      <c r="C1364" s="24">
        <v>220058</v>
      </c>
      <c r="D1364" s="24" t="s">
        <v>594</v>
      </c>
    </row>
    <row r="1365" spans="1:4">
      <c r="A1365" s="24">
        <v>220059</v>
      </c>
      <c r="B1365" s="24" t="s">
        <v>3644</v>
      </c>
      <c r="C1365" s="24">
        <v>220059</v>
      </c>
      <c r="D1365" s="24" t="s">
        <v>596</v>
      </c>
    </row>
    <row r="1366" spans="1:4">
      <c r="A1366" s="24">
        <v>220060</v>
      </c>
      <c r="B1366" s="24" t="s">
        <v>2396</v>
      </c>
      <c r="C1366" s="24">
        <v>220060</v>
      </c>
      <c r="D1366" s="24" t="s">
        <v>592</v>
      </c>
    </row>
    <row r="1367" spans="1:4">
      <c r="A1367" s="25">
        <v>220061</v>
      </c>
      <c r="B1367" s="25" t="s">
        <v>2395</v>
      </c>
      <c r="C1367" s="25">
        <v>220061</v>
      </c>
      <c r="D1367" s="25" t="s">
        <v>594</v>
      </c>
    </row>
    <row r="1368" spans="1:4">
      <c r="D1368" s="24"/>
    </row>
    <row r="1369" spans="1:4">
      <c r="A1369" s="24">
        <v>220101</v>
      </c>
      <c r="B1369" s="26" t="s">
        <v>2385</v>
      </c>
      <c r="C1369" s="24">
        <v>220101</v>
      </c>
      <c r="D1369" s="24" t="s">
        <v>594</v>
      </c>
    </row>
    <row r="1370" spans="1:4">
      <c r="A1370" s="24">
        <v>220102</v>
      </c>
      <c r="B1370" s="26" t="s">
        <v>2385</v>
      </c>
      <c r="C1370" s="24">
        <v>220102</v>
      </c>
      <c r="D1370" s="24" t="s">
        <v>594</v>
      </c>
    </row>
    <row r="1371" spans="1:4">
      <c r="A1371" s="24">
        <v>220103</v>
      </c>
      <c r="B1371" s="26" t="s">
        <v>2385</v>
      </c>
      <c r="C1371" s="24">
        <v>220103</v>
      </c>
      <c r="D1371" s="24" t="s">
        <v>594</v>
      </c>
    </row>
    <row r="1372" spans="1:4">
      <c r="A1372" s="24">
        <v>220201</v>
      </c>
      <c r="B1372" s="26" t="s">
        <v>3622</v>
      </c>
      <c r="C1372" s="24">
        <v>220201</v>
      </c>
      <c r="D1372" s="24" t="s">
        <v>592</v>
      </c>
    </row>
    <row r="1373" spans="1:4">
      <c r="A1373" s="24">
        <v>220202</v>
      </c>
      <c r="B1373" s="26" t="s">
        <v>3625</v>
      </c>
      <c r="C1373" s="24">
        <v>220202</v>
      </c>
      <c r="D1373" s="24" t="s">
        <v>592</v>
      </c>
    </row>
    <row r="1374" spans="1:4">
      <c r="A1374" s="24">
        <v>220203</v>
      </c>
      <c r="B1374" s="26" t="s">
        <v>3625</v>
      </c>
      <c r="C1374" s="24">
        <v>220203</v>
      </c>
      <c r="D1374" s="24" t="s">
        <v>592</v>
      </c>
    </row>
    <row r="1375" spans="1:4">
      <c r="A1375" s="24">
        <v>220204</v>
      </c>
      <c r="B1375" s="26" t="s">
        <v>3625</v>
      </c>
      <c r="C1375" s="24">
        <v>220204</v>
      </c>
      <c r="D1375" s="24" t="s">
        <v>592</v>
      </c>
    </row>
    <row r="1376" spans="1:4">
      <c r="A1376" s="24">
        <v>220211</v>
      </c>
      <c r="B1376" s="26" t="s">
        <v>3622</v>
      </c>
      <c r="C1376" s="24">
        <v>220211</v>
      </c>
      <c r="D1376" s="24" t="s">
        <v>592</v>
      </c>
    </row>
    <row r="1377" spans="1:4">
      <c r="A1377" s="24">
        <v>220212</v>
      </c>
      <c r="B1377" s="26" t="s">
        <v>3625</v>
      </c>
      <c r="C1377" s="24">
        <v>220212</v>
      </c>
      <c r="D1377" s="24" t="s">
        <v>592</v>
      </c>
    </row>
    <row r="1378" spans="1:4">
      <c r="A1378" s="24">
        <v>220213</v>
      </c>
      <c r="B1378" s="26" t="s">
        <v>3625</v>
      </c>
      <c r="C1378" s="24">
        <v>220213</v>
      </c>
      <c r="D1378" s="24" t="s">
        <v>592</v>
      </c>
    </row>
    <row r="1379" spans="1:4">
      <c r="A1379" s="24">
        <v>220214</v>
      </c>
      <c r="B1379" s="26" t="s">
        <v>3625</v>
      </c>
      <c r="C1379" s="24">
        <v>220214</v>
      </c>
      <c r="D1379" s="24" t="s">
        <v>592</v>
      </c>
    </row>
    <row r="1380" spans="1:4">
      <c r="A1380" s="24">
        <v>220221</v>
      </c>
      <c r="B1380" s="26" t="s">
        <v>3622</v>
      </c>
      <c r="C1380" s="24">
        <v>220221</v>
      </c>
      <c r="D1380" s="24" t="s">
        <v>592</v>
      </c>
    </row>
    <row r="1381" spans="1:4">
      <c r="A1381" s="24">
        <v>220222</v>
      </c>
      <c r="B1381" s="26" t="s">
        <v>3625</v>
      </c>
      <c r="C1381" s="24">
        <v>220222</v>
      </c>
      <c r="D1381" s="24" t="s">
        <v>592</v>
      </c>
    </row>
    <row r="1382" spans="1:4">
      <c r="A1382" s="24">
        <v>220223</v>
      </c>
      <c r="B1382" s="26" t="s">
        <v>3625</v>
      </c>
      <c r="C1382" s="24">
        <v>220223</v>
      </c>
      <c r="D1382" s="24" t="s">
        <v>592</v>
      </c>
    </row>
    <row r="1383" spans="1:4">
      <c r="A1383" s="24">
        <v>220224</v>
      </c>
      <c r="B1383" s="26" t="s">
        <v>3625</v>
      </c>
      <c r="C1383" s="24">
        <v>220224</v>
      </c>
      <c r="D1383" s="24" t="s">
        <v>592</v>
      </c>
    </row>
    <row r="1384" spans="1:4">
      <c r="A1384" s="24">
        <v>220301</v>
      </c>
      <c r="B1384" s="26" t="s">
        <v>2386</v>
      </c>
      <c r="C1384" s="24">
        <v>220301</v>
      </c>
      <c r="D1384" s="24" t="s">
        <v>595</v>
      </c>
    </row>
    <row r="1385" spans="1:4">
      <c r="A1385" s="24">
        <v>220302</v>
      </c>
      <c r="B1385" s="26" t="s">
        <v>2386</v>
      </c>
      <c r="C1385" s="24">
        <v>220302</v>
      </c>
      <c r="D1385" s="24" t="s">
        <v>595</v>
      </c>
    </row>
    <row r="1386" spans="1:4">
      <c r="A1386" s="24">
        <v>220303</v>
      </c>
      <c r="B1386" s="26" t="s">
        <v>2386</v>
      </c>
      <c r="C1386" s="24">
        <v>220303</v>
      </c>
      <c r="D1386" s="24" t="s">
        <v>595</v>
      </c>
    </row>
    <row r="1387" spans="1:4">
      <c r="A1387" s="24">
        <v>220401</v>
      </c>
      <c r="B1387" s="26" t="s">
        <v>2387</v>
      </c>
      <c r="C1387" s="24">
        <v>220401</v>
      </c>
      <c r="D1387" s="24" t="s">
        <v>594</v>
      </c>
    </row>
    <row r="1388" spans="1:4">
      <c r="A1388" s="24">
        <v>220402</v>
      </c>
      <c r="B1388" s="26" t="s">
        <v>2387</v>
      </c>
      <c r="C1388" s="24">
        <v>220402</v>
      </c>
      <c r="D1388" s="24" t="s">
        <v>594</v>
      </c>
    </row>
    <row r="1389" spans="1:4">
      <c r="A1389" s="24">
        <v>220403</v>
      </c>
      <c r="B1389" s="26" t="s">
        <v>2387</v>
      </c>
      <c r="C1389" s="24">
        <v>220403</v>
      </c>
      <c r="D1389" s="24" t="s">
        <v>594</v>
      </c>
    </row>
    <row r="1390" spans="1:4">
      <c r="A1390" s="24">
        <v>220501</v>
      </c>
      <c r="B1390" s="26" t="s">
        <v>3626</v>
      </c>
      <c r="C1390" s="24">
        <v>220501</v>
      </c>
      <c r="D1390" s="24" t="s">
        <v>594</v>
      </c>
    </row>
    <row r="1391" spans="1:4">
      <c r="A1391" s="24">
        <v>220502</v>
      </c>
      <c r="B1391" s="26" t="s">
        <v>3626</v>
      </c>
      <c r="C1391" s="24">
        <v>220502</v>
      </c>
      <c r="D1391" s="24" t="s">
        <v>594</v>
      </c>
    </row>
    <row r="1392" spans="1:4">
      <c r="A1392" s="24">
        <v>220503</v>
      </c>
      <c r="B1392" s="26" t="s">
        <v>3626</v>
      </c>
      <c r="C1392" s="24">
        <v>220503</v>
      </c>
      <c r="D1392" s="24" t="s">
        <v>594</v>
      </c>
    </row>
    <row r="1393" spans="1:4">
      <c r="A1393" s="24">
        <v>220601</v>
      </c>
      <c r="B1393" s="26" t="s">
        <v>2388</v>
      </c>
      <c r="C1393" s="24">
        <v>220601</v>
      </c>
      <c r="D1393" s="24" t="s">
        <v>594</v>
      </c>
    </row>
    <row r="1394" spans="1:4">
      <c r="A1394" s="24">
        <v>220602</v>
      </c>
      <c r="B1394" s="26" t="s">
        <v>2388</v>
      </c>
      <c r="C1394" s="24">
        <v>220602</v>
      </c>
      <c r="D1394" s="24" t="s">
        <v>594</v>
      </c>
    </row>
    <row r="1395" spans="1:4">
      <c r="A1395" s="24">
        <v>220603</v>
      </c>
      <c r="B1395" s="26" t="s">
        <v>2388</v>
      </c>
      <c r="C1395" s="24">
        <v>220603</v>
      </c>
      <c r="D1395" s="24" t="s">
        <v>594</v>
      </c>
    </row>
    <row r="1396" spans="1:4">
      <c r="A1396" s="24">
        <v>220701</v>
      </c>
      <c r="B1396" s="26" t="s">
        <v>2397</v>
      </c>
      <c r="C1396" s="24">
        <v>220701</v>
      </c>
      <c r="D1396" s="24" t="s">
        <v>592</v>
      </c>
    </row>
    <row r="1397" spans="1:4">
      <c r="A1397" s="24">
        <v>220702</v>
      </c>
      <c r="B1397" s="26" t="s">
        <v>2397</v>
      </c>
      <c r="C1397" s="24">
        <v>220702</v>
      </c>
      <c r="D1397" s="24" t="s">
        <v>592</v>
      </c>
    </row>
    <row r="1398" spans="1:4">
      <c r="A1398" s="24">
        <v>220703</v>
      </c>
      <c r="B1398" s="26" t="s">
        <v>2397</v>
      </c>
      <c r="C1398" s="24">
        <v>220703</v>
      </c>
      <c r="D1398" s="24" t="s">
        <v>592</v>
      </c>
    </row>
    <row r="1399" spans="1:4">
      <c r="A1399" s="24">
        <v>220801</v>
      </c>
      <c r="B1399" s="26" t="s">
        <v>3623</v>
      </c>
      <c r="C1399" s="24">
        <v>220801</v>
      </c>
      <c r="D1399" s="24" t="s">
        <v>594</v>
      </c>
    </row>
    <row r="1400" spans="1:4">
      <c r="A1400" s="24">
        <v>220802</v>
      </c>
      <c r="B1400" s="26" t="s">
        <v>3623</v>
      </c>
      <c r="C1400" s="24">
        <v>220802</v>
      </c>
      <c r="D1400" s="24" t="s">
        <v>594</v>
      </c>
    </row>
    <row r="1401" spans="1:4">
      <c r="A1401" s="24">
        <v>220803</v>
      </c>
      <c r="B1401" s="26" t="s">
        <v>3623</v>
      </c>
      <c r="C1401" s="24">
        <v>220803</v>
      </c>
      <c r="D1401" s="24" t="s">
        <v>594</v>
      </c>
    </row>
    <row r="1402" spans="1:4">
      <c r="A1402" s="24">
        <v>220901</v>
      </c>
      <c r="B1402" s="24" t="s">
        <v>2395</v>
      </c>
      <c r="C1402" s="24">
        <v>220901</v>
      </c>
      <c r="D1402" s="24" t="s">
        <v>594</v>
      </c>
    </row>
    <row r="1403" spans="1:4">
      <c r="A1403" s="24">
        <v>220902</v>
      </c>
      <c r="B1403" s="24" t="s">
        <v>2395</v>
      </c>
      <c r="C1403" s="24">
        <v>220902</v>
      </c>
      <c r="D1403" s="24" t="s">
        <v>594</v>
      </c>
    </row>
    <row r="1404" spans="1:4">
      <c r="A1404" s="24">
        <v>220903</v>
      </c>
      <c r="B1404" s="24" t="s">
        <v>2395</v>
      </c>
      <c r="C1404" s="24">
        <v>220903</v>
      </c>
      <c r="D1404" s="24" t="s">
        <v>594</v>
      </c>
    </row>
    <row r="1405" spans="1:4">
      <c r="A1405" s="24">
        <v>221101</v>
      </c>
      <c r="B1405" s="26" t="s">
        <v>3624</v>
      </c>
      <c r="C1405" s="24">
        <v>221101</v>
      </c>
      <c r="D1405" s="24" t="s">
        <v>595</v>
      </c>
    </row>
    <row r="1406" spans="1:4">
      <c r="A1406" s="24">
        <v>221102</v>
      </c>
      <c r="B1406" s="26" t="s">
        <v>3624</v>
      </c>
      <c r="C1406" s="24">
        <v>221102</v>
      </c>
      <c r="D1406" s="24" t="s">
        <v>595</v>
      </c>
    </row>
    <row r="1407" spans="1:4">
      <c r="A1407" s="24">
        <v>221103</v>
      </c>
      <c r="B1407" s="26" t="s">
        <v>3624</v>
      </c>
      <c r="C1407" s="24">
        <v>221103</v>
      </c>
      <c r="D1407" s="24" t="s">
        <v>595</v>
      </c>
    </row>
    <row r="1408" spans="1:4">
      <c r="A1408" s="24">
        <v>221201</v>
      </c>
      <c r="B1408" s="24" t="s">
        <v>3632</v>
      </c>
      <c r="C1408" s="24">
        <v>221201</v>
      </c>
      <c r="D1408" s="24" t="s">
        <v>594</v>
      </c>
    </row>
    <row r="1409" spans="1:4">
      <c r="A1409" s="24">
        <v>221202</v>
      </c>
      <c r="B1409" s="24" t="s">
        <v>3632</v>
      </c>
      <c r="C1409" s="24">
        <v>221202</v>
      </c>
      <c r="D1409" s="24" t="s">
        <v>594</v>
      </c>
    </row>
    <row r="1410" spans="1:4">
      <c r="A1410" s="24">
        <v>221203</v>
      </c>
      <c r="B1410" s="24" t="s">
        <v>3632</v>
      </c>
      <c r="C1410" s="24">
        <v>221203</v>
      </c>
      <c r="D1410" s="24" t="s">
        <v>594</v>
      </c>
    </row>
    <row r="1411" spans="1:4">
      <c r="A1411" s="24">
        <v>221301</v>
      </c>
      <c r="B1411" s="24" t="s">
        <v>3633</v>
      </c>
      <c r="C1411" s="24">
        <v>221301</v>
      </c>
      <c r="D1411" s="24" t="s">
        <v>594</v>
      </c>
    </row>
    <row r="1412" spans="1:4">
      <c r="A1412" s="24">
        <v>221302</v>
      </c>
      <c r="B1412" s="24" t="s">
        <v>3633</v>
      </c>
      <c r="C1412" s="24">
        <v>221302</v>
      </c>
      <c r="D1412" s="24" t="s">
        <v>594</v>
      </c>
    </row>
    <row r="1413" spans="1:4">
      <c r="A1413" s="24">
        <v>221303</v>
      </c>
      <c r="B1413" s="24" t="s">
        <v>3633</v>
      </c>
      <c r="C1413" s="24">
        <v>221303</v>
      </c>
      <c r="D1413" s="24" t="s">
        <v>594</v>
      </c>
    </row>
    <row r="1414" spans="1:4">
      <c r="A1414" s="24">
        <v>221401</v>
      </c>
      <c r="B1414" s="24" t="s">
        <v>3507</v>
      </c>
      <c r="C1414" s="24">
        <v>221401</v>
      </c>
      <c r="D1414" s="24" t="s">
        <v>594</v>
      </c>
    </row>
    <row r="1415" spans="1:4">
      <c r="A1415" s="24">
        <v>221402</v>
      </c>
      <c r="B1415" s="24" t="s">
        <v>3507</v>
      </c>
      <c r="C1415" s="24">
        <v>221402</v>
      </c>
      <c r="D1415" s="24" t="s">
        <v>594</v>
      </c>
    </row>
    <row r="1416" spans="1:4">
      <c r="A1416" s="24">
        <v>221403</v>
      </c>
      <c r="B1416" s="24" t="s">
        <v>3507</v>
      </c>
      <c r="C1416" s="24">
        <v>221403</v>
      </c>
      <c r="D1416" s="24" t="s">
        <v>594</v>
      </c>
    </row>
    <row r="1417" spans="1:4">
      <c r="A1417" s="24">
        <v>221601</v>
      </c>
      <c r="B1417" s="26" t="s">
        <v>1235</v>
      </c>
      <c r="C1417" s="24">
        <v>221601</v>
      </c>
      <c r="D1417" s="24" t="s">
        <v>593</v>
      </c>
    </row>
    <row r="1418" spans="1:4">
      <c r="A1418" s="24">
        <v>221602</v>
      </c>
      <c r="B1418" s="26" t="s">
        <v>1235</v>
      </c>
      <c r="C1418" s="24">
        <v>221602</v>
      </c>
      <c r="D1418" s="24" t="s">
        <v>593</v>
      </c>
    </row>
    <row r="1419" spans="1:4">
      <c r="A1419" s="24">
        <v>221603</v>
      </c>
      <c r="B1419" s="26" t="s">
        <v>1235</v>
      </c>
      <c r="C1419" s="24">
        <v>221603</v>
      </c>
      <c r="D1419" s="24" t="s">
        <v>593</v>
      </c>
    </row>
    <row r="1420" spans="1:4">
      <c r="A1420" s="24">
        <v>221701</v>
      </c>
      <c r="B1420" s="26" t="s">
        <v>605</v>
      </c>
      <c r="C1420" s="24">
        <v>221701</v>
      </c>
      <c r="D1420" s="26" t="s">
        <v>594</v>
      </c>
    </row>
    <row r="1421" spans="1:4">
      <c r="A1421" s="24">
        <v>221702</v>
      </c>
      <c r="B1421" s="26" t="s">
        <v>605</v>
      </c>
      <c r="C1421" s="24">
        <v>221702</v>
      </c>
      <c r="D1421" s="26" t="s">
        <v>594</v>
      </c>
    </row>
    <row r="1422" spans="1:4">
      <c r="A1422" s="24">
        <v>221703</v>
      </c>
      <c r="B1422" s="26" t="s">
        <v>605</v>
      </c>
      <c r="C1422" s="24">
        <v>221703</v>
      </c>
      <c r="D1422" s="26" t="s">
        <v>594</v>
      </c>
    </row>
    <row r="1423" spans="1:4">
      <c r="A1423" s="24">
        <v>221801</v>
      </c>
      <c r="B1423" s="24" t="s">
        <v>3634</v>
      </c>
      <c r="C1423" s="24">
        <v>221801</v>
      </c>
      <c r="D1423" s="24" t="s">
        <v>593</v>
      </c>
    </row>
    <row r="1424" spans="1:4">
      <c r="A1424" s="24">
        <v>221802</v>
      </c>
      <c r="B1424" s="24" t="s">
        <v>3634</v>
      </c>
      <c r="C1424" s="24">
        <v>221802</v>
      </c>
      <c r="D1424" s="24" t="s">
        <v>593</v>
      </c>
    </row>
    <row r="1425" spans="1:4">
      <c r="A1425" s="24">
        <v>221803</v>
      </c>
      <c r="B1425" s="24" t="s">
        <v>3634</v>
      </c>
      <c r="C1425" s="24">
        <v>221803</v>
      </c>
      <c r="D1425" s="24" t="s">
        <v>593</v>
      </c>
    </row>
    <row r="1426" spans="1:4">
      <c r="A1426" s="24">
        <v>221901</v>
      </c>
      <c r="B1426" s="26" t="s">
        <v>3628</v>
      </c>
      <c r="C1426" s="24">
        <v>221901</v>
      </c>
      <c r="D1426" s="24" t="s">
        <v>593</v>
      </c>
    </row>
    <row r="1427" spans="1:4">
      <c r="A1427" s="24">
        <v>221902</v>
      </c>
      <c r="B1427" s="26" t="s">
        <v>3628</v>
      </c>
      <c r="C1427" s="24">
        <v>221902</v>
      </c>
      <c r="D1427" s="24" t="s">
        <v>593</v>
      </c>
    </row>
    <row r="1428" spans="1:4">
      <c r="A1428" s="24">
        <v>221903</v>
      </c>
      <c r="B1428" s="26" t="s">
        <v>3628</v>
      </c>
      <c r="C1428" s="24">
        <v>221903</v>
      </c>
      <c r="D1428" s="24" t="s">
        <v>593</v>
      </c>
    </row>
    <row r="1429" spans="1:4">
      <c r="A1429" s="24">
        <v>222001</v>
      </c>
      <c r="B1429" s="24" t="s">
        <v>3635</v>
      </c>
      <c r="C1429" s="24">
        <v>222001</v>
      </c>
      <c r="D1429" s="24" t="s">
        <v>593</v>
      </c>
    </row>
    <row r="1430" spans="1:4">
      <c r="A1430" s="24">
        <v>222002</v>
      </c>
      <c r="B1430" s="24" t="s">
        <v>3635</v>
      </c>
      <c r="C1430" s="24">
        <v>222002</v>
      </c>
      <c r="D1430" s="24" t="s">
        <v>593</v>
      </c>
    </row>
    <row r="1431" spans="1:4">
      <c r="A1431" s="24">
        <v>222003</v>
      </c>
      <c r="B1431" s="24" t="s">
        <v>3635</v>
      </c>
      <c r="C1431" s="24">
        <v>222003</v>
      </c>
      <c r="D1431" s="24" t="s">
        <v>593</v>
      </c>
    </row>
    <row r="1432" spans="1:4">
      <c r="A1432" s="24">
        <v>222101</v>
      </c>
      <c r="B1432" s="26" t="s">
        <v>2389</v>
      </c>
      <c r="C1432" s="24">
        <v>222101</v>
      </c>
      <c r="D1432" s="24" t="s">
        <v>593</v>
      </c>
    </row>
    <row r="1433" spans="1:4">
      <c r="A1433" s="24">
        <v>222102</v>
      </c>
      <c r="B1433" s="26" t="s">
        <v>2389</v>
      </c>
      <c r="C1433" s="24">
        <v>222102</v>
      </c>
      <c r="D1433" s="24" t="s">
        <v>593</v>
      </c>
    </row>
    <row r="1434" spans="1:4">
      <c r="A1434" s="24">
        <v>222103</v>
      </c>
      <c r="B1434" s="26" t="s">
        <v>2389</v>
      </c>
      <c r="C1434" s="24">
        <v>222103</v>
      </c>
      <c r="D1434" s="24" t="s">
        <v>593</v>
      </c>
    </row>
    <row r="1435" spans="1:4">
      <c r="A1435" s="112">
        <v>222801</v>
      </c>
      <c r="B1435" s="26" t="s">
        <v>2387</v>
      </c>
      <c r="C1435" s="112">
        <v>222801</v>
      </c>
      <c r="D1435" s="24" t="s">
        <v>594</v>
      </c>
    </row>
    <row r="1436" spans="1:4">
      <c r="A1436" s="112">
        <v>222802</v>
      </c>
      <c r="B1436" s="26" t="s">
        <v>2387</v>
      </c>
      <c r="C1436" s="112">
        <v>222802</v>
      </c>
      <c r="D1436" s="24" t="s">
        <v>594</v>
      </c>
    </row>
    <row r="1437" spans="1:4">
      <c r="A1437" s="112">
        <v>222803</v>
      </c>
      <c r="B1437" s="26" t="s">
        <v>2387</v>
      </c>
      <c r="C1437" s="112">
        <v>222803</v>
      </c>
      <c r="D1437" s="24" t="s">
        <v>594</v>
      </c>
    </row>
    <row r="1438" spans="1:4">
      <c r="A1438" s="26">
        <v>223401</v>
      </c>
      <c r="B1438" s="24" t="s">
        <v>3643</v>
      </c>
      <c r="C1438" s="26">
        <v>223401</v>
      </c>
      <c r="D1438" s="24" t="s">
        <v>594</v>
      </c>
    </row>
    <row r="1439" spans="1:4">
      <c r="A1439" s="26">
        <v>223402</v>
      </c>
      <c r="B1439" s="24" t="s">
        <v>3643</v>
      </c>
      <c r="C1439" s="26">
        <v>223402</v>
      </c>
      <c r="D1439" s="24" t="s">
        <v>594</v>
      </c>
    </row>
    <row r="1440" spans="1:4">
      <c r="A1440" s="26">
        <v>223403</v>
      </c>
      <c r="B1440" s="24" t="s">
        <v>3643</v>
      </c>
      <c r="C1440" s="26">
        <v>223403</v>
      </c>
      <c r="D1440" s="24" t="s">
        <v>594</v>
      </c>
    </row>
    <row r="1441" spans="1:4">
      <c r="A1441" s="112">
        <v>223501</v>
      </c>
      <c r="B1441" s="24" t="s">
        <v>3645</v>
      </c>
      <c r="C1441" s="112">
        <v>223501</v>
      </c>
      <c r="D1441" s="24" t="s">
        <v>596</v>
      </c>
    </row>
    <row r="1442" spans="1:4">
      <c r="A1442" s="112">
        <v>223502</v>
      </c>
      <c r="B1442" s="24" t="s">
        <v>3645</v>
      </c>
      <c r="C1442" s="112">
        <v>223502</v>
      </c>
      <c r="D1442" s="24" t="s">
        <v>596</v>
      </c>
    </row>
    <row r="1443" spans="1:4">
      <c r="A1443" s="112">
        <v>223503</v>
      </c>
      <c r="B1443" s="24" t="s">
        <v>3645</v>
      </c>
      <c r="C1443" s="112">
        <v>223503</v>
      </c>
      <c r="D1443" s="24" t="s">
        <v>596</v>
      </c>
    </row>
    <row r="1444" spans="1:4">
      <c r="A1444" s="112">
        <v>223601</v>
      </c>
      <c r="B1444" s="24" t="s">
        <v>1222</v>
      </c>
      <c r="C1444" s="112">
        <v>223601</v>
      </c>
      <c r="D1444" s="24" t="s">
        <v>594</v>
      </c>
    </row>
    <row r="1445" spans="1:4">
      <c r="A1445" s="112">
        <v>223602</v>
      </c>
      <c r="B1445" s="24" t="s">
        <v>1222</v>
      </c>
      <c r="C1445" s="112">
        <v>223602</v>
      </c>
      <c r="D1445" s="24" t="s">
        <v>594</v>
      </c>
    </row>
    <row r="1446" spans="1:4">
      <c r="A1446" s="112">
        <v>223603</v>
      </c>
      <c r="B1446" s="24" t="s">
        <v>1222</v>
      </c>
      <c r="C1446" s="112">
        <v>223603</v>
      </c>
      <c r="D1446" s="24" t="s">
        <v>594</v>
      </c>
    </row>
    <row r="1447" spans="1:4">
      <c r="A1447" s="26">
        <v>223901</v>
      </c>
      <c r="B1447" s="24" t="s">
        <v>3646</v>
      </c>
      <c r="C1447" s="26">
        <v>223901</v>
      </c>
      <c r="D1447" s="24" t="s">
        <v>594</v>
      </c>
    </row>
    <row r="1448" spans="1:4">
      <c r="A1448" s="26">
        <v>223902</v>
      </c>
      <c r="B1448" s="24" t="s">
        <v>3646</v>
      </c>
      <c r="C1448" s="26">
        <v>223902</v>
      </c>
      <c r="D1448" s="24" t="s">
        <v>594</v>
      </c>
    </row>
    <row r="1449" spans="1:4">
      <c r="A1449" s="26">
        <v>223903</v>
      </c>
      <c r="B1449" s="24" t="s">
        <v>3646</v>
      </c>
      <c r="C1449" s="26">
        <v>223903</v>
      </c>
      <c r="D1449" s="24" t="s">
        <v>594</v>
      </c>
    </row>
    <row r="1450" spans="1:4">
      <c r="A1450" s="112">
        <v>224201</v>
      </c>
      <c r="B1450" s="24" t="s">
        <v>3647</v>
      </c>
      <c r="C1450" s="112">
        <v>224201</v>
      </c>
      <c r="D1450" s="24" t="s">
        <v>592</v>
      </c>
    </row>
    <row r="1451" spans="1:4">
      <c r="A1451" s="112">
        <v>224202</v>
      </c>
      <c r="B1451" s="24" t="s">
        <v>3647</v>
      </c>
      <c r="C1451" s="112">
        <v>224202</v>
      </c>
      <c r="D1451" s="24" t="s">
        <v>592</v>
      </c>
    </row>
    <row r="1452" spans="1:4">
      <c r="A1452" s="112">
        <v>224203</v>
      </c>
      <c r="B1452" s="24" t="s">
        <v>3647</v>
      </c>
      <c r="C1452" s="112">
        <v>224203</v>
      </c>
      <c r="D1452" s="24" t="s">
        <v>592</v>
      </c>
    </row>
    <row r="1453" spans="1:4">
      <c r="A1453" s="24">
        <v>240101</v>
      </c>
      <c r="B1453" s="24" t="s">
        <v>2394</v>
      </c>
      <c r="C1453" s="24">
        <v>240101</v>
      </c>
      <c r="D1453" s="24" t="s">
        <v>593</v>
      </c>
    </row>
    <row r="1454" spans="1:4">
      <c r="A1454" s="24">
        <v>240102</v>
      </c>
      <c r="B1454" s="24" t="s">
        <v>2394</v>
      </c>
      <c r="C1454" s="24">
        <v>240102</v>
      </c>
      <c r="D1454" s="24" t="s">
        <v>593</v>
      </c>
    </row>
    <row r="1455" spans="1:4">
      <c r="A1455" s="24">
        <v>240103</v>
      </c>
      <c r="B1455" s="24" t="s">
        <v>2394</v>
      </c>
      <c r="C1455" s="24">
        <v>240103</v>
      </c>
      <c r="D1455" s="24" t="s">
        <v>593</v>
      </c>
    </row>
    <row r="1456" spans="1:4">
      <c r="A1456" s="24">
        <v>240201</v>
      </c>
      <c r="B1456" s="26" t="s">
        <v>2390</v>
      </c>
      <c r="C1456" s="24">
        <v>240201</v>
      </c>
      <c r="D1456" s="24" t="s">
        <v>592</v>
      </c>
    </row>
    <row r="1457" spans="1:4">
      <c r="A1457" s="24">
        <v>240202</v>
      </c>
      <c r="B1457" s="26" t="s">
        <v>2390</v>
      </c>
      <c r="C1457" s="24">
        <v>240202</v>
      </c>
      <c r="D1457" s="24" t="s">
        <v>592</v>
      </c>
    </row>
    <row r="1458" spans="1:4">
      <c r="A1458" s="24">
        <v>240203</v>
      </c>
      <c r="B1458" s="26" t="s">
        <v>2390</v>
      </c>
      <c r="C1458" s="24">
        <v>240203</v>
      </c>
      <c r="D1458" s="24" t="s">
        <v>592</v>
      </c>
    </row>
    <row r="1459" spans="1:4">
      <c r="A1459" s="24">
        <v>240301</v>
      </c>
      <c r="B1459" s="26" t="s">
        <v>3627</v>
      </c>
      <c r="C1459" s="24">
        <v>240301</v>
      </c>
      <c r="D1459" s="24" t="s">
        <v>595</v>
      </c>
    </row>
    <row r="1460" spans="1:4">
      <c r="A1460" s="24">
        <v>240302</v>
      </c>
      <c r="B1460" s="26" t="s">
        <v>3627</v>
      </c>
      <c r="C1460" s="24">
        <v>240302</v>
      </c>
      <c r="D1460" s="24" t="s">
        <v>595</v>
      </c>
    </row>
    <row r="1461" spans="1:4">
      <c r="A1461" s="24">
        <v>240303</v>
      </c>
      <c r="B1461" s="26" t="s">
        <v>3627</v>
      </c>
      <c r="C1461" s="24">
        <v>240303</v>
      </c>
      <c r="D1461" s="24" t="s">
        <v>595</v>
      </c>
    </row>
    <row r="1462" spans="1:4">
      <c r="A1462" s="24">
        <v>240401</v>
      </c>
      <c r="B1462" s="26" t="s">
        <v>3629</v>
      </c>
      <c r="C1462" s="24">
        <v>240401</v>
      </c>
      <c r="D1462" s="24" t="s">
        <v>594</v>
      </c>
    </row>
    <row r="1463" spans="1:4">
      <c r="A1463" s="24">
        <v>240402</v>
      </c>
      <c r="B1463" s="26" t="s">
        <v>3629</v>
      </c>
      <c r="C1463" s="24">
        <v>240402</v>
      </c>
      <c r="D1463" s="24" t="s">
        <v>594</v>
      </c>
    </row>
    <row r="1464" spans="1:4">
      <c r="A1464" s="24">
        <v>240403</v>
      </c>
      <c r="B1464" s="26" t="s">
        <v>3629</v>
      </c>
      <c r="C1464" s="24">
        <v>240403</v>
      </c>
      <c r="D1464" s="24" t="s">
        <v>594</v>
      </c>
    </row>
    <row r="1465" spans="1:4">
      <c r="A1465" s="24">
        <v>240501</v>
      </c>
      <c r="B1465" s="26" t="s">
        <v>2391</v>
      </c>
      <c r="C1465" s="24">
        <v>240501</v>
      </c>
      <c r="D1465" s="24" t="s">
        <v>594</v>
      </c>
    </row>
    <row r="1466" spans="1:4">
      <c r="A1466" s="24">
        <v>240502</v>
      </c>
      <c r="B1466" s="26" t="s">
        <v>2391</v>
      </c>
      <c r="C1466" s="24">
        <v>240502</v>
      </c>
      <c r="D1466" s="24" t="s">
        <v>594</v>
      </c>
    </row>
    <row r="1467" spans="1:4">
      <c r="A1467" s="24">
        <v>240503</v>
      </c>
      <c r="B1467" s="26" t="s">
        <v>2391</v>
      </c>
      <c r="C1467" s="24">
        <v>240503</v>
      </c>
      <c r="D1467" s="24" t="s">
        <v>594</v>
      </c>
    </row>
    <row r="1468" spans="1:4">
      <c r="A1468" s="24">
        <v>240601</v>
      </c>
      <c r="B1468" s="26" t="s">
        <v>1236</v>
      </c>
      <c r="C1468" s="24">
        <v>240601</v>
      </c>
      <c r="D1468" s="24" t="s">
        <v>593</v>
      </c>
    </row>
    <row r="1469" spans="1:4">
      <c r="A1469" s="24">
        <v>240602</v>
      </c>
      <c r="B1469" s="26" t="s">
        <v>1236</v>
      </c>
      <c r="C1469" s="24">
        <v>240602</v>
      </c>
      <c r="D1469" s="24" t="s">
        <v>593</v>
      </c>
    </row>
    <row r="1470" spans="1:4">
      <c r="A1470" s="24">
        <v>240603</v>
      </c>
      <c r="B1470" s="26" t="s">
        <v>1236</v>
      </c>
      <c r="C1470" s="24">
        <v>240603</v>
      </c>
      <c r="D1470" s="24" t="s">
        <v>593</v>
      </c>
    </row>
    <row r="1471" spans="1:4">
      <c r="A1471" s="24">
        <v>240701</v>
      </c>
      <c r="B1471" s="24" t="s">
        <v>3508</v>
      </c>
      <c r="C1471" s="24">
        <v>240701</v>
      </c>
      <c r="D1471" s="24" t="s">
        <v>594</v>
      </c>
    </row>
    <row r="1472" spans="1:4">
      <c r="A1472" s="24">
        <v>240702</v>
      </c>
      <c r="B1472" s="24" t="s">
        <v>3508</v>
      </c>
      <c r="C1472" s="24">
        <v>240702</v>
      </c>
      <c r="D1472" s="24" t="s">
        <v>594</v>
      </c>
    </row>
    <row r="1473" spans="1:4">
      <c r="A1473" s="24">
        <v>240703</v>
      </c>
      <c r="B1473" s="24" t="s">
        <v>3508</v>
      </c>
      <c r="C1473" s="24">
        <v>240703</v>
      </c>
      <c r="D1473" s="24" t="s">
        <v>594</v>
      </c>
    </row>
    <row r="1474" spans="1:4">
      <c r="A1474" s="24">
        <v>240801</v>
      </c>
      <c r="B1474" s="24" t="s">
        <v>3636</v>
      </c>
      <c r="C1474" s="24">
        <v>240801</v>
      </c>
      <c r="D1474" s="24" t="s">
        <v>596</v>
      </c>
    </row>
    <row r="1475" spans="1:4">
      <c r="A1475" s="24">
        <v>240802</v>
      </c>
      <c r="B1475" s="24" t="s">
        <v>3636</v>
      </c>
      <c r="C1475" s="24">
        <v>240802</v>
      </c>
      <c r="D1475" s="24" t="s">
        <v>596</v>
      </c>
    </row>
    <row r="1476" spans="1:4">
      <c r="A1476" s="24">
        <v>240803</v>
      </c>
      <c r="B1476" s="24" t="s">
        <v>3636</v>
      </c>
      <c r="C1476" s="24">
        <v>240803</v>
      </c>
      <c r="D1476" s="24" t="s">
        <v>596</v>
      </c>
    </row>
    <row r="1477" spans="1:4">
      <c r="A1477" s="24">
        <v>240901</v>
      </c>
      <c r="B1477" s="24" t="s">
        <v>2396</v>
      </c>
      <c r="C1477" s="24">
        <v>240901</v>
      </c>
      <c r="D1477" s="24" t="s">
        <v>592</v>
      </c>
    </row>
    <row r="1478" spans="1:4">
      <c r="A1478" s="24">
        <v>240902</v>
      </c>
      <c r="B1478" s="24" t="s">
        <v>2396</v>
      </c>
      <c r="C1478" s="24">
        <v>240902</v>
      </c>
      <c r="D1478" s="24" t="s">
        <v>592</v>
      </c>
    </row>
    <row r="1479" spans="1:4">
      <c r="A1479" s="24">
        <v>240903</v>
      </c>
      <c r="B1479" s="24" t="s">
        <v>2396</v>
      </c>
      <c r="C1479" s="24">
        <v>240903</v>
      </c>
      <c r="D1479" s="24" t="s">
        <v>592</v>
      </c>
    </row>
    <row r="1480" spans="1:4">
      <c r="A1480" s="24">
        <v>241001</v>
      </c>
      <c r="B1480" s="24" t="s">
        <v>3644</v>
      </c>
      <c r="C1480" s="24">
        <v>241001</v>
      </c>
      <c r="D1480" s="24" t="s">
        <v>596</v>
      </c>
    </row>
    <row r="1481" spans="1:4">
      <c r="A1481" s="24">
        <v>241002</v>
      </c>
      <c r="B1481" s="24" t="s">
        <v>3644</v>
      </c>
      <c r="C1481" s="24">
        <v>241002</v>
      </c>
      <c r="D1481" s="24" t="s">
        <v>596</v>
      </c>
    </row>
    <row r="1482" spans="1:4">
      <c r="A1482" s="24">
        <v>241003</v>
      </c>
      <c r="B1482" s="24" t="s">
        <v>3644</v>
      </c>
      <c r="C1482" s="24">
        <v>241003</v>
      </c>
      <c r="D1482" s="24" t="s">
        <v>596</v>
      </c>
    </row>
    <row r="1483" spans="1:4">
      <c r="A1483" s="24">
        <v>241101</v>
      </c>
      <c r="B1483" s="26" t="s">
        <v>2393</v>
      </c>
      <c r="C1483" s="24">
        <v>241101</v>
      </c>
      <c r="D1483" s="24" t="s">
        <v>596</v>
      </c>
    </row>
    <row r="1484" spans="1:4">
      <c r="A1484" s="24">
        <v>241102</v>
      </c>
      <c r="B1484" s="26" t="s">
        <v>2393</v>
      </c>
      <c r="C1484" s="24">
        <v>241102</v>
      </c>
      <c r="D1484" s="24" t="s">
        <v>596</v>
      </c>
    </row>
    <row r="1485" spans="1:4">
      <c r="A1485" s="24">
        <v>241103</v>
      </c>
      <c r="B1485" s="26" t="s">
        <v>2393</v>
      </c>
      <c r="C1485" s="24">
        <v>241103</v>
      </c>
      <c r="D1485" s="24" t="s">
        <v>596</v>
      </c>
    </row>
    <row r="1486" spans="1:4">
      <c r="A1486" s="24">
        <v>241201</v>
      </c>
      <c r="B1486" s="24" t="s">
        <v>3637</v>
      </c>
      <c r="C1486" s="24">
        <v>241201</v>
      </c>
      <c r="D1486" s="24" t="s">
        <v>592</v>
      </c>
    </row>
    <row r="1487" spans="1:4">
      <c r="A1487" s="24">
        <v>241202</v>
      </c>
      <c r="B1487" s="24" t="s">
        <v>3637</v>
      </c>
      <c r="C1487" s="24">
        <v>241202</v>
      </c>
      <c r="D1487" s="24" t="s">
        <v>592</v>
      </c>
    </row>
    <row r="1488" spans="1:4">
      <c r="A1488" s="24">
        <v>241203</v>
      </c>
      <c r="B1488" s="24" t="s">
        <v>3637</v>
      </c>
      <c r="C1488" s="24">
        <v>241203</v>
      </c>
      <c r="D1488" s="24" t="s">
        <v>592</v>
      </c>
    </row>
    <row r="1489" spans="1:4">
      <c r="A1489" s="24">
        <v>241204</v>
      </c>
      <c r="B1489" s="24" t="s">
        <v>3638</v>
      </c>
      <c r="C1489" s="24">
        <v>241204</v>
      </c>
      <c r="D1489" s="24" t="s">
        <v>595</v>
      </c>
    </row>
    <row r="1490" spans="1:4">
      <c r="A1490" s="24">
        <v>241205</v>
      </c>
      <c r="B1490" s="24" t="s">
        <v>3638</v>
      </c>
      <c r="C1490" s="24">
        <v>241205</v>
      </c>
      <c r="D1490" s="24" t="s">
        <v>595</v>
      </c>
    </row>
    <row r="1491" spans="1:4">
      <c r="A1491" s="24">
        <v>241206</v>
      </c>
      <c r="B1491" s="24" t="s">
        <v>3638</v>
      </c>
      <c r="C1491" s="24">
        <v>241206</v>
      </c>
      <c r="D1491" s="24" t="s">
        <v>595</v>
      </c>
    </row>
    <row r="1492" spans="1:4">
      <c r="A1492" s="24">
        <v>241301</v>
      </c>
      <c r="B1492" s="26" t="s">
        <v>2392</v>
      </c>
      <c r="C1492" s="24">
        <v>241301</v>
      </c>
      <c r="D1492" s="24" t="s">
        <v>594</v>
      </c>
    </row>
    <row r="1493" spans="1:4">
      <c r="A1493" s="24">
        <v>241302</v>
      </c>
      <c r="B1493" s="26" t="s">
        <v>2392</v>
      </c>
      <c r="C1493" s="24">
        <v>241302</v>
      </c>
      <c r="D1493" s="24" t="s">
        <v>594</v>
      </c>
    </row>
    <row r="1494" spans="1:4">
      <c r="A1494" s="24">
        <v>241303</v>
      </c>
      <c r="B1494" s="26" t="s">
        <v>2392</v>
      </c>
      <c r="C1494" s="24">
        <v>241303</v>
      </c>
      <c r="D1494" s="24" t="s">
        <v>594</v>
      </c>
    </row>
    <row r="1495" spans="1:4">
      <c r="A1495" s="24">
        <v>241401</v>
      </c>
      <c r="B1495" s="24" t="s">
        <v>3637</v>
      </c>
      <c r="C1495" s="24">
        <v>241401</v>
      </c>
      <c r="D1495" s="24" t="s">
        <v>592</v>
      </c>
    </row>
    <row r="1496" spans="1:4">
      <c r="A1496" s="24">
        <v>241402</v>
      </c>
      <c r="B1496" s="24" t="s">
        <v>3637</v>
      </c>
      <c r="C1496" s="24">
        <v>241402</v>
      </c>
      <c r="D1496" s="24" t="s">
        <v>592</v>
      </c>
    </row>
    <row r="1497" spans="1:4">
      <c r="A1497" s="24">
        <v>241403</v>
      </c>
      <c r="B1497" s="24" t="s">
        <v>3637</v>
      </c>
      <c r="C1497" s="24">
        <v>241403</v>
      </c>
      <c r="D1497" s="24" t="s">
        <v>592</v>
      </c>
    </row>
    <row r="1498" spans="1:4">
      <c r="A1498" s="24">
        <v>241501</v>
      </c>
      <c r="B1498" s="24" t="s">
        <v>3639</v>
      </c>
      <c r="C1498" s="24">
        <v>241501</v>
      </c>
      <c r="D1498" s="24" t="s">
        <v>594</v>
      </c>
    </row>
    <row r="1499" spans="1:4">
      <c r="A1499" s="24">
        <v>241502</v>
      </c>
      <c r="B1499" s="24" t="s">
        <v>3639</v>
      </c>
      <c r="C1499" s="24">
        <v>241502</v>
      </c>
      <c r="D1499" s="24" t="s">
        <v>594</v>
      </c>
    </row>
    <row r="1500" spans="1:4">
      <c r="A1500" s="24">
        <v>241503</v>
      </c>
      <c r="B1500" s="24" t="s">
        <v>3639</v>
      </c>
      <c r="C1500" s="24">
        <v>241503</v>
      </c>
      <c r="D1500" s="24" t="s">
        <v>594</v>
      </c>
    </row>
    <row r="1501" spans="1:4">
      <c r="A1501" s="24">
        <v>241601</v>
      </c>
      <c r="B1501" s="24" t="s">
        <v>2395</v>
      </c>
      <c r="C1501" s="24">
        <v>241601</v>
      </c>
      <c r="D1501" s="24" t="s">
        <v>594</v>
      </c>
    </row>
    <row r="1502" spans="1:4">
      <c r="A1502" s="24">
        <v>241602</v>
      </c>
      <c r="B1502" s="24" t="s">
        <v>2395</v>
      </c>
      <c r="C1502" s="24">
        <v>241602</v>
      </c>
      <c r="D1502" s="24" t="s">
        <v>594</v>
      </c>
    </row>
    <row r="1503" spans="1:4">
      <c r="A1503" s="24">
        <v>241603</v>
      </c>
      <c r="B1503" s="24" t="s">
        <v>2395</v>
      </c>
      <c r="C1503" s="24">
        <v>241603</v>
      </c>
      <c r="D1503" s="24" t="s">
        <v>594</v>
      </c>
    </row>
    <row r="1504" spans="1:4">
      <c r="A1504" s="24">
        <v>241701</v>
      </c>
      <c r="B1504" s="24" t="s">
        <v>3640</v>
      </c>
      <c r="C1504" s="24">
        <v>241701</v>
      </c>
      <c r="D1504" s="24" t="s">
        <v>595</v>
      </c>
    </row>
    <row r="1505" spans="1:4">
      <c r="A1505" s="24">
        <v>241702</v>
      </c>
      <c r="B1505" s="24" t="s">
        <v>3640</v>
      </c>
      <c r="C1505" s="24">
        <v>241702</v>
      </c>
      <c r="D1505" s="24" t="s">
        <v>595</v>
      </c>
    </row>
    <row r="1506" spans="1:4">
      <c r="A1506" s="24">
        <v>241703</v>
      </c>
      <c r="B1506" s="24" t="s">
        <v>3640</v>
      </c>
      <c r="C1506" s="24">
        <v>241703</v>
      </c>
      <c r="D1506" s="24" t="s">
        <v>595</v>
      </c>
    </row>
    <row r="1507" spans="1:4">
      <c r="A1507" s="24">
        <v>241801</v>
      </c>
      <c r="B1507" s="26" t="s">
        <v>3630</v>
      </c>
      <c r="C1507" s="24">
        <v>241801</v>
      </c>
      <c r="D1507" s="24" t="s">
        <v>592</v>
      </c>
    </row>
    <row r="1508" spans="1:4">
      <c r="A1508" s="24">
        <v>241802</v>
      </c>
      <c r="B1508" s="26" t="s">
        <v>3630</v>
      </c>
      <c r="C1508" s="24">
        <v>241802</v>
      </c>
      <c r="D1508" s="24" t="s">
        <v>592</v>
      </c>
    </row>
    <row r="1509" spans="1:4">
      <c r="A1509" s="24">
        <v>241803</v>
      </c>
      <c r="B1509" s="26" t="s">
        <v>3630</v>
      </c>
      <c r="C1509" s="24">
        <v>241803</v>
      </c>
      <c r="D1509" s="24" t="s">
        <v>592</v>
      </c>
    </row>
    <row r="1510" spans="1:4">
      <c r="A1510" s="24">
        <v>241901</v>
      </c>
      <c r="B1510" s="24" t="s">
        <v>3641</v>
      </c>
      <c r="C1510" s="24">
        <v>241901</v>
      </c>
      <c r="D1510" s="24" t="s">
        <v>593</v>
      </c>
    </row>
    <row r="1511" spans="1:4">
      <c r="A1511" s="24">
        <v>241902</v>
      </c>
      <c r="B1511" s="24" t="s">
        <v>3641</v>
      </c>
      <c r="C1511" s="24">
        <v>241902</v>
      </c>
      <c r="D1511" s="24" t="s">
        <v>593</v>
      </c>
    </row>
    <row r="1512" spans="1:4">
      <c r="A1512" s="24">
        <v>241903</v>
      </c>
      <c r="B1512" s="24" t="s">
        <v>3641</v>
      </c>
      <c r="C1512" s="24">
        <v>241903</v>
      </c>
      <c r="D1512" s="24" t="s">
        <v>593</v>
      </c>
    </row>
    <row r="1513" spans="1:4">
      <c r="A1513" s="24">
        <v>242001</v>
      </c>
      <c r="B1513" s="24" t="s">
        <v>3642</v>
      </c>
      <c r="C1513" s="24">
        <v>242001</v>
      </c>
      <c r="D1513" s="24" t="s">
        <v>595</v>
      </c>
    </row>
    <row r="1514" spans="1:4">
      <c r="A1514" s="24">
        <v>242002</v>
      </c>
      <c r="B1514" s="24" t="s">
        <v>3642</v>
      </c>
      <c r="C1514" s="24">
        <v>242002</v>
      </c>
      <c r="D1514" s="24" t="s">
        <v>595</v>
      </c>
    </row>
    <row r="1515" spans="1:4">
      <c r="A1515" s="24">
        <v>242003</v>
      </c>
      <c r="B1515" s="24" t="s">
        <v>3642</v>
      </c>
      <c r="C1515" s="24">
        <v>242003</v>
      </c>
      <c r="D1515" s="24" t="s">
        <v>595</v>
      </c>
    </row>
    <row r="1516" spans="1:4">
      <c r="A1516" s="24">
        <v>242101</v>
      </c>
      <c r="B1516" s="26" t="s">
        <v>2390</v>
      </c>
      <c r="C1516" s="24">
        <v>242101</v>
      </c>
      <c r="D1516" s="24" t="s">
        <v>592</v>
      </c>
    </row>
    <row r="1517" spans="1:4">
      <c r="A1517" s="24">
        <v>242102</v>
      </c>
      <c r="B1517" s="26" t="s">
        <v>2390</v>
      </c>
      <c r="C1517" s="24">
        <v>242102</v>
      </c>
      <c r="D1517" s="24" t="s">
        <v>592</v>
      </c>
    </row>
    <row r="1518" spans="1:4">
      <c r="A1518" s="24">
        <v>242103</v>
      </c>
      <c r="B1518" s="26" t="s">
        <v>2390</v>
      </c>
      <c r="C1518" s="24">
        <v>242103</v>
      </c>
      <c r="D1518" s="24" t="s">
        <v>592</v>
      </c>
    </row>
    <row r="1519" spans="1:4">
      <c r="A1519" s="24">
        <v>242201</v>
      </c>
      <c r="B1519" s="26" t="s">
        <v>3626</v>
      </c>
      <c r="C1519" s="24">
        <v>242201</v>
      </c>
      <c r="D1519" s="24" t="s">
        <v>594</v>
      </c>
    </row>
    <row r="1520" spans="1:4">
      <c r="A1520" s="24">
        <v>242202</v>
      </c>
      <c r="B1520" s="26" t="s">
        <v>3626</v>
      </c>
      <c r="C1520" s="24">
        <v>242202</v>
      </c>
      <c r="D1520" s="24" t="s">
        <v>594</v>
      </c>
    </row>
    <row r="1521" spans="1:4">
      <c r="A1521" s="24">
        <v>242203</v>
      </c>
      <c r="B1521" s="26" t="s">
        <v>3626</v>
      </c>
      <c r="C1521" s="24">
        <v>242203</v>
      </c>
      <c r="D1521" s="24" t="s">
        <v>594</v>
      </c>
    </row>
    <row r="1522" spans="1:4">
      <c r="A1522" s="24">
        <v>242301</v>
      </c>
      <c r="B1522" s="24" t="s">
        <v>3643</v>
      </c>
      <c r="C1522" s="24">
        <v>242301</v>
      </c>
      <c r="D1522" s="24" t="s">
        <v>594</v>
      </c>
    </row>
    <row r="1523" spans="1:4">
      <c r="A1523" s="24">
        <v>242302</v>
      </c>
      <c r="B1523" s="24" t="s">
        <v>3643</v>
      </c>
      <c r="C1523" s="24">
        <v>242302</v>
      </c>
      <c r="D1523" s="24" t="s">
        <v>594</v>
      </c>
    </row>
    <row r="1524" spans="1:4">
      <c r="A1524" s="24">
        <v>242303</v>
      </c>
      <c r="B1524" s="24" t="s">
        <v>3643</v>
      </c>
      <c r="C1524" s="24">
        <v>242303</v>
      </c>
      <c r="D1524" s="24" t="s">
        <v>594</v>
      </c>
    </row>
    <row r="1525" spans="1:4">
      <c r="B1525" s="26"/>
      <c r="D1525" s="24"/>
    </row>
    <row r="1526" spans="1:4">
      <c r="B1526" s="26"/>
      <c r="D1526" s="24"/>
    </row>
    <row r="1527" spans="1:4">
      <c r="B1527" s="26"/>
      <c r="D1527" s="24"/>
    </row>
    <row r="1528" spans="1:4">
      <c r="A1528" s="23"/>
      <c r="B1528" s="27" t="s">
        <v>3509</v>
      </c>
      <c r="C1528" s="23"/>
      <c r="D1528" s="23"/>
    </row>
    <row r="1529" spans="1:4">
      <c r="A1529" s="24">
        <v>300001</v>
      </c>
      <c r="B1529" s="24" t="s">
        <v>3570</v>
      </c>
      <c r="C1529" s="24">
        <v>300001</v>
      </c>
      <c r="D1529" s="24" t="s">
        <v>596</v>
      </c>
    </row>
    <row r="1530" spans="1:4">
      <c r="A1530" s="24">
        <v>300002</v>
      </c>
      <c r="B1530" s="24" t="s">
        <v>3510</v>
      </c>
      <c r="C1530" s="24">
        <v>300002</v>
      </c>
      <c r="D1530" s="24" t="s">
        <v>594</v>
      </c>
    </row>
    <row r="1531" spans="1:4">
      <c r="A1531" s="24">
        <v>300003</v>
      </c>
      <c r="B1531" s="24" t="s">
        <v>3511</v>
      </c>
      <c r="C1531" s="24">
        <v>300003</v>
      </c>
      <c r="D1531" s="24" t="s">
        <v>594</v>
      </c>
    </row>
    <row r="1532" spans="1:4">
      <c r="A1532" s="24">
        <v>300004</v>
      </c>
      <c r="B1532" s="24" t="s">
        <v>3589</v>
      </c>
      <c r="C1532" s="24">
        <v>300004</v>
      </c>
      <c r="D1532" s="24" t="s">
        <v>593</v>
      </c>
    </row>
    <row r="1533" spans="1:4">
      <c r="D1533" s="24"/>
    </row>
    <row r="1534" spans="1:4">
      <c r="A1534" s="23"/>
      <c r="B1534" s="27" t="s">
        <v>3512</v>
      </c>
      <c r="C1534" s="23"/>
      <c r="D1534" s="23"/>
    </row>
    <row r="1535" spans="1:4">
      <c r="A1535" s="24">
        <v>811302</v>
      </c>
      <c r="B1535" s="24" t="s">
        <v>3648</v>
      </c>
      <c r="C1535" s="24">
        <v>811302</v>
      </c>
      <c r="D1535" s="24" t="s">
        <v>593</v>
      </c>
    </row>
    <row r="1536" spans="1:4">
      <c r="A1536" s="24">
        <v>811303</v>
      </c>
      <c r="B1536" s="24" t="s">
        <v>3648</v>
      </c>
      <c r="C1536" s="24">
        <v>811303</v>
      </c>
      <c r="D1536" s="24" t="s">
        <v>593</v>
      </c>
    </row>
    <row r="1537" spans="1:4">
      <c r="A1537" s="24">
        <v>811304</v>
      </c>
      <c r="B1537" s="24" t="s">
        <v>3648</v>
      </c>
      <c r="C1537" s="24">
        <v>811304</v>
      </c>
      <c r="D1537" s="24" t="s">
        <v>593</v>
      </c>
    </row>
    <row r="1538" spans="1:4">
      <c r="A1538" s="24">
        <v>811305</v>
      </c>
      <c r="B1538" s="24" t="s">
        <v>3648</v>
      </c>
      <c r="C1538" s="24">
        <v>811305</v>
      </c>
      <c r="D1538" s="24" t="s">
        <v>593</v>
      </c>
    </row>
    <row r="1539" spans="1:4">
      <c r="A1539" s="24">
        <v>812102</v>
      </c>
      <c r="B1539" s="24" t="s">
        <v>3649</v>
      </c>
      <c r="C1539" s="24">
        <v>812102</v>
      </c>
      <c r="D1539" s="24" t="s">
        <v>596</v>
      </c>
    </row>
    <row r="1540" spans="1:4">
      <c r="A1540" s="24">
        <v>812103</v>
      </c>
      <c r="B1540" s="24" t="s">
        <v>3649</v>
      </c>
      <c r="C1540" s="24">
        <v>812103</v>
      </c>
      <c r="D1540" s="24" t="s">
        <v>596</v>
      </c>
    </row>
    <row r="1541" spans="1:4">
      <c r="A1541" s="24">
        <v>812104</v>
      </c>
      <c r="B1541" s="24" t="s">
        <v>3649</v>
      </c>
      <c r="C1541" s="24">
        <v>812104</v>
      </c>
      <c r="D1541" s="24" t="s">
        <v>596</v>
      </c>
    </row>
    <row r="1542" spans="1:4">
      <c r="A1542" s="24">
        <v>812105</v>
      </c>
      <c r="B1542" s="24" t="s">
        <v>3649</v>
      </c>
      <c r="C1542" s="24">
        <v>812105</v>
      </c>
      <c r="D1542" s="24" t="s">
        <v>596</v>
      </c>
    </row>
    <row r="1543" spans="1:4">
      <c r="A1543" s="24">
        <v>832002</v>
      </c>
      <c r="B1543" s="24" t="s">
        <v>2398</v>
      </c>
      <c r="C1543" s="24">
        <v>832002</v>
      </c>
      <c r="D1543" s="24" t="s">
        <v>593</v>
      </c>
    </row>
    <row r="1544" spans="1:4">
      <c r="A1544" s="24">
        <v>832003</v>
      </c>
      <c r="B1544" s="24" t="s">
        <v>2398</v>
      </c>
      <c r="C1544" s="24">
        <v>832003</v>
      </c>
      <c r="D1544" s="24" t="s">
        <v>593</v>
      </c>
    </row>
    <row r="1545" spans="1:4">
      <c r="A1545" s="24">
        <v>832004</v>
      </c>
      <c r="B1545" s="24" t="s">
        <v>2398</v>
      </c>
      <c r="C1545" s="24">
        <v>832004</v>
      </c>
      <c r="D1545" s="24" t="s">
        <v>593</v>
      </c>
    </row>
    <row r="1546" spans="1:4">
      <c r="A1546" s="24">
        <v>832005</v>
      </c>
      <c r="B1546" s="24" t="s">
        <v>2398</v>
      </c>
      <c r="C1546" s="24">
        <v>832005</v>
      </c>
      <c r="D1546" s="24" t="s">
        <v>593</v>
      </c>
    </row>
    <row r="1547" spans="1:4">
      <c r="A1547" s="24">
        <v>831902</v>
      </c>
      <c r="B1547" s="24" t="s">
        <v>3650</v>
      </c>
      <c r="C1547" s="24">
        <v>831902</v>
      </c>
      <c r="D1547" s="24" t="s">
        <v>595</v>
      </c>
    </row>
    <row r="1548" spans="1:4">
      <c r="A1548" s="24">
        <v>831903</v>
      </c>
      <c r="B1548" s="24" t="s">
        <v>3650</v>
      </c>
      <c r="C1548" s="24">
        <v>831903</v>
      </c>
      <c r="D1548" s="24" t="s">
        <v>595</v>
      </c>
    </row>
    <row r="1549" spans="1:4">
      <c r="A1549" s="24">
        <v>831904</v>
      </c>
      <c r="B1549" s="24" t="s">
        <v>3650</v>
      </c>
      <c r="C1549" s="24">
        <v>831904</v>
      </c>
      <c r="D1549" s="24" t="s">
        <v>595</v>
      </c>
    </row>
    <row r="1550" spans="1:4">
      <c r="A1550" s="24">
        <v>831905</v>
      </c>
      <c r="B1550" s="24" t="s">
        <v>3650</v>
      </c>
      <c r="C1550" s="24">
        <v>831905</v>
      </c>
      <c r="D1550" s="24" t="s">
        <v>595</v>
      </c>
    </row>
    <row r="1551" spans="1:4">
      <c r="A1551" s="23"/>
      <c r="B1551" s="27" t="s">
        <v>2399</v>
      </c>
      <c r="C1551" s="23"/>
      <c r="D1551" s="23"/>
    </row>
    <row r="1552" spans="1:4">
      <c r="A1552" s="24">
        <v>900000</v>
      </c>
      <c r="B1552" s="24" t="s">
        <v>2399</v>
      </c>
      <c r="C1552" s="24">
        <v>900000</v>
      </c>
      <c r="D1552" s="24" t="s">
        <v>599</v>
      </c>
    </row>
    <row r="1553" spans="1:4">
      <c r="A1553" s="24">
        <v>900001</v>
      </c>
      <c r="B1553" s="24" t="s">
        <v>2399</v>
      </c>
      <c r="C1553" s="24">
        <v>900001</v>
      </c>
      <c r="D1553" s="24" t="s">
        <v>599</v>
      </c>
    </row>
    <row r="1554" spans="1:4">
      <c r="A1554" s="24">
        <v>900002</v>
      </c>
      <c r="B1554" s="24" t="s">
        <v>3513</v>
      </c>
      <c r="C1554" s="24">
        <v>900002</v>
      </c>
      <c r="D1554" s="24" t="s">
        <v>594</v>
      </c>
    </row>
    <row r="1555" spans="1:4">
      <c r="A1555" s="24">
        <v>900003</v>
      </c>
      <c r="B1555" s="24" t="s">
        <v>3514</v>
      </c>
      <c r="C1555" s="24">
        <v>900003</v>
      </c>
      <c r="D1555" s="24" t="s">
        <v>596</v>
      </c>
    </row>
    <row r="1556" spans="1:4">
      <c r="A1556" s="24">
        <v>900004</v>
      </c>
      <c r="B1556" s="24" t="s">
        <v>2400</v>
      </c>
      <c r="C1556" s="24">
        <v>900004</v>
      </c>
      <c r="D1556" s="24" t="s">
        <v>596</v>
      </c>
    </row>
    <row r="1557" spans="1:4">
      <c r="A1557" s="24">
        <v>900005</v>
      </c>
      <c r="B1557" s="24" t="s">
        <v>3515</v>
      </c>
      <c r="C1557" s="24">
        <v>900005</v>
      </c>
      <c r="D1557" s="24" t="s">
        <v>595</v>
      </c>
    </row>
    <row r="1558" spans="1:4">
      <c r="A1558" s="24">
        <v>900006</v>
      </c>
      <c r="B1558" s="24" t="s">
        <v>3516</v>
      </c>
      <c r="C1558" s="24">
        <v>900006</v>
      </c>
      <c r="D1558" s="24" t="s">
        <v>593</v>
      </c>
    </row>
    <row r="1559" spans="1:4">
      <c r="A1559" s="24">
        <v>900007</v>
      </c>
      <c r="B1559" s="24" t="s">
        <v>3562</v>
      </c>
      <c r="C1559" s="24">
        <v>900007</v>
      </c>
      <c r="D1559" s="24" t="s">
        <v>596</v>
      </c>
    </row>
    <row r="1560" spans="1:4">
      <c r="A1560" s="24">
        <v>900008</v>
      </c>
      <c r="B1560" s="24" t="s">
        <v>3546</v>
      </c>
      <c r="C1560" s="24">
        <v>900008</v>
      </c>
      <c r="D1560" s="24" t="s">
        <v>594</v>
      </c>
    </row>
    <row r="1561" spans="1:4">
      <c r="A1561" s="24">
        <v>900009</v>
      </c>
      <c r="B1561" s="24" t="s">
        <v>2401</v>
      </c>
      <c r="C1561" s="24">
        <v>900009</v>
      </c>
      <c r="D1561" s="24" t="s">
        <v>594</v>
      </c>
    </row>
    <row r="1562" spans="1:4">
      <c r="A1562" s="24">
        <v>900010</v>
      </c>
      <c r="B1562" s="24" t="s">
        <v>56</v>
      </c>
      <c r="C1562" s="24">
        <v>900010</v>
      </c>
      <c r="D1562" s="24" t="s">
        <v>592</v>
      </c>
    </row>
    <row r="1563" spans="1:4">
      <c r="A1563" s="24">
        <v>900011</v>
      </c>
      <c r="B1563" s="24" t="s">
        <v>3543</v>
      </c>
      <c r="C1563" s="24">
        <v>900011</v>
      </c>
      <c r="D1563" s="24" t="s">
        <v>594</v>
      </c>
    </row>
    <row r="1564" spans="1:4">
      <c r="A1564" s="24">
        <v>900012</v>
      </c>
      <c r="B1564" s="24" t="s">
        <v>3517</v>
      </c>
      <c r="C1564" s="24">
        <v>900012</v>
      </c>
      <c r="D1564" s="24" t="s">
        <v>593</v>
      </c>
    </row>
    <row r="1565" spans="1:4">
      <c r="D1565" s="24"/>
    </row>
    <row r="1566" spans="1:4">
      <c r="D1566" s="24"/>
    </row>
  </sheetData>
  <phoneticPr fontId="2" type="noConversion"/>
  <dataValidations count="1">
    <dataValidation type="list" allowBlank="1" showInputMessage="1" showErrorMessage="1" sqref="D1532 D67068 D132604 D198140 D263676 D329212 D394748 D460284 D525820 D591356 D656892 D722428 D787964 D853500 D919036 D984572 D1553:D1555 D67089:D67091 D132625:D132627 D198161:D198163 D263697:D263699 D329233:D329235 D394769:D394771 D460305:D460307 D525841:D525843 D591377:D591379 D656913:D656915 D722449:D722451 D787985:D787987 D853521:D853523 D919057:D919059 D984593:D984595 D1562 D67098 D132634 D198170 D263706 D329242 D394778 D460314 D525850 D591386 D656922 D722458 D787994 D853530 D919066 D984602 D1419 D66955 D132491 D198027 D263563 D329099 D394635 D460171 D525707 D591243 D656779 D722315 D787851 D853387 D918923 D984459 D1417 D66953 D132489 D198025 D263561 D329097 D394633 D460169 D525705 D591241 D656777 D722313 D787849 D853385 D918921 D984457 D1410 D66946 D132482 D198018 D263554 D329090 D394626 D460162 D525698 D591234 D656770 D722306 D787842 D853378 D918914 D984450 D1463 D66999 D132535 D198071 D263607 D329143 D394679 D460215 D525751 D591287 D656823 D722359 D787895 D853431 D918967 D984503 D1467 D67003 D132539 D198075 D263611 D329147 D394683 D460219 D525755 D591291 D656827 D722363 D787899 D853435 D918971 D984507 D1345 D66881 D132417 D197953 D263489 D329025 D394561 D460097 D525633 D591169 D656705 D722241 D787777 D853313 D918849 D984385 D1512 D67048 D132584 D198120 D263656 D329192 D394728 D460264 D525800 D591336 D656872 D722408 D787944 D853480 D919016 D984552 D1393 D66929 D132465 D198001 D263537 D329073 D394609 D460145 D525681 D591217 D656753 D722289 D787825 D853361 D918897 D984433 D1421 D66957 D132493 D198029 D263565 D329101 D394637 D460173 D525709 D591245 D656781 D722317 D787853 D853389 D918925 D984461 D1435 D66971 D132507 D198043 D263579 D329115 D394651 D460187 D525723 D591259 D656795 D722331 D787867 D853403 D918939 D984475 D139:D141 D65675:D65677 D131211:D131213 D196747:D196749 D262283:D262285 D327819:D327821 D393355:D393357 D458891:D458893 D524427:D524429 D589963:D589965 D655499:D655501 D721035:D721037 D786571:D786573 D852107:D852109 D917643:D917645 D983179:D983181 D1137 D66673 D132209 D197745 D263281 D328817 D394353 D459889 D525425 D590961 D656497 D722033 D787569 D853105 D918641 D984177 D1106 D66642 D132178 D197714 D263250 D328786 D394322 D459858 D525394 D590930 D656466 D722002 D787538 D853074 D918610 D984146 D1127 D66663 D132199 D197735 D263271 D328807 D394343 D459879 D525415 D590951 D656487 D722023 D787559 D853095 D918631 D984167 D1104 D66640 D132176 D197712 D263248 D328784 D394320 D459856 D525392 D590928 D656464 D722000 D787536 D853072 D918608 D984144 D1194 D66730 D132266 D197802 D263338 D328874 D394410 D459946 D525482 D591018 D656554 D722090 D787626 D853162 D918698 D984234 D1205 D66741 D132277 D197813 D263349 D328885 D394421 D459957 D525493 D591029 D656565 D722101 D787637 D853173 D918709 D984245 D1232 D66768 D132304 D197840 D263376 D328912 D394448 D459984 D525520 D591056 D656592 D722128 D787664 D853200 D918736 D984272 D272 D65808 D131344 D196880 D262416 D327952 D393488 D459024 D524560 D590096 D655632 D721168 D786704 D852240 D917776 D983312 D423 D65959 D131495 D197031 D262567 D328103 D393639 D459175 D524711 D590247 D655783 D721319 D786855 D852391 D917927 D983463 D638 D66174 D131710 D197246 D262782 D328318 D393854 D459390 D524926 D590462 D655998 D721534 D787070 D852606 D918142 D983678 D959:D967 D66495:D66503 D132031:D132039 D197567:D197575 D263103:D263111 D328639:D328647 D394175:D394183 D459711:D459719 D525247:D525255 D590783:D590791 D656319:D656327 D721855:D721863 D787391:D787399 D852927:D852935 D918463:D918471 D983999:D984007 D849 D66385 D131921 D197457 D262993 D328529 D394065 D459601 D525137 D590673 D656209 D721745 D787281 D852817 D918353 D983889 D428 D65964 D131500 D197036 D262572 D328108 D393644 D459180 D524716 D590252 D655788 D721324 D786860 D852396 D917932 D983468 D433 D65969 D131505 D197041 D262577 D328113 D393649 D459185 D524721 D590257 D655793 D721329 D786865 D852401 D917937 D983473 D774:D775 D66310:D66311 D131846:D131847 D197382:D197383 D262918:D262919 D328454:D328455 D393990:D393991 D459526:D459527 D525062:D525063 D590598:D590599 D656134:D656135 D721670:D721671 D787206:D787207 D852742:D852743 D918278:D918279 D983814:D983815 D168 D65704 D131240 D196776 D262312 D327848 D393384 D458920 D524456 D589992 D655528 D721064 D786600 D852136 D917672 D983208 D619:D621 D66155:D66157 D131691:D131693 D197227:D197229 D262763:D262765 D328299:D328301 D393835:D393837 D459371:D459373 D524907:D524909 D590443:D590445 D655979:D655981 D721515:D721517 D787051:D787053 D852587:D852589 D918123:D918125 D983659:D983661 D1265 D66801 D132337 D197873 D263409 D328945 D394481 D460017 D525553 D591089 D656625 D722161 D787697 D853233 D918769 D984305 D1268:D1269 D66804:D66805 D132340:D132341 D197876:D197877 D263412:D263413 D328948:D328949 D394484:D394485 D460020:D460021 D525556:D525557 D591092:D591093 D656628:D656629 D722164:D722165 D787700:D787701 D853236:D853237 D918772:D918773 D984308:D984309 D634:D635 D66170:D66171 D131706:D131707 D197242:D197243 D262778:D262779 D328314:D328315 D393850:D393851 D459386:D459387 D524922:D524923 D590458:D590459 D655994:D655995 D721530:D721531 D787066:D787067 D852602:D852603 D918138:D918139 D983674:D983675 D649:D650 D66185:D66186 D131721:D131722 D197257:D197258 D262793:D262794 D328329:D328330 D393865:D393866 D459401:D459402 D524937:D524938 D590473:D590474 D656009:D656010 D721545:D721546 D787081:D787082 D852617:D852618 D918153:D918154 D983689:D983690 D784 D66320 D131856 D197392 D262928 D328464 D394000 D459536 D525072 D590608 D656144 D721680 D787216 D852752 D918288 D983824 D740 D66276 D131812 D197348 D262884 D328420 D393956 D459492 D525028 D590564 D656100 D721636 D787172 D852708 D918244 D983780 D674 D66210 D131746 D197282 D262818 D328354 D393890 D459426 D524962 D590498 D656034 D721570 D787106 D852642 D918178 D983714 D664:D665 D66200:D66201 D131736:D131737 D197272:D197273 D262808:D262809 D328344:D328345 D393880:D393881 D459416:D459417 D524952:D524953 D590488:D590489 D656024:D656025 D721560:D721561 D787096:D787097 D852632:D852633 D918168:D918169 D983704:D983705 D599 D66135 D131671 D197207 D262743 D328279 D393815 D459351 D524887 D590423 D655959 D721495 D787031 D852567 D918103 D983639 D437 D65973 D131509 D197045 D262581 D328117 D393653 D459189 D524725 D590261 D655797 D721333 D786869 D852405 D917941 D983477 D738 D66274 D131810 D197346 D262882 D328418 D393954 D459490 D525026 D590562 D656098 D721634 D787170 D852706 D918242 D983778 D21 D65557 D131093 D196629 D262165 D327701 D393237 D458773 D524309 D589845 D655381 D720917 D786453 D851989 D917525 D983061 D66 D65602 D131138 D196674 D262210 D327746 D393282 D458818 D524354 D589890 D655426 D720962 D786498 D852034 D917570 D983106 D1218:D1221 D66754:D66757 D132290:D132293 D197826:D197829 D263362:D263365 D328898:D328901 D394434:D394437 D459970:D459973 D525506:D525509 D591042:D591045 D656578:D656581 D722114:D722117 D787650:D787653 D853186:D853189 D918722:D918725 D984258:D984261 D329 D65865 D131401 D196937 D262473 D328009 D393545 D459081 D524617 D590153 D655689 D721225 D786761 D852297 D917833 D983369 D654 D66190 D131726 D197262 D262798 D328334 D393870 D459406 D524942 D590478 D656014 D721550 D787086 D852622 D918158 D983694 D1286:D1288 D66822:D66824 D132358:D132360 D197894:D197896 D263430:D263432 D328966:D328968 D394502:D394504 D460038:D460040 D525574:D525576 D591110:D591112 D656646:D656648 D722182:D722184 D787718:D787720 D853254:D853256 D918790:D918792 D984326:D984328 D1309 D66845 D132381 D197917 D263453 D328989 D394525 D460061 D525597 D591133 D656669 D722205 D787741 D853277 D918813 D984349 D1291:D1292 D66827:D66828 D132363:D132364 D197899:D197900 D263435:D263436 D328971:D328972 D394507:D394508 D460043:D460044 D525579:D525580 D591115:D591116 D656651:D656652 D722187:D722188 D787723:D787724 D853259:D853260 D918795:D918796 D984331:D984332 D1251 D66787 D132323 D197859 D263395 D328931 D394467 D460003 D525539 D591075 D656611 D722147 D787683 D853219 D918755 D984291 D1191 D66727 D132263 D197799 D263335 D328871 D394407 D459943 D525479 D591015 D656551 D722087 D787623 D853159 D918695 D984231 D1147 D66683 D132219 D197755 D263291 D328827 D394363 D459899 D525435 D590971 D656507 D722043 D787579 D853115 D918651 D984187 D1150 D66686 D132222 D197758 D263294 D328830 D394366 D459902 D525438 D590974 D656510 D722046 D787582 D853118 D918654 D984190 D1155 D66691 D132227 D197763 D263299 D328835 D394371 D459907 D525443 D590979 D656515 D722051 D787587 D853123 D918659 D984195 D1158 D66694 D132230 D197766 D263302 D328838 D394374 D459910 D525446 D590982 D656518 D722054 D787590 D853126 D918662 D984198 D1168 D66704 D132240 D197776 D263312 D328848 D394384 D459920 D525456 D590992 D656528 D722064 D787600 D853136 D918672 D984208 D1172 D66708 D132244 D197780 D263316 D328852 D394388 D459924 D525460 D590996 D656532 D722068 D787604 D853140 D918676 D984212 D1197 D66733 D132269 D197805 D263341 D328877 D394413 D459949 D525485 D591021 D656557 D722093 D787629 D853165 D918701 D984237 D96 D65632 D131168 D196704 D262240 D327776 D393312 D458848 D524384 D589920 D655456 D720992 D786528 D852064 D917600 D983136 D194:D196 D65730:D65732 D131266:D131268 D196802:D196804 D262338:D262340 D327874:D327876 D393410:D393412 D458946:D458948 D524482:D524484 D590018:D590020 D655554:D655556 D721090:D721092 D786626:D786628 D852162:D852164 D917698:D917700 D983234:D983236 B1218:B1219 B66754:B66755 B132290:B132291 B197826:B197827 B263362:B263363 B328898:B328899 B394434:B394435 B459970:B459971 B525506:B525507 B591042:B591043 B656578:B656579 B722114:B722115 B787650:B787651 B853186:B853187 B918722:B918723 B984258:B984259 B619:B620 B66155:B66156 B131691:B131692 B197227:B197228 B262763:B262764 B328299:B328300 B393835:B393836 B459371:B459372 B524907:B524908 B590443:B590444 B655979:B655980 B721515:B721516 B787051:B787052 B852587:B852588 B918123:B918124 B983659:B983660 B634 B66170 B131706 B197242 B262778 B328314 B393850 B459386 B524922 B590458 B655994 B721530 B787066 B852602 B918138 B983674 B665 B66201 B131737 B197273 B262809 B328345 B393881 B459417 B524953 B590489 B656025 B721561 B787097 B852633 B918169 B983705 B139 B65675 B131211 B196747 B262283 B327819 B393355 B458891 B524427 B589963 B655499 B721035 B786571 B852107 B917643 B983179 B141 B65677 B131213 B196749 B262285 B327821 B393357 B458893 B524429 B589965 B655501 B721037 B786573 B852109 B917645 B983181">
      <formula1>_OPTION_</formula1>
    </dataValidation>
  </dataValidations>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sheetPr codeName="Sheet3"/>
  <dimension ref="A1:C714"/>
  <sheetViews>
    <sheetView topLeftCell="A441" workbookViewId="0">
      <selection activeCell="B466" sqref="B466"/>
    </sheetView>
  </sheetViews>
  <sheetFormatPr defaultRowHeight="16.5"/>
  <cols>
    <col min="1" max="1" width="6" style="46" bestFit="1" customWidth="1"/>
    <col min="2" max="2" width="18.5" style="36" customWidth="1"/>
    <col min="3" max="3" width="29.875" style="36" customWidth="1"/>
  </cols>
  <sheetData>
    <row r="1" spans="1:3">
      <c r="A1" s="38" t="s">
        <v>565</v>
      </c>
      <c r="B1" s="29"/>
      <c r="C1" s="29" t="s">
        <v>169</v>
      </c>
    </row>
    <row r="2" spans="1:3">
      <c r="A2" s="41">
        <v>1</v>
      </c>
      <c r="B2" s="32" t="s">
        <v>1513</v>
      </c>
      <c r="C2" s="32" t="s">
        <v>1513</v>
      </c>
    </row>
    <row r="3" spans="1:3">
      <c r="A3" s="41">
        <v>2</v>
      </c>
      <c r="B3" s="32" t="s">
        <v>1514</v>
      </c>
      <c r="C3" s="32" t="s">
        <v>1744</v>
      </c>
    </row>
    <row r="4" spans="1:3">
      <c r="A4" s="41">
        <v>3</v>
      </c>
      <c r="B4" s="32" t="s">
        <v>1515</v>
      </c>
      <c r="C4" s="32" t="s">
        <v>1745</v>
      </c>
    </row>
    <row r="5" spans="1:3">
      <c r="A5" s="41">
        <v>4</v>
      </c>
      <c r="B5" s="32" t="s">
        <v>1516</v>
      </c>
      <c r="C5" s="32" t="s">
        <v>1746</v>
      </c>
    </row>
    <row r="6" spans="1:3">
      <c r="A6" s="41">
        <v>5</v>
      </c>
      <c r="B6" s="32" t="s">
        <v>1517</v>
      </c>
      <c r="C6" s="32" t="s">
        <v>1517</v>
      </c>
    </row>
    <row r="7" spans="1:3">
      <c r="A7" s="72"/>
      <c r="B7" s="75" t="s">
        <v>170</v>
      </c>
      <c r="C7" s="75" t="s">
        <v>170</v>
      </c>
    </row>
    <row r="8" spans="1:3">
      <c r="A8" s="41">
        <v>101</v>
      </c>
      <c r="B8" s="32" t="s">
        <v>171</v>
      </c>
      <c r="C8" s="32" t="s">
        <v>1747</v>
      </c>
    </row>
    <row r="9" spans="1:3">
      <c r="A9" s="41">
        <v>102</v>
      </c>
      <c r="B9" s="32" t="s">
        <v>172</v>
      </c>
      <c r="C9" s="32" t="s">
        <v>1748</v>
      </c>
    </row>
    <row r="10" spans="1:3">
      <c r="A10" s="41">
        <v>103</v>
      </c>
      <c r="B10" s="32" t="s">
        <v>173</v>
      </c>
      <c r="C10" s="32" t="s">
        <v>1749</v>
      </c>
    </row>
    <row r="11" spans="1:3">
      <c r="A11" s="41" t="s">
        <v>566</v>
      </c>
      <c r="B11" s="32" t="s">
        <v>174</v>
      </c>
      <c r="C11" s="32" t="s">
        <v>1750</v>
      </c>
    </row>
    <row r="12" spans="1:3">
      <c r="A12" s="41" t="s">
        <v>567</v>
      </c>
      <c r="B12" s="32" t="s">
        <v>175</v>
      </c>
      <c r="C12" s="32" t="s">
        <v>1751</v>
      </c>
    </row>
    <row r="13" spans="1:3">
      <c r="A13" s="41" t="s">
        <v>568</v>
      </c>
      <c r="B13" s="32" t="s">
        <v>176</v>
      </c>
      <c r="C13" s="32" t="s">
        <v>1752</v>
      </c>
    </row>
    <row r="14" spans="1:3">
      <c r="A14" s="41" t="s">
        <v>569</v>
      </c>
      <c r="B14" s="32" t="s">
        <v>177</v>
      </c>
      <c r="C14" s="32" t="s">
        <v>1753</v>
      </c>
    </row>
    <row r="15" spans="1:3">
      <c r="A15" s="41" t="s">
        <v>570</v>
      </c>
      <c r="B15" s="32" t="s">
        <v>178</v>
      </c>
      <c r="C15" s="32" t="s">
        <v>1754</v>
      </c>
    </row>
    <row r="16" spans="1:3">
      <c r="A16" s="41" t="s">
        <v>571</v>
      </c>
      <c r="B16" s="32" t="s">
        <v>179</v>
      </c>
      <c r="C16" s="32" t="s">
        <v>1755</v>
      </c>
    </row>
    <row r="17" spans="1:3">
      <c r="A17" s="41" t="s">
        <v>572</v>
      </c>
      <c r="B17" s="32" t="s">
        <v>180</v>
      </c>
      <c r="C17" s="32" t="s">
        <v>1756</v>
      </c>
    </row>
    <row r="18" spans="1:3">
      <c r="A18" s="41" t="s">
        <v>573</v>
      </c>
      <c r="B18" s="32" t="s">
        <v>181</v>
      </c>
      <c r="C18" s="32" t="s">
        <v>1757</v>
      </c>
    </row>
    <row r="19" spans="1:3">
      <c r="A19" s="41" t="s">
        <v>574</v>
      </c>
      <c r="B19" s="32" t="s">
        <v>182</v>
      </c>
      <c r="C19" s="32" t="s">
        <v>1758</v>
      </c>
    </row>
    <row r="20" spans="1:3">
      <c r="A20" s="41" t="s">
        <v>575</v>
      </c>
      <c r="B20" s="32" t="s">
        <v>183</v>
      </c>
      <c r="C20" s="32" t="s">
        <v>1759</v>
      </c>
    </row>
    <row r="21" spans="1:3">
      <c r="A21" s="41">
        <v>114</v>
      </c>
      <c r="B21" s="32" t="s">
        <v>184</v>
      </c>
      <c r="C21" s="32" t="s">
        <v>1760</v>
      </c>
    </row>
    <row r="22" spans="1:3">
      <c r="A22" s="41">
        <v>115</v>
      </c>
      <c r="B22" s="32" t="s">
        <v>185</v>
      </c>
      <c r="C22" s="32" t="s">
        <v>1761</v>
      </c>
    </row>
    <row r="23" spans="1:3">
      <c r="A23" s="40"/>
      <c r="B23" s="31" t="s">
        <v>186</v>
      </c>
      <c r="C23" s="31" t="s">
        <v>186</v>
      </c>
    </row>
    <row r="24" spans="1:3">
      <c r="A24" s="40"/>
      <c r="B24" s="31" t="s">
        <v>187</v>
      </c>
      <c r="C24" s="31" t="s">
        <v>187</v>
      </c>
    </row>
    <row r="25" spans="1:3">
      <c r="A25" s="40"/>
      <c r="B25" s="31" t="s">
        <v>188</v>
      </c>
      <c r="C25" s="31" t="s">
        <v>188</v>
      </c>
    </row>
    <row r="26" spans="1:3">
      <c r="A26" s="41">
        <v>119</v>
      </c>
      <c r="B26" s="32" t="s">
        <v>189</v>
      </c>
      <c r="C26" s="32" t="s">
        <v>1762</v>
      </c>
    </row>
    <row r="27" spans="1:3">
      <c r="A27" s="41">
        <v>120</v>
      </c>
      <c r="B27" s="32" t="s">
        <v>190</v>
      </c>
      <c r="C27" s="32" t="s">
        <v>1763</v>
      </c>
    </row>
    <row r="28" spans="1:3">
      <c r="A28" s="41">
        <v>121</v>
      </c>
      <c r="B28" s="32" t="s">
        <v>191</v>
      </c>
      <c r="C28" s="32" t="s">
        <v>1764</v>
      </c>
    </row>
    <row r="29" spans="1:3">
      <c r="A29" s="41" t="s">
        <v>576</v>
      </c>
      <c r="B29" s="32" t="s">
        <v>192</v>
      </c>
      <c r="C29" s="32" t="s">
        <v>1765</v>
      </c>
    </row>
    <row r="30" spans="1:3">
      <c r="A30" s="41" t="s">
        <v>577</v>
      </c>
      <c r="B30" s="32" t="s">
        <v>193</v>
      </c>
      <c r="C30" s="32" t="s">
        <v>1766</v>
      </c>
    </row>
    <row r="31" spans="1:3">
      <c r="A31" s="41" t="s">
        <v>578</v>
      </c>
      <c r="B31" s="32" t="s">
        <v>194</v>
      </c>
      <c r="C31" s="32" t="s">
        <v>1767</v>
      </c>
    </row>
    <row r="32" spans="1:3">
      <c r="A32" s="41" t="s">
        <v>579</v>
      </c>
      <c r="B32" s="32" t="s">
        <v>195</v>
      </c>
      <c r="C32" s="32" t="s">
        <v>1768</v>
      </c>
    </row>
    <row r="33" spans="1:3">
      <c r="A33" s="41" t="s">
        <v>580</v>
      </c>
      <c r="B33" s="32" t="s">
        <v>196</v>
      </c>
      <c r="C33" s="32" t="s">
        <v>1769</v>
      </c>
    </row>
    <row r="34" spans="1:3">
      <c r="A34" s="41" t="s">
        <v>581</v>
      </c>
      <c r="B34" s="32" t="s">
        <v>197</v>
      </c>
      <c r="C34" s="32" t="s">
        <v>1770</v>
      </c>
    </row>
    <row r="35" spans="1:3">
      <c r="A35" s="41" t="s">
        <v>582</v>
      </c>
      <c r="B35" s="32" t="s">
        <v>198</v>
      </c>
      <c r="C35" s="32" t="s">
        <v>1771</v>
      </c>
    </row>
    <row r="36" spans="1:3">
      <c r="A36" s="41" t="s">
        <v>583</v>
      </c>
      <c r="B36" s="32" t="s">
        <v>199</v>
      </c>
      <c r="C36" s="32" t="s">
        <v>1772</v>
      </c>
    </row>
    <row r="37" spans="1:3">
      <c r="A37" s="41" t="s">
        <v>584</v>
      </c>
      <c r="B37" s="32" t="s">
        <v>200</v>
      </c>
      <c r="C37" s="32" t="s">
        <v>1773</v>
      </c>
    </row>
    <row r="38" spans="1:3">
      <c r="A38" s="41" t="s">
        <v>585</v>
      </c>
      <c r="B38" s="32" t="s">
        <v>201</v>
      </c>
      <c r="C38" s="32" t="s">
        <v>1774</v>
      </c>
    </row>
    <row r="39" spans="1:3">
      <c r="A39" s="39"/>
      <c r="B39" s="30"/>
      <c r="C39" s="30"/>
    </row>
    <row r="40" spans="1:3">
      <c r="A40" s="41">
        <v>301</v>
      </c>
      <c r="B40" s="32" t="s">
        <v>1518</v>
      </c>
      <c r="C40" s="32" t="s">
        <v>1775</v>
      </c>
    </row>
    <row r="41" spans="1:3">
      <c r="A41" s="41">
        <v>302</v>
      </c>
      <c r="B41" s="32" t="s">
        <v>202</v>
      </c>
      <c r="C41" s="32" t="s">
        <v>1776</v>
      </c>
    </row>
    <row r="42" spans="1:3">
      <c r="A42" s="41">
        <v>303</v>
      </c>
      <c r="B42" s="32" t="s">
        <v>1519</v>
      </c>
      <c r="C42" s="32" t="s">
        <v>1777</v>
      </c>
    </row>
    <row r="43" spans="1:3">
      <c r="A43" s="41">
        <v>304</v>
      </c>
      <c r="B43" s="32" t="s">
        <v>203</v>
      </c>
      <c r="C43" s="32" t="s">
        <v>1778</v>
      </c>
    </row>
    <row r="44" spans="1:3">
      <c r="A44" s="39"/>
      <c r="B44" s="30"/>
      <c r="C44" s="30"/>
    </row>
    <row r="45" spans="1:3">
      <c r="A45" s="41">
        <v>501</v>
      </c>
      <c r="B45" s="32" t="s">
        <v>204</v>
      </c>
      <c r="C45" s="32" t="s">
        <v>1779</v>
      </c>
    </row>
    <row r="46" spans="1:3">
      <c r="A46" s="41">
        <v>502</v>
      </c>
      <c r="B46" s="32" t="s">
        <v>205</v>
      </c>
      <c r="C46" s="32" t="s">
        <v>1780</v>
      </c>
    </row>
    <row r="47" spans="1:3">
      <c r="A47" s="41">
        <v>503</v>
      </c>
      <c r="B47" s="32" t="s">
        <v>206</v>
      </c>
      <c r="C47" s="32" t="s">
        <v>1781</v>
      </c>
    </row>
    <row r="48" spans="1:3">
      <c r="A48" s="41">
        <v>504</v>
      </c>
      <c r="B48" s="32" t="s">
        <v>207</v>
      </c>
      <c r="C48" s="32" t="s">
        <v>1782</v>
      </c>
    </row>
    <row r="49" spans="1:3">
      <c r="A49" s="41">
        <v>505</v>
      </c>
      <c r="B49" s="32" t="s">
        <v>208</v>
      </c>
      <c r="C49" s="32" t="s">
        <v>1783</v>
      </c>
    </row>
    <row r="50" spans="1:3">
      <c r="A50" s="41">
        <v>506</v>
      </c>
      <c r="B50" s="32" t="s">
        <v>209</v>
      </c>
      <c r="C50" s="32" t="s">
        <v>1784</v>
      </c>
    </row>
    <row r="51" spans="1:3">
      <c r="A51" s="41">
        <v>507</v>
      </c>
      <c r="B51" s="32" t="s">
        <v>210</v>
      </c>
      <c r="C51" s="32" t="s">
        <v>1785</v>
      </c>
    </row>
    <row r="52" spans="1:3">
      <c r="A52" s="41">
        <v>508</v>
      </c>
      <c r="B52" s="32" t="s">
        <v>211</v>
      </c>
      <c r="C52" s="32" t="s">
        <v>1786</v>
      </c>
    </row>
    <row r="53" spans="1:3">
      <c r="A53" s="41">
        <v>509</v>
      </c>
      <c r="B53" s="32" t="s">
        <v>212</v>
      </c>
      <c r="C53" s="32" t="s">
        <v>1787</v>
      </c>
    </row>
    <row r="54" spans="1:3">
      <c r="A54" s="41">
        <v>510</v>
      </c>
      <c r="B54" s="32" t="s">
        <v>213</v>
      </c>
      <c r="C54" s="32" t="s">
        <v>1788</v>
      </c>
    </row>
    <row r="55" spans="1:3">
      <c r="A55" s="41">
        <v>511</v>
      </c>
      <c r="B55" s="32" t="s">
        <v>214</v>
      </c>
      <c r="C55" s="32" t="s">
        <v>1789</v>
      </c>
    </row>
    <row r="56" spans="1:3">
      <c r="A56" s="41">
        <v>512</v>
      </c>
      <c r="B56" s="32" t="s">
        <v>215</v>
      </c>
      <c r="C56" s="32" t="s">
        <v>1790</v>
      </c>
    </row>
    <row r="57" spans="1:3">
      <c r="A57" s="41">
        <v>513</v>
      </c>
      <c r="B57" s="32" t="s">
        <v>216</v>
      </c>
      <c r="C57" s="32" t="s">
        <v>1791</v>
      </c>
    </row>
    <row r="58" spans="1:3">
      <c r="A58" s="41">
        <v>514</v>
      </c>
      <c r="B58" s="32" t="s">
        <v>217</v>
      </c>
      <c r="C58" s="32" t="s">
        <v>1792</v>
      </c>
    </row>
    <row r="59" spans="1:3">
      <c r="A59" s="41">
        <v>515</v>
      </c>
      <c r="B59" s="32" t="s">
        <v>218</v>
      </c>
      <c r="C59" s="32" t="s">
        <v>1793</v>
      </c>
    </row>
    <row r="60" spans="1:3">
      <c r="A60" s="41">
        <v>521</v>
      </c>
      <c r="B60" s="32" t="s">
        <v>219</v>
      </c>
      <c r="C60" s="32" t="s">
        <v>1794</v>
      </c>
    </row>
    <row r="61" spans="1:3">
      <c r="A61" s="41">
        <v>522</v>
      </c>
      <c r="B61" s="32" t="s">
        <v>1520</v>
      </c>
      <c r="C61" s="32" t="s">
        <v>1520</v>
      </c>
    </row>
    <row r="62" spans="1:3">
      <c r="A62" s="41">
        <v>523</v>
      </c>
      <c r="B62" s="32" t="s">
        <v>1521</v>
      </c>
      <c r="C62" s="32" t="s">
        <v>1521</v>
      </c>
    </row>
    <row r="63" spans="1:3">
      <c r="A63" s="41">
        <v>524</v>
      </c>
      <c r="B63" s="32" t="s">
        <v>1522</v>
      </c>
      <c r="C63" s="32" t="s">
        <v>1522</v>
      </c>
    </row>
    <row r="64" spans="1:3">
      <c r="A64" s="39"/>
      <c r="B64" s="30"/>
      <c r="C64" s="30"/>
    </row>
    <row r="65" spans="1:3">
      <c r="A65" s="42"/>
      <c r="B65" s="33" t="s">
        <v>220</v>
      </c>
      <c r="C65" s="33" t="s">
        <v>220</v>
      </c>
    </row>
    <row r="66" spans="1:3">
      <c r="A66" s="42"/>
      <c r="B66" s="33" t="s">
        <v>221</v>
      </c>
      <c r="C66" s="33" t="s">
        <v>221</v>
      </c>
    </row>
    <row r="67" spans="1:3">
      <c r="A67" s="42"/>
      <c r="B67" s="33" t="s">
        <v>222</v>
      </c>
      <c r="C67" s="33" t="s">
        <v>222</v>
      </c>
    </row>
    <row r="68" spans="1:3">
      <c r="A68" s="42"/>
      <c r="B68" s="33" t="s">
        <v>223</v>
      </c>
      <c r="C68" s="33" t="s">
        <v>223</v>
      </c>
    </row>
    <row r="69" spans="1:3">
      <c r="A69" s="42"/>
      <c r="B69" s="31" t="s">
        <v>224</v>
      </c>
      <c r="C69" s="31" t="s">
        <v>224</v>
      </c>
    </row>
    <row r="70" spans="1:3">
      <c r="A70" s="42"/>
      <c r="B70" s="31" t="s">
        <v>225</v>
      </c>
      <c r="C70" s="31" t="s">
        <v>225</v>
      </c>
    </row>
    <row r="71" spans="1:3">
      <c r="A71" s="42"/>
      <c r="B71" s="31" t="s">
        <v>226</v>
      </c>
      <c r="C71" s="31" t="s">
        <v>226</v>
      </c>
    </row>
    <row r="72" spans="1:3">
      <c r="A72" s="42"/>
      <c r="B72" s="31" t="s">
        <v>227</v>
      </c>
      <c r="C72" s="31" t="s">
        <v>227</v>
      </c>
    </row>
    <row r="73" spans="1:3">
      <c r="A73" s="39"/>
      <c r="B73" s="30"/>
      <c r="C73" s="30"/>
    </row>
    <row r="74" spans="1:3">
      <c r="A74" s="42"/>
      <c r="B74" s="33" t="s">
        <v>228</v>
      </c>
      <c r="C74" s="33" t="s">
        <v>228</v>
      </c>
    </row>
    <row r="75" spans="1:3">
      <c r="A75" s="42"/>
      <c r="B75" s="33" t="s">
        <v>229</v>
      </c>
      <c r="C75" s="33" t="s">
        <v>229</v>
      </c>
    </row>
    <row r="76" spans="1:3">
      <c r="A76" s="42"/>
      <c r="B76" s="33" t="s">
        <v>230</v>
      </c>
      <c r="C76" s="33" t="s">
        <v>230</v>
      </c>
    </row>
    <row r="77" spans="1:3">
      <c r="A77" s="42"/>
      <c r="B77" s="31" t="s">
        <v>231</v>
      </c>
      <c r="C77" s="31" t="s">
        <v>231</v>
      </c>
    </row>
    <row r="78" spans="1:3">
      <c r="A78" s="42"/>
      <c r="B78" s="31" t="s">
        <v>232</v>
      </c>
      <c r="C78" s="31" t="s">
        <v>232</v>
      </c>
    </row>
    <row r="79" spans="1:3">
      <c r="A79" s="42"/>
      <c r="B79" s="31" t="s">
        <v>233</v>
      </c>
      <c r="C79" s="31" t="s">
        <v>233</v>
      </c>
    </row>
    <row r="80" spans="1:3">
      <c r="A80" s="42"/>
      <c r="B80" s="31" t="s">
        <v>234</v>
      </c>
      <c r="C80" s="31" t="s">
        <v>234</v>
      </c>
    </row>
    <row r="81" spans="1:3">
      <c r="A81" s="42"/>
      <c r="B81" s="31" t="s">
        <v>235</v>
      </c>
      <c r="C81" s="31" t="s">
        <v>235</v>
      </c>
    </row>
    <row r="82" spans="1:3">
      <c r="A82" s="42"/>
      <c r="B82" s="31" t="s">
        <v>236</v>
      </c>
      <c r="C82" s="31" t="s">
        <v>236</v>
      </c>
    </row>
    <row r="83" spans="1:3">
      <c r="A83" s="42"/>
      <c r="B83" s="31" t="s">
        <v>237</v>
      </c>
      <c r="C83" s="31" t="s">
        <v>237</v>
      </c>
    </row>
    <row r="84" spans="1:3">
      <c r="A84" s="42"/>
      <c r="B84" s="31" t="s">
        <v>238</v>
      </c>
      <c r="C84" s="31" t="s">
        <v>238</v>
      </c>
    </row>
    <row r="85" spans="1:3">
      <c r="A85" s="39"/>
      <c r="B85" s="30"/>
      <c r="C85" s="30"/>
    </row>
    <row r="86" spans="1:3">
      <c r="A86" s="43"/>
      <c r="B86" s="34" t="s">
        <v>239</v>
      </c>
      <c r="C86" s="34" t="s">
        <v>239</v>
      </c>
    </row>
    <row r="87" spans="1:3">
      <c r="A87" s="40"/>
      <c r="B87" s="31" t="s">
        <v>240</v>
      </c>
      <c r="C87" s="31" t="s">
        <v>240</v>
      </c>
    </row>
    <row r="88" spans="1:3">
      <c r="A88" s="42"/>
      <c r="B88" s="31" t="s">
        <v>241</v>
      </c>
      <c r="C88" s="31" t="s">
        <v>241</v>
      </c>
    </row>
    <row r="89" spans="1:3">
      <c r="A89" s="42"/>
      <c r="B89" s="31" t="s">
        <v>242</v>
      </c>
      <c r="C89" s="31" t="s">
        <v>242</v>
      </c>
    </row>
    <row r="90" spans="1:3">
      <c r="A90" s="42"/>
      <c r="B90" s="31" t="s">
        <v>243</v>
      </c>
      <c r="C90" s="31" t="s">
        <v>243</v>
      </c>
    </row>
    <row r="91" spans="1:3">
      <c r="A91" s="39"/>
      <c r="B91" s="30"/>
      <c r="C91" s="30"/>
    </row>
    <row r="92" spans="1:3">
      <c r="A92" s="41">
        <v>701</v>
      </c>
      <c r="B92" s="32" t="s">
        <v>244</v>
      </c>
      <c r="C92" s="32" t="s">
        <v>1795</v>
      </c>
    </row>
    <row r="93" spans="1:3">
      <c r="A93" s="41">
        <v>702</v>
      </c>
      <c r="B93" s="32" t="s">
        <v>245</v>
      </c>
      <c r="C93" s="32" t="s">
        <v>1796</v>
      </c>
    </row>
    <row r="94" spans="1:3">
      <c r="A94" s="41">
        <v>703</v>
      </c>
      <c r="B94" s="32" t="s">
        <v>246</v>
      </c>
      <c r="C94" s="32" t="s">
        <v>1797</v>
      </c>
    </row>
    <row r="95" spans="1:3">
      <c r="A95" s="39"/>
      <c r="B95" s="30"/>
      <c r="C95" s="30"/>
    </row>
    <row r="96" spans="1:3">
      <c r="A96" s="41">
        <v>712</v>
      </c>
      <c r="B96" s="32" t="s">
        <v>247</v>
      </c>
      <c r="C96" s="32" t="s">
        <v>1798</v>
      </c>
    </row>
    <row r="97" spans="1:3">
      <c r="A97" s="41">
        <v>713</v>
      </c>
      <c r="B97" s="32" t="s">
        <v>248</v>
      </c>
      <c r="C97" s="32" t="s">
        <v>1799</v>
      </c>
    </row>
    <row r="98" spans="1:3">
      <c r="A98" s="41">
        <v>714</v>
      </c>
      <c r="B98" s="32" t="s">
        <v>249</v>
      </c>
      <c r="C98" s="32" t="s">
        <v>1800</v>
      </c>
    </row>
    <row r="99" spans="1:3">
      <c r="A99" s="39"/>
      <c r="B99" s="30"/>
      <c r="C99" s="30"/>
    </row>
    <row r="100" spans="1:3">
      <c r="A100" s="41">
        <v>731</v>
      </c>
      <c r="B100" s="32" t="s">
        <v>250</v>
      </c>
      <c r="C100" s="32" t="s">
        <v>1798</v>
      </c>
    </row>
    <row r="101" spans="1:3">
      <c r="A101" s="41">
        <v>732</v>
      </c>
      <c r="B101" s="32" t="s">
        <v>251</v>
      </c>
      <c r="C101" s="32" t="s">
        <v>1799</v>
      </c>
    </row>
    <row r="102" spans="1:3">
      <c r="A102" s="41">
        <v>733</v>
      </c>
      <c r="B102" s="32" t="s">
        <v>252</v>
      </c>
      <c r="C102" s="32" t="s">
        <v>1800</v>
      </c>
    </row>
    <row r="103" spans="1:3">
      <c r="A103" s="41">
        <v>734</v>
      </c>
      <c r="B103" s="32" t="s">
        <v>253</v>
      </c>
      <c r="C103" s="32" t="s">
        <v>1801</v>
      </c>
    </row>
    <row r="104" spans="1:3">
      <c r="A104" s="41">
        <v>735</v>
      </c>
      <c r="B104" s="32" t="s">
        <v>254</v>
      </c>
      <c r="C104" s="32" t="s">
        <v>1802</v>
      </c>
    </row>
    <row r="105" spans="1:3">
      <c r="A105" s="39"/>
      <c r="B105" s="30"/>
      <c r="C105" s="30"/>
    </row>
    <row r="106" spans="1:3">
      <c r="A106" s="41">
        <v>741</v>
      </c>
      <c r="B106" s="32" t="s">
        <v>255</v>
      </c>
      <c r="C106" s="32" t="s">
        <v>1798</v>
      </c>
    </row>
    <row r="107" spans="1:3">
      <c r="A107" s="41">
        <v>742</v>
      </c>
      <c r="B107" s="32" t="s">
        <v>256</v>
      </c>
      <c r="C107" s="32" t="s">
        <v>1799</v>
      </c>
    </row>
    <row r="108" spans="1:3">
      <c r="A108" s="41">
        <v>743</v>
      </c>
      <c r="B108" s="32" t="s">
        <v>257</v>
      </c>
      <c r="C108" s="32" t="s">
        <v>1800</v>
      </c>
    </row>
    <row r="109" spans="1:3">
      <c r="A109" s="41">
        <v>744</v>
      </c>
      <c r="B109" s="32" t="s">
        <v>258</v>
      </c>
      <c r="C109" s="32" t="s">
        <v>1801</v>
      </c>
    </row>
    <row r="110" spans="1:3">
      <c r="A110" s="41">
        <v>745</v>
      </c>
      <c r="B110" s="32" t="s">
        <v>259</v>
      </c>
      <c r="C110" s="32" t="s">
        <v>1802</v>
      </c>
    </row>
    <row r="111" spans="1:3">
      <c r="A111" s="39"/>
      <c r="B111" s="30"/>
      <c r="C111" s="30"/>
    </row>
    <row r="112" spans="1:3">
      <c r="A112" s="41">
        <v>781</v>
      </c>
      <c r="B112" s="32" t="s">
        <v>1523</v>
      </c>
      <c r="C112" s="32" t="s">
        <v>1523</v>
      </c>
    </row>
    <row r="113" spans="1:3">
      <c r="A113" s="41">
        <v>782</v>
      </c>
      <c r="B113" s="32" t="s">
        <v>1524</v>
      </c>
      <c r="C113" s="32" t="s">
        <v>1524</v>
      </c>
    </row>
    <row r="114" spans="1:3">
      <c r="A114" s="39"/>
      <c r="B114" s="30"/>
      <c r="C114" s="30"/>
    </row>
    <row r="115" spans="1:3">
      <c r="A115" s="41">
        <v>1001</v>
      </c>
      <c r="B115" s="32" t="s">
        <v>260</v>
      </c>
      <c r="C115" s="32" t="s">
        <v>1803</v>
      </c>
    </row>
    <row r="116" spans="1:3">
      <c r="A116" s="41">
        <v>1002</v>
      </c>
      <c r="B116" s="32" t="s">
        <v>261</v>
      </c>
      <c r="C116" s="32" t="s">
        <v>1804</v>
      </c>
    </row>
    <row r="117" spans="1:3">
      <c r="A117" s="73">
        <v>1003</v>
      </c>
      <c r="B117" s="76" t="s">
        <v>262</v>
      </c>
      <c r="C117" s="76" t="s">
        <v>1805</v>
      </c>
    </row>
    <row r="118" spans="1:3">
      <c r="A118" s="73">
        <v>1004</v>
      </c>
      <c r="B118" s="76" t="s">
        <v>263</v>
      </c>
      <c r="C118" s="76" t="s">
        <v>1806</v>
      </c>
    </row>
    <row r="119" spans="1:3">
      <c r="A119" s="41">
        <v>1005</v>
      </c>
      <c r="B119" s="32" t="s">
        <v>264</v>
      </c>
      <c r="C119" s="32" t="s">
        <v>1807</v>
      </c>
    </row>
    <row r="120" spans="1:3">
      <c r="A120" s="41">
        <v>1006</v>
      </c>
      <c r="B120" s="32" t="s">
        <v>265</v>
      </c>
      <c r="C120" s="32" t="s">
        <v>1808</v>
      </c>
    </row>
    <row r="121" spans="1:3">
      <c r="A121" s="41">
        <v>1007</v>
      </c>
      <c r="B121" s="32" t="s">
        <v>266</v>
      </c>
      <c r="C121" s="32" t="s">
        <v>1809</v>
      </c>
    </row>
    <row r="122" spans="1:3">
      <c r="A122" s="40"/>
      <c r="B122" s="31" t="s">
        <v>267</v>
      </c>
      <c r="C122" s="31" t="s">
        <v>267</v>
      </c>
    </row>
    <row r="123" spans="1:3">
      <c r="A123" s="40"/>
      <c r="B123" s="31" t="s">
        <v>268</v>
      </c>
      <c r="C123" s="31" t="s">
        <v>268</v>
      </c>
    </row>
    <row r="124" spans="1:3">
      <c r="A124" s="40"/>
      <c r="B124" s="31" t="s">
        <v>269</v>
      </c>
      <c r="C124" s="31" t="s">
        <v>269</v>
      </c>
    </row>
    <row r="125" spans="1:3">
      <c r="A125" s="40"/>
      <c r="B125" s="31" t="s">
        <v>270</v>
      </c>
      <c r="C125" s="31" t="s">
        <v>270</v>
      </c>
    </row>
    <row r="126" spans="1:3">
      <c r="A126" s="40"/>
      <c r="B126" s="31" t="s">
        <v>271</v>
      </c>
      <c r="C126" s="31" t="s">
        <v>271</v>
      </c>
    </row>
    <row r="127" spans="1:3">
      <c r="A127" s="41">
        <v>1013</v>
      </c>
      <c r="B127" s="32" t="s">
        <v>272</v>
      </c>
      <c r="C127" s="32" t="s">
        <v>1810</v>
      </c>
    </row>
    <row r="128" spans="1:3">
      <c r="A128" s="41">
        <v>1014</v>
      </c>
      <c r="B128" s="32" t="s">
        <v>273</v>
      </c>
      <c r="C128" s="32" t="s">
        <v>1811</v>
      </c>
    </row>
    <row r="129" spans="1:3">
      <c r="A129" s="41">
        <v>1015</v>
      </c>
      <c r="B129" s="32" t="s">
        <v>274</v>
      </c>
      <c r="C129" s="32" t="s">
        <v>1812</v>
      </c>
    </row>
    <row r="130" spans="1:3">
      <c r="A130" s="41">
        <v>1016</v>
      </c>
      <c r="B130" s="32" t="s">
        <v>275</v>
      </c>
      <c r="C130" s="32" t="s">
        <v>1813</v>
      </c>
    </row>
    <row r="131" spans="1:3">
      <c r="A131" s="40"/>
      <c r="B131" s="31" t="s">
        <v>276</v>
      </c>
      <c r="C131" s="31" t="s">
        <v>276</v>
      </c>
    </row>
    <row r="132" spans="1:3">
      <c r="A132" s="40"/>
      <c r="B132" s="31" t="s">
        <v>277</v>
      </c>
      <c r="C132" s="31" t="s">
        <v>277</v>
      </c>
    </row>
    <row r="133" spans="1:3">
      <c r="A133" s="40"/>
      <c r="B133" s="31" t="s">
        <v>278</v>
      </c>
      <c r="C133" s="31" t="s">
        <v>278</v>
      </c>
    </row>
    <row r="134" spans="1:3">
      <c r="A134" s="40"/>
      <c r="B134" s="31" t="s">
        <v>279</v>
      </c>
      <c r="C134" s="31" t="s">
        <v>279</v>
      </c>
    </row>
    <row r="135" spans="1:3">
      <c r="A135" s="42"/>
      <c r="B135" s="31" t="s">
        <v>280</v>
      </c>
      <c r="C135" s="31" t="s">
        <v>280</v>
      </c>
    </row>
    <row r="136" spans="1:3">
      <c r="A136" s="42"/>
      <c r="B136" s="31" t="s">
        <v>281</v>
      </c>
      <c r="C136" s="31" t="s">
        <v>281</v>
      </c>
    </row>
    <row r="137" spans="1:3">
      <c r="A137" s="42"/>
      <c r="B137" s="31" t="s">
        <v>282</v>
      </c>
      <c r="C137" s="31" t="s">
        <v>282</v>
      </c>
    </row>
    <row r="138" spans="1:3">
      <c r="A138" s="42"/>
      <c r="B138" s="31" t="s">
        <v>283</v>
      </c>
      <c r="C138" s="31" t="s">
        <v>283</v>
      </c>
    </row>
    <row r="139" spans="1:3">
      <c r="A139" s="42"/>
      <c r="B139" s="31" t="s">
        <v>284</v>
      </c>
      <c r="C139" s="31" t="s">
        <v>284</v>
      </c>
    </row>
    <row r="140" spans="1:3">
      <c r="A140" s="42"/>
      <c r="B140" s="31" t="s">
        <v>285</v>
      </c>
      <c r="C140" s="31" t="s">
        <v>285</v>
      </c>
    </row>
    <row r="141" spans="1:3">
      <c r="A141" s="42"/>
      <c r="B141" s="31" t="s">
        <v>286</v>
      </c>
      <c r="C141" s="31" t="s">
        <v>286</v>
      </c>
    </row>
    <row r="142" spans="1:3">
      <c r="A142" s="42"/>
      <c r="B142" s="31" t="s">
        <v>287</v>
      </c>
      <c r="C142" s="31" t="s">
        <v>287</v>
      </c>
    </row>
    <row r="143" spans="1:3">
      <c r="A143" s="74" t="s">
        <v>1510</v>
      </c>
      <c r="B143" s="32" t="s">
        <v>1525</v>
      </c>
      <c r="C143" s="32" t="s">
        <v>1525</v>
      </c>
    </row>
    <row r="144" spans="1:3">
      <c r="A144" s="42"/>
      <c r="B144" s="31" t="s">
        <v>288</v>
      </c>
      <c r="C144" s="31" t="s">
        <v>288</v>
      </c>
    </row>
    <row r="145" spans="1:3">
      <c r="A145" s="42"/>
      <c r="B145" s="31" t="s">
        <v>289</v>
      </c>
      <c r="C145" s="31" t="s">
        <v>289</v>
      </c>
    </row>
    <row r="146" spans="1:3">
      <c r="A146" s="42"/>
      <c r="B146" s="31" t="s">
        <v>290</v>
      </c>
      <c r="C146" s="31" t="s">
        <v>290</v>
      </c>
    </row>
    <row r="147" spans="1:3">
      <c r="A147" s="74" t="s">
        <v>1511</v>
      </c>
      <c r="B147" s="32" t="s">
        <v>1526</v>
      </c>
      <c r="C147" s="32" t="s">
        <v>1526</v>
      </c>
    </row>
    <row r="148" spans="1:3">
      <c r="A148" s="74" t="s">
        <v>1512</v>
      </c>
      <c r="B148" s="32" t="s">
        <v>291</v>
      </c>
      <c r="C148" s="32" t="s">
        <v>291</v>
      </c>
    </row>
    <row r="149" spans="1:3">
      <c r="A149" s="41">
        <v>1041</v>
      </c>
      <c r="B149" s="32" t="s">
        <v>292</v>
      </c>
      <c r="C149" s="32" t="s">
        <v>1814</v>
      </c>
    </row>
    <row r="150" spans="1:3">
      <c r="A150" s="41">
        <v>1042</v>
      </c>
      <c r="B150" s="32" t="s">
        <v>1527</v>
      </c>
      <c r="C150" s="32" t="s">
        <v>1527</v>
      </c>
    </row>
    <row r="151" spans="1:3">
      <c r="A151" s="41">
        <v>1043</v>
      </c>
      <c r="B151" s="32" t="s">
        <v>1528</v>
      </c>
      <c r="C151" s="32" t="s">
        <v>1528</v>
      </c>
    </row>
    <row r="152" spans="1:3">
      <c r="A152" s="41">
        <v>1044</v>
      </c>
      <c r="B152" s="32" t="s">
        <v>1529</v>
      </c>
      <c r="C152" s="32" t="s">
        <v>1529</v>
      </c>
    </row>
    <row r="153" spans="1:3">
      <c r="A153" s="39"/>
      <c r="B153" s="30"/>
      <c r="C153" s="30"/>
    </row>
    <row r="154" spans="1:3">
      <c r="A154" s="41">
        <v>1501</v>
      </c>
      <c r="B154" s="32" t="s">
        <v>293</v>
      </c>
      <c r="C154" s="32" t="s">
        <v>1815</v>
      </c>
    </row>
    <row r="155" spans="1:3">
      <c r="A155" s="41">
        <v>1502</v>
      </c>
      <c r="B155" s="32" t="s">
        <v>294</v>
      </c>
      <c r="C155" s="32" t="s">
        <v>1816</v>
      </c>
    </row>
    <row r="156" spans="1:3">
      <c r="A156" s="41">
        <v>1503</v>
      </c>
      <c r="B156" s="32" t="s">
        <v>295</v>
      </c>
      <c r="C156" s="32" t="s">
        <v>1817</v>
      </c>
    </row>
    <row r="157" spans="1:3">
      <c r="A157" s="41">
        <v>1504</v>
      </c>
      <c r="B157" s="32" t="s">
        <v>296</v>
      </c>
      <c r="C157" s="32" t="s">
        <v>1818</v>
      </c>
    </row>
    <row r="158" spans="1:3">
      <c r="A158" s="41">
        <v>1505</v>
      </c>
      <c r="B158" s="32" t="s">
        <v>297</v>
      </c>
      <c r="C158" s="32" t="s">
        <v>1819</v>
      </c>
    </row>
    <row r="159" spans="1:3">
      <c r="A159" s="41">
        <v>1506</v>
      </c>
      <c r="B159" s="32" t="s">
        <v>298</v>
      </c>
      <c r="C159" s="32" t="s">
        <v>1820</v>
      </c>
    </row>
    <row r="160" spans="1:3">
      <c r="A160" s="41">
        <v>1507</v>
      </c>
      <c r="B160" s="32" t="s">
        <v>299</v>
      </c>
      <c r="C160" s="32" t="s">
        <v>1821</v>
      </c>
    </row>
    <row r="161" spans="1:3">
      <c r="A161" s="41">
        <v>1508</v>
      </c>
      <c r="B161" s="32" t="s">
        <v>300</v>
      </c>
      <c r="C161" s="32" t="s">
        <v>1822</v>
      </c>
    </row>
    <row r="162" spans="1:3">
      <c r="A162" s="41">
        <v>1509</v>
      </c>
      <c r="B162" s="32" t="s">
        <v>301</v>
      </c>
      <c r="C162" s="32" t="s">
        <v>1823</v>
      </c>
    </row>
    <row r="163" spans="1:3">
      <c r="A163" s="41">
        <v>1510</v>
      </c>
      <c r="B163" s="32" t="s">
        <v>302</v>
      </c>
      <c r="C163" s="32" t="s">
        <v>1824</v>
      </c>
    </row>
    <row r="164" spans="1:3">
      <c r="A164" s="41">
        <v>1511</v>
      </c>
      <c r="B164" s="32" t="s">
        <v>303</v>
      </c>
      <c r="C164" s="32" t="s">
        <v>1825</v>
      </c>
    </row>
    <row r="165" spans="1:3">
      <c r="A165" s="41">
        <v>1512</v>
      </c>
      <c r="B165" s="32" t="s">
        <v>304</v>
      </c>
      <c r="C165" s="32" t="s">
        <v>1826</v>
      </c>
    </row>
    <row r="166" spans="1:3">
      <c r="A166" s="41">
        <v>1513</v>
      </c>
      <c r="B166" s="32" t="s">
        <v>305</v>
      </c>
      <c r="C166" s="32" t="s">
        <v>1827</v>
      </c>
    </row>
    <row r="167" spans="1:3">
      <c r="A167" s="41">
        <v>1514</v>
      </c>
      <c r="B167" s="32" t="s">
        <v>306</v>
      </c>
      <c r="C167" s="32" t="s">
        <v>1828</v>
      </c>
    </row>
    <row r="168" spans="1:3">
      <c r="A168" s="41">
        <v>1515</v>
      </c>
      <c r="B168" s="32" t="s">
        <v>307</v>
      </c>
      <c r="C168" s="32" t="s">
        <v>1829</v>
      </c>
    </row>
    <row r="169" spans="1:3">
      <c r="A169" s="41">
        <v>1517</v>
      </c>
      <c r="B169" s="32" t="s">
        <v>308</v>
      </c>
      <c r="C169" s="32" t="s">
        <v>1830</v>
      </c>
    </row>
    <row r="170" spans="1:3">
      <c r="A170" s="41">
        <v>1518</v>
      </c>
      <c r="B170" s="32" t="s">
        <v>309</v>
      </c>
      <c r="C170" s="32" t="s">
        <v>1831</v>
      </c>
    </row>
    <row r="171" spans="1:3">
      <c r="A171" s="41">
        <v>1519</v>
      </c>
      <c r="B171" s="32" t="s">
        <v>310</v>
      </c>
      <c r="C171" s="32" t="s">
        <v>1832</v>
      </c>
    </row>
    <row r="172" spans="1:3">
      <c r="A172" s="41">
        <v>1520</v>
      </c>
      <c r="B172" s="32" t="s">
        <v>311</v>
      </c>
      <c r="C172" s="32" t="s">
        <v>1823</v>
      </c>
    </row>
    <row r="173" spans="1:3">
      <c r="A173" s="41">
        <v>1521</v>
      </c>
      <c r="B173" s="32" t="s">
        <v>312</v>
      </c>
      <c r="C173" s="32" t="s">
        <v>1833</v>
      </c>
    </row>
    <row r="174" spans="1:3">
      <c r="A174" s="41">
        <v>1522</v>
      </c>
      <c r="B174" s="32" t="s">
        <v>313</v>
      </c>
      <c r="C174" s="32" t="s">
        <v>1834</v>
      </c>
    </row>
    <row r="175" spans="1:3">
      <c r="A175" s="41">
        <v>1523</v>
      </c>
      <c r="B175" s="32" t="s">
        <v>314</v>
      </c>
      <c r="C175" s="32" t="s">
        <v>1835</v>
      </c>
    </row>
    <row r="176" spans="1:3">
      <c r="A176" s="41">
        <v>1524</v>
      </c>
      <c r="B176" s="32" t="s">
        <v>315</v>
      </c>
      <c r="C176" s="32" t="s">
        <v>1836</v>
      </c>
    </row>
    <row r="177" spans="1:3">
      <c r="A177" s="39"/>
      <c r="B177" s="30"/>
      <c r="C177" s="30"/>
    </row>
    <row r="178" spans="1:3">
      <c r="A178" s="41">
        <v>1701</v>
      </c>
      <c r="B178" s="32" t="s">
        <v>316</v>
      </c>
      <c r="C178" s="32" t="s">
        <v>1837</v>
      </c>
    </row>
    <row r="179" spans="1:3">
      <c r="A179" s="41">
        <v>1702</v>
      </c>
      <c r="B179" s="32" t="s">
        <v>317</v>
      </c>
      <c r="C179" s="32" t="s">
        <v>1838</v>
      </c>
    </row>
    <row r="180" spans="1:3">
      <c r="A180" s="41">
        <v>1703</v>
      </c>
      <c r="B180" s="32" t="s">
        <v>318</v>
      </c>
      <c r="C180" s="32" t="s">
        <v>1839</v>
      </c>
    </row>
    <row r="181" spans="1:3">
      <c r="A181" s="41">
        <v>1704</v>
      </c>
      <c r="B181" s="32" t="s">
        <v>319</v>
      </c>
      <c r="C181" s="32" t="s">
        <v>1840</v>
      </c>
    </row>
    <row r="182" spans="1:3">
      <c r="A182" s="41">
        <v>1705</v>
      </c>
      <c r="B182" s="32" t="s">
        <v>320</v>
      </c>
      <c r="C182" s="32" t="s">
        <v>1841</v>
      </c>
    </row>
    <row r="183" spans="1:3">
      <c r="A183" s="41" t="s">
        <v>586</v>
      </c>
      <c r="B183" s="32" t="s">
        <v>321</v>
      </c>
      <c r="C183" s="32" t="s">
        <v>1842</v>
      </c>
    </row>
    <row r="184" spans="1:3">
      <c r="A184" s="41">
        <v>1707</v>
      </c>
      <c r="B184" s="32" t="s">
        <v>322</v>
      </c>
      <c r="C184" s="32" t="s">
        <v>1843</v>
      </c>
    </row>
    <row r="185" spans="1:3">
      <c r="A185" s="41">
        <v>1708</v>
      </c>
      <c r="B185" s="32" t="s">
        <v>323</v>
      </c>
      <c r="C185" s="32" t="s">
        <v>1844</v>
      </c>
    </row>
    <row r="186" spans="1:3">
      <c r="A186" s="39"/>
      <c r="B186" s="30"/>
      <c r="C186" s="30"/>
    </row>
    <row r="187" spans="1:3">
      <c r="A187" s="41">
        <v>2101</v>
      </c>
      <c r="B187" s="32" t="s">
        <v>1530</v>
      </c>
      <c r="C187" s="32" t="s">
        <v>1845</v>
      </c>
    </row>
    <row r="188" spans="1:3">
      <c r="A188" s="41">
        <v>2102</v>
      </c>
      <c r="B188" s="32" t="s">
        <v>1531</v>
      </c>
      <c r="C188" s="32" t="s">
        <v>1846</v>
      </c>
    </row>
    <row r="189" spans="1:3">
      <c r="A189" s="39"/>
      <c r="B189" s="30"/>
      <c r="C189" s="30"/>
    </row>
    <row r="190" spans="1:3">
      <c r="A190" s="41">
        <v>2111</v>
      </c>
      <c r="B190" s="32" t="s">
        <v>324</v>
      </c>
      <c r="C190" s="32" t="s">
        <v>1847</v>
      </c>
    </row>
    <row r="191" spans="1:3">
      <c r="A191" s="41">
        <v>2112</v>
      </c>
      <c r="B191" s="32" t="s">
        <v>325</v>
      </c>
      <c r="C191" s="32" t="s">
        <v>1848</v>
      </c>
    </row>
    <row r="192" spans="1:3">
      <c r="A192" s="39"/>
      <c r="B192" s="30"/>
      <c r="C192" s="30"/>
    </row>
    <row r="193" spans="1:3">
      <c r="A193" s="41">
        <v>2401</v>
      </c>
      <c r="B193" s="32" t="s">
        <v>326</v>
      </c>
      <c r="C193" s="32" t="s">
        <v>1849</v>
      </c>
    </row>
    <row r="194" spans="1:3">
      <c r="A194" s="41">
        <v>2402</v>
      </c>
      <c r="B194" s="32" t="s">
        <v>327</v>
      </c>
      <c r="C194" s="32" t="s">
        <v>1850</v>
      </c>
    </row>
    <row r="195" spans="1:3">
      <c r="A195" s="41">
        <v>2403</v>
      </c>
      <c r="B195" s="32" t="s">
        <v>328</v>
      </c>
      <c r="C195" s="32" t="s">
        <v>1851</v>
      </c>
    </row>
    <row r="196" spans="1:3">
      <c r="A196" s="41">
        <v>2404</v>
      </c>
      <c r="B196" s="32" t="s">
        <v>329</v>
      </c>
      <c r="C196" s="32" t="s">
        <v>1852</v>
      </c>
    </row>
    <row r="197" spans="1:3">
      <c r="A197" s="41">
        <v>2411</v>
      </c>
      <c r="B197" s="32" t="s">
        <v>330</v>
      </c>
      <c r="C197" s="32" t="s">
        <v>1853</v>
      </c>
    </row>
    <row r="198" spans="1:3">
      <c r="A198" s="41">
        <v>2412</v>
      </c>
      <c r="B198" s="32" t="s">
        <v>331</v>
      </c>
      <c r="C198" s="32" t="s">
        <v>1854</v>
      </c>
    </row>
    <row r="199" spans="1:3">
      <c r="A199" s="41">
        <v>2413</v>
      </c>
      <c r="B199" s="32" t="s">
        <v>332</v>
      </c>
      <c r="C199" s="32" t="s">
        <v>1855</v>
      </c>
    </row>
    <row r="200" spans="1:3">
      <c r="A200" s="41">
        <v>2414</v>
      </c>
      <c r="B200" s="32" t="s">
        <v>333</v>
      </c>
      <c r="C200" s="32" t="s">
        <v>1856</v>
      </c>
    </row>
    <row r="201" spans="1:3">
      <c r="A201" s="39"/>
      <c r="B201" s="30"/>
      <c r="C201" s="30"/>
    </row>
    <row r="202" spans="1:3">
      <c r="A202" s="41">
        <v>2501</v>
      </c>
      <c r="B202" s="32" t="s">
        <v>334</v>
      </c>
      <c r="C202" s="32" t="s">
        <v>1857</v>
      </c>
    </row>
    <row r="203" spans="1:3">
      <c r="A203" s="41">
        <v>2502</v>
      </c>
      <c r="B203" s="32" t="s">
        <v>335</v>
      </c>
      <c r="C203" s="32" t="s">
        <v>1858</v>
      </c>
    </row>
    <row r="204" spans="1:3">
      <c r="A204" s="39"/>
      <c r="B204" s="30"/>
      <c r="C204" s="30"/>
    </row>
    <row r="205" spans="1:3">
      <c r="A205" s="41">
        <v>2601</v>
      </c>
      <c r="B205" s="32" t="s">
        <v>336</v>
      </c>
      <c r="C205" s="32" t="s">
        <v>1859</v>
      </c>
    </row>
    <row r="206" spans="1:3">
      <c r="A206" s="39"/>
      <c r="B206" s="30" t="s">
        <v>337</v>
      </c>
      <c r="C206" s="30" t="s">
        <v>337</v>
      </c>
    </row>
    <row r="207" spans="1:3">
      <c r="A207" s="41">
        <v>3001</v>
      </c>
      <c r="B207" s="32" t="s">
        <v>338</v>
      </c>
      <c r="C207" s="32" t="s">
        <v>1860</v>
      </c>
    </row>
    <row r="208" spans="1:3">
      <c r="A208" s="41">
        <v>3002</v>
      </c>
      <c r="B208" s="32" t="s">
        <v>339</v>
      </c>
      <c r="C208" s="32" t="s">
        <v>1861</v>
      </c>
    </row>
    <row r="209" spans="1:3">
      <c r="A209" s="41">
        <v>3003</v>
      </c>
      <c r="B209" s="32" t="s">
        <v>340</v>
      </c>
      <c r="C209" s="32" t="s">
        <v>1862</v>
      </c>
    </row>
    <row r="210" spans="1:3">
      <c r="A210" s="41">
        <v>3004</v>
      </c>
      <c r="B210" s="32" t="s">
        <v>341</v>
      </c>
      <c r="C210" s="32" t="s">
        <v>1863</v>
      </c>
    </row>
    <row r="211" spans="1:3">
      <c r="A211" s="41">
        <v>3005</v>
      </c>
      <c r="B211" s="32" t="s">
        <v>342</v>
      </c>
      <c r="C211" s="32" t="s">
        <v>1864</v>
      </c>
    </row>
    <row r="212" spans="1:3">
      <c r="A212" s="41">
        <v>3006</v>
      </c>
      <c r="B212" s="32" t="s">
        <v>343</v>
      </c>
      <c r="C212" s="32" t="s">
        <v>1865</v>
      </c>
    </row>
    <row r="213" spans="1:3">
      <c r="A213" s="41">
        <v>3011</v>
      </c>
      <c r="B213" s="32" t="s">
        <v>1532</v>
      </c>
      <c r="C213" s="32" t="s">
        <v>1866</v>
      </c>
    </row>
    <row r="214" spans="1:3">
      <c r="A214" s="41">
        <v>3012</v>
      </c>
      <c r="B214" s="32" t="s">
        <v>1533</v>
      </c>
      <c r="C214" s="32" t="s">
        <v>1867</v>
      </c>
    </row>
    <row r="215" spans="1:3">
      <c r="A215" s="41">
        <v>3013</v>
      </c>
      <c r="B215" s="32" t="s">
        <v>1534</v>
      </c>
      <c r="C215" s="32" t="s">
        <v>1868</v>
      </c>
    </row>
    <row r="216" spans="1:3">
      <c r="A216" s="41">
        <v>3014</v>
      </c>
      <c r="B216" s="32" t="s">
        <v>1535</v>
      </c>
      <c r="C216" s="32" t="s">
        <v>1869</v>
      </c>
    </row>
    <row r="217" spans="1:3">
      <c r="A217" s="41">
        <v>3015</v>
      </c>
      <c r="B217" s="32" t="s">
        <v>1536</v>
      </c>
      <c r="C217" s="32" t="s">
        <v>1870</v>
      </c>
    </row>
    <row r="218" spans="1:3">
      <c r="A218" s="41">
        <v>3016</v>
      </c>
      <c r="B218" s="32" t="s">
        <v>1537</v>
      </c>
      <c r="C218" s="32" t="s">
        <v>1871</v>
      </c>
    </row>
    <row r="219" spans="1:3">
      <c r="A219" s="41">
        <v>3021</v>
      </c>
      <c r="B219" s="32" t="s">
        <v>344</v>
      </c>
      <c r="C219" s="32" t="s">
        <v>1872</v>
      </c>
    </row>
    <row r="220" spans="1:3">
      <c r="A220" s="41">
        <v>3022</v>
      </c>
      <c r="B220" s="32" t="s">
        <v>345</v>
      </c>
      <c r="C220" s="32" t="s">
        <v>1873</v>
      </c>
    </row>
    <row r="221" spans="1:3">
      <c r="A221" s="41">
        <v>3023</v>
      </c>
      <c r="B221" s="32" t="s">
        <v>346</v>
      </c>
      <c r="C221" s="32" t="s">
        <v>1874</v>
      </c>
    </row>
    <row r="222" spans="1:3">
      <c r="A222" s="41">
        <v>3024</v>
      </c>
      <c r="B222" s="32" t="s">
        <v>347</v>
      </c>
      <c r="C222" s="32" t="s">
        <v>1875</v>
      </c>
    </row>
    <row r="223" spans="1:3">
      <c r="A223" s="41">
        <v>3025</v>
      </c>
      <c r="B223" s="32" t="s">
        <v>348</v>
      </c>
      <c r="C223" s="32" t="s">
        <v>1876</v>
      </c>
    </row>
    <row r="224" spans="1:3">
      <c r="A224" s="41">
        <v>3026</v>
      </c>
      <c r="B224" s="32" t="s">
        <v>349</v>
      </c>
      <c r="C224" s="32" t="s">
        <v>1877</v>
      </c>
    </row>
    <row r="225" spans="1:3">
      <c r="A225" s="41">
        <v>3031</v>
      </c>
      <c r="B225" s="32" t="s">
        <v>1538</v>
      </c>
      <c r="C225" s="32" t="s">
        <v>1878</v>
      </c>
    </row>
    <row r="226" spans="1:3">
      <c r="A226" s="41">
        <v>3032</v>
      </c>
      <c r="B226" s="32" t="s">
        <v>1539</v>
      </c>
      <c r="C226" s="32" t="s">
        <v>1879</v>
      </c>
    </row>
    <row r="227" spans="1:3">
      <c r="A227" s="41">
        <v>3033</v>
      </c>
      <c r="B227" s="32" t="s">
        <v>1540</v>
      </c>
      <c r="C227" s="32" t="s">
        <v>1880</v>
      </c>
    </row>
    <row r="228" spans="1:3">
      <c r="A228" s="39"/>
      <c r="B228" s="30" t="s">
        <v>350</v>
      </c>
      <c r="C228" s="30" t="s">
        <v>350</v>
      </c>
    </row>
    <row r="229" spans="1:3">
      <c r="A229" s="41">
        <v>4001</v>
      </c>
      <c r="B229" s="32" t="s">
        <v>1541</v>
      </c>
      <c r="C229" s="32" t="s">
        <v>1881</v>
      </c>
    </row>
    <row r="230" spans="1:3">
      <c r="A230" s="41">
        <v>4002</v>
      </c>
      <c r="B230" s="32" t="s">
        <v>351</v>
      </c>
      <c r="C230" s="32" t="s">
        <v>1882</v>
      </c>
    </row>
    <row r="231" spans="1:3">
      <c r="A231" s="41">
        <v>4003</v>
      </c>
      <c r="B231" s="32" t="s">
        <v>1542</v>
      </c>
      <c r="C231" s="32" t="s">
        <v>1542</v>
      </c>
    </row>
    <row r="232" spans="1:3">
      <c r="A232" s="39"/>
      <c r="B232" s="30" t="s">
        <v>352</v>
      </c>
      <c r="C232" s="30" t="s">
        <v>352</v>
      </c>
    </row>
    <row r="233" spans="1:3">
      <c r="A233" s="47">
        <v>5001</v>
      </c>
      <c r="B233" s="37" t="s">
        <v>1543</v>
      </c>
      <c r="C233" s="37" t="s">
        <v>1883</v>
      </c>
    </row>
    <row r="234" spans="1:3">
      <c r="A234" s="39"/>
      <c r="B234" s="30" t="s">
        <v>353</v>
      </c>
      <c r="C234" s="30" t="s">
        <v>353</v>
      </c>
    </row>
    <row r="235" spans="1:3">
      <c r="A235" s="47">
        <v>6001</v>
      </c>
      <c r="B235" s="37" t="s">
        <v>1544</v>
      </c>
      <c r="C235" s="37" t="s">
        <v>1544</v>
      </c>
    </row>
    <row r="236" spans="1:3">
      <c r="A236" s="39"/>
      <c r="B236" s="30" t="s">
        <v>354</v>
      </c>
      <c r="C236" s="30" t="s">
        <v>354</v>
      </c>
    </row>
    <row r="237" spans="1:3">
      <c r="A237" s="45">
        <v>8001</v>
      </c>
      <c r="B237" s="77" t="s">
        <v>355</v>
      </c>
      <c r="C237" s="77" t="s">
        <v>1884</v>
      </c>
    </row>
    <row r="238" spans="1:3">
      <c r="A238" s="45">
        <v>8002</v>
      </c>
      <c r="B238" s="77" t="s">
        <v>356</v>
      </c>
      <c r="C238" s="77" t="s">
        <v>1885</v>
      </c>
    </row>
    <row r="239" spans="1:3">
      <c r="A239" s="45">
        <v>8003</v>
      </c>
      <c r="B239" s="77" t="s">
        <v>357</v>
      </c>
      <c r="C239" s="77" t="s">
        <v>1886</v>
      </c>
    </row>
    <row r="240" spans="1:3">
      <c r="A240" s="45">
        <v>8004</v>
      </c>
      <c r="B240" s="77" t="s">
        <v>358</v>
      </c>
      <c r="C240" s="77" t="s">
        <v>1887</v>
      </c>
    </row>
    <row r="241" spans="1:3">
      <c r="A241" s="45">
        <v>8005</v>
      </c>
      <c r="B241" s="77" t="s">
        <v>359</v>
      </c>
      <c r="C241" s="77" t="s">
        <v>1888</v>
      </c>
    </row>
    <row r="242" spans="1:3">
      <c r="A242" s="39"/>
      <c r="B242" s="30" t="s">
        <v>360</v>
      </c>
      <c r="C242" s="30" t="s">
        <v>360</v>
      </c>
    </row>
    <row r="243" spans="1:3">
      <c r="A243" s="45">
        <v>8501</v>
      </c>
      <c r="B243" s="77" t="s">
        <v>1545</v>
      </c>
      <c r="C243" s="77" t="s">
        <v>1889</v>
      </c>
    </row>
    <row r="244" spans="1:3">
      <c r="A244" s="45">
        <v>8502</v>
      </c>
      <c r="B244" s="77" t="s">
        <v>1546</v>
      </c>
      <c r="C244" s="77" t="s">
        <v>1890</v>
      </c>
    </row>
    <row r="245" spans="1:3">
      <c r="A245" s="45">
        <v>8503</v>
      </c>
      <c r="B245" s="77" t="s">
        <v>1547</v>
      </c>
      <c r="C245" s="77" t="s">
        <v>1891</v>
      </c>
    </row>
    <row r="246" spans="1:3">
      <c r="A246" s="45">
        <v>8504</v>
      </c>
      <c r="B246" s="77" t="s">
        <v>1548</v>
      </c>
      <c r="C246" s="77" t="s">
        <v>1892</v>
      </c>
    </row>
    <row r="247" spans="1:3">
      <c r="A247" s="45">
        <v>8505</v>
      </c>
      <c r="B247" s="77" t="s">
        <v>1549</v>
      </c>
      <c r="C247" s="77" t="s">
        <v>1893</v>
      </c>
    </row>
    <row r="248" spans="1:3">
      <c r="A248" s="45">
        <v>8506</v>
      </c>
      <c r="B248" s="77" t="s">
        <v>1550</v>
      </c>
      <c r="C248" s="77" t="s">
        <v>1894</v>
      </c>
    </row>
    <row r="249" spans="1:3">
      <c r="A249" s="45">
        <v>8507</v>
      </c>
      <c r="B249" s="77" t="s">
        <v>1551</v>
      </c>
      <c r="C249" s="77" t="s">
        <v>1895</v>
      </c>
    </row>
    <row r="250" spans="1:3">
      <c r="A250" s="45">
        <v>8508</v>
      </c>
      <c r="B250" s="77" t="s">
        <v>1552</v>
      </c>
      <c r="C250" s="77" t="s">
        <v>1896</v>
      </c>
    </row>
    <row r="251" spans="1:3">
      <c r="A251" s="47">
        <v>8509</v>
      </c>
      <c r="B251" s="37" t="s">
        <v>1553</v>
      </c>
      <c r="C251" s="37" t="s">
        <v>1897</v>
      </c>
    </row>
    <row r="252" spans="1:3">
      <c r="A252" s="47">
        <v>8510</v>
      </c>
      <c r="B252" s="37" t="s">
        <v>1554</v>
      </c>
      <c r="C252" s="37" t="s">
        <v>1898</v>
      </c>
    </row>
    <row r="253" spans="1:3">
      <c r="A253" s="47">
        <v>8511</v>
      </c>
      <c r="B253" s="37" t="s">
        <v>1555</v>
      </c>
      <c r="C253" s="37" t="s">
        <v>1899</v>
      </c>
    </row>
    <row r="254" spans="1:3">
      <c r="A254" s="47">
        <v>8512</v>
      </c>
      <c r="B254" s="37" t="s">
        <v>1556</v>
      </c>
      <c r="C254" s="37" t="s">
        <v>1900</v>
      </c>
    </row>
    <row r="255" spans="1:3">
      <c r="A255" s="39"/>
      <c r="B255" s="30" t="s">
        <v>361</v>
      </c>
      <c r="C255" s="30" t="s">
        <v>361</v>
      </c>
    </row>
    <row r="256" spans="1:3">
      <c r="A256" s="46">
        <v>101001</v>
      </c>
      <c r="B256" s="36" t="s">
        <v>362</v>
      </c>
      <c r="C256" s="36" t="s">
        <v>1901</v>
      </c>
    </row>
    <row r="257" spans="1:3">
      <c r="A257" s="47">
        <v>101002</v>
      </c>
      <c r="B257" s="37" t="s">
        <v>363</v>
      </c>
      <c r="C257" s="37" t="s">
        <v>1902</v>
      </c>
    </row>
    <row r="258" spans="1:3">
      <c r="A258" s="46">
        <v>101003</v>
      </c>
      <c r="B258" s="36" t="s">
        <v>364</v>
      </c>
      <c r="C258" s="36" t="s">
        <v>1903</v>
      </c>
    </row>
    <row r="259" spans="1:3">
      <c r="A259" s="47">
        <v>101004</v>
      </c>
      <c r="B259" s="37" t="s">
        <v>365</v>
      </c>
      <c r="C259" s="37" t="s">
        <v>1904</v>
      </c>
    </row>
    <row r="260" spans="1:3">
      <c r="A260" s="47">
        <v>101005</v>
      </c>
      <c r="B260" s="37" t="s">
        <v>366</v>
      </c>
      <c r="C260" s="37" t="s">
        <v>1905</v>
      </c>
    </row>
    <row r="261" spans="1:3">
      <c r="A261" s="46">
        <v>101006</v>
      </c>
      <c r="B261" s="36" t="s">
        <v>367</v>
      </c>
      <c r="C261" s="36" t="s">
        <v>1906</v>
      </c>
    </row>
    <row r="262" spans="1:3">
      <c r="A262" s="46">
        <v>101007</v>
      </c>
      <c r="B262" s="36" t="s">
        <v>368</v>
      </c>
      <c r="C262" s="36" t="s">
        <v>1907</v>
      </c>
    </row>
    <row r="263" spans="1:3">
      <c r="A263" s="46">
        <v>101008</v>
      </c>
      <c r="B263" s="36" t="s">
        <v>369</v>
      </c>
      <c r="C263" s="36" t="s">
        <v>1908</v>
      </c>
    </row>
    <row r="264" spans="1:3">
      <c r="A264" s="46">
        <v>101009</v>
      </c>
      <c r="B264" s="36" t="s">
        <v>370</v>
      </c>
      <c r="C264" s="36" t="s">
        <v>1909</v>
      </c>
    </row>
    <row r="265" spans="1:3">
      <c r="A265" s="46">
        <v>101010</v>
      </c>
      <c r="B265" s="36" t="s">
        <v>371</v>
      </c>
      <c r="C265" s="36" t="s">
        <v>1910</v>
      </c>
    </row>
    <row r="266" spans="1:3">
      <c r="A266" s="46">
        <v>101011</v>
      </c>
      <c r="B266" s="36" t="s">
        <v>372</v>
      </c>
      <c r="C266" s="36" t="s">
        <v>1911</v>
      </c>
    </row>
    <row r="267" spans="1:3">
      <c r="A267" s="46">
        <v>101012</v>
      </c>
      <c r="B267" s="36" t="s">
        <v>373</v>
      </c>
      <c r="C267" s="36" t="s">
        <v>1912</v>
      </c>
    </row>
    <row r="268" spans="1:3">
      <c r="A268" s="46">
        <v>101013</v>
      </c>
      <c r="B268" s="36" t="s">
        <v>374</v>
      </c>
      <c r="C268" s="36" t="s">
        <v>1913</v>
      </c>
    </row>
    <row r="269" spans="1:3">
      <c r="A269" s="46">
        <v>101014</v>
      </c>
      <c r="B269" s="36" t="s">
        <v>375</v>
      </c>
      <c r="C269" s="36" t="s">
        <v>1914</v>
      </c>
    </row>
    <row r="270" spans="1:3">
      <c r="A270" s="39"/>
      <c r="B270" s="30" t="s">
        <v>376</v>
      </c>
      <c r="C270" s="30" t="s">
        <v>376</v>
      </c>
    </row>
    <row r="271" spans="1:3">
      <c r="A271" s="46">
        <v>101051</v>
      </c>
      <c r="B271" s="36" t="s">
        <v>377</v>
      </c>
      <c r="C271" s="36" t="s">
        <v>1915</v>
      </c>
    </row>
    <row r="272" spans="1:3">
      <c r="A272" s="39"/>
      <c r="B272" s="30" t="s">
        <v>378</v>
      </c>
      <c r="C272" s="30" t="s">
        <v>378</v>
      </c>
    </row>
    <row r="273" spans="1:3">
      <c r="A273" s="46">
        <v>101101</v>
      </c>
      <c r="B273" s="36" t="s">
        <v>379</v>
      </c>
      <c r="C273" s="36" t="s">
        <v>1916</v>
      </c>
    </row>
    <row r="274" spans="1:3">
      <c r="A274" s="46">
        <v>101102</v>
      </c>
      <c r="B274" s="36" t="s">
        <v>380</v>
      </c>
      <c r="C274" s="36" t="s">
        <v>1917</v>
      </c>
    </row>
    <row r="275" spans="1:3">
      <c r="A275" s="46">
        <v>101103</v>
      </c>
      <c r="B275" s="36" t="s">
        <v>381</v>
      </c>
      <c r="C275" s="36" t="s">
        <v>1918</v>
      </c>
    </row>
    <row r="276" spans="1:3">
      <c r="A276" s="46">
        <v>101104</v>
      </c>
      <c r="B276" s="36" t="s">
        <v>382</v>
      </c>
      <c r="C276" s="36" t="s">
        <v>1919</v>
      </c>
    </row>
    <row r="277" spans="1:3">
      <c r="A277" s="46">
        <v>101105</v>
      </c>
      <c r="B277" s="36" t="s">
        <v>383</v>
      </c>
      <c r="C277" s="36" t="s">
        <v>1920</v>
      </c>
    </row>
    <row r="278" spans="1:3">
      <c r="A278" s="46">
        <v>101106</v>
      </c>
      <c r="B278" s="36" t="s">
        <v>384</v>
      </c>
      <c r="C278" s="36" t="s">
        <v>1921</v>
      </c>
    </row>
    <row r="279" spans="1:3">
      <c r="A279" s="46">
        <v>101107</v>
      </c>
      <c r="B279" s="36" t="s">
        <v>385</v>
      </c>
      <c r="C279" s="36" t="s">
        <v>1922</v>
      </c>
    </row>
    <row r="280" spans="1:3">
      <c r="A280" s="46">
        <v>101108</v>
      </c>
      <c r="B280" s="36" t="s">
        <v>386</v>
      </c>
      <c r="C280" s="36" t="s">
        <v>1923</v>
      </c>
    </row>
    <row r="281" spans="1:3">
      <c r="A281" s="46">
        <v>101109</v>
      </c>
      <c r="B281" s="36" t="s">
        <v>387</v>
      </c>
      <c r="C281" s="36" t="s">
        <v>1924</v>
      </c>
    </row>
    <row r="282" spans="1:3">
      <c r="A282" s="46">
        <v>101110</v>
      </c>
      <c r="B282" s="36" t="s">
        <v>388</v>
      </c>
      <c r="C282" s="36" t="s">
        <v>1925</v>
      </c>
    </row>
    <row r="283" spans="1:3">
      <c r="A283" s="46">
        <v>101111</v>
      </c>
      <c r="B283" s="36" t="s">
        <v>389</v>
      </c>
      <c r="C283" s="36" t="s">
        <v>1926</v>
      </c>
    </row>
    <row r="284" spans="1:3">
      <c r="A284" s="46">
        <v>101112</v>
      </c>
      <c r="B284" s="36" t="s">
        <v>390</v>
      </c>
      <c r="C284" s="36" t="s">
        <v>1927</v>
      </c>
    </row>
    <row r="285" spans="1:3">
      <c r="A285" s="46">
        <v>101113</v>
      </c>
      <c r="B285" s="36" t="s">
        <v>391</v>
      </c>
      <c r="C285" s="36" t="s">
        <v>1928</v>
      </c>
    </row>
    <row r="286" spans="1:3">
      <c r="A286" s="46">
        <v>101114</v>
      </c>
      <c r="B286" s="36" t="s">
        <v>392</v>
      </c>
      <c r="C286" s="36" t="s">
        <v>1929</v>
      </c>
    </row>
    <row r="287" spans="1:3">
      <c r="A287" s="46">
        <v>101115</v>
      </c>
      <c r="B287" s="36" t="s">
        <v>393</v>
      </c>
      <c r="C287" s="36" t="s">
        <v>1930</v>
      </c>
    </row>
    <row r="288" spans="1:3">
      <c r="A288" s="46">
        <v>101116</v>
      </c>
      <c r="B288" s="36" t="s">
        <v>394</v>
      </c>
      <c r="C288" s="36" t="s">
        <v>1931</v>
      </c>
    </row>
    <row r="289" spans="1:3">
      <c r="A289" s="46">
        <v>101117</v>
      </c>
      <c r="B289" s="36" t="s">
        <v>395</v>
      </c>
      <c r="C289" s="36" t="s">
        <v>1932</v>
      </c>
    </row>
    <row r="290" spans="1:3">
      <c r="A290" s="46">
        <v>101118</v>
      </c>
      <c r="B290" s="36" t="s">
        <v>396</v>
      </c>
      <c r="C290" s="36" t="s">
        <v>1933</v>
      </c>
    </row>
    <row r="291" spans="1:3">
      <c r="A291" s="46">
        <v>101119</v>
      </c>
      <c r="B291" s="36" t="s">
        <v>397</v>
      </c>
      <c r="C291" s="36" t="s">
        <v>1934</v>
      </c>
    </row>
    <row r="292" spans="1:3">
      <c r="A292" s="46">
        <v>101120</v>
      </c>
      <c r="B292" s="36" t="s">
        <v>398</v>
      </c>
      <c r="C292" s="36" t="s">
        <v>1935</v>
      </c>
    </row>
    <row r="293" spans="1:3">
      <c r="A293" s="46">
        <v>101121</v>
      </c>
      <c r="B293" s="36" t="s">
        <v>399</v>
      </c>
      <c r="C293" s="36" t="s">
        <v>1936</v>
      </c>
    </row>
    <row r="294" spans="1:3">
      <c r="A294" s="46">
        <v>101122</v>
      </c>
      <c r="B294" s="36" t="s">
        <v>400</v>
      </c>
      <c r="C294" s="36" t="s">
        <v>1937</v>
      </c>
    </row>
    <row r="295" spans="1:3">
      <c r="A295" s="46">
        <v>101123</v>
      </c>
      <c r="B295" s="36" t="s">
        <v>401</v>
      </c>
      <c r="C295" s="36" t="s">
        <v>1938</v>
      </c>
    </row>
    <row r="296" spans="1:3">
      <c r="A296" s="46">
        <v>101124</v>
      </c>
      <c r="B296" s="36" t="s">
        <v>402</v>
      </c>
      <c r="C296" s="36" t="s">
        <v>1939</v>
      </c>
    </row>
    <row r="297" spans="1:3">
      <c r="A297" s="46">
        <v>101125</v>
      </c>
      <c r="B297" s="36" t="s">
        <v>403</v>
      </c>
      <c r="C297" s="36" t="s">
        <v>1940</v>
      </c>
    </row>
    <row r="298" spans="1:3">
      <c r="A298" s="46">
        <v>101126</v>
      </c>
      <c r="B298" s="36" t="s">
        <v>404</v>
      </c>
      <c r="C298" s="36" t="s">
        <v>1941</v>
      </c>
    </row>
    <row r="299" spans="1:3">
      <c r="A299" s="46">
        <v>101127</v>
      </c>
      <c r="B299" s="36" t="s">
        <v>405</v>
      </c>
      <c r="C299" s="36" t="s">
        <v>1942</v>
      </c>
    </row>
    <row r="300" spans="1:3">
      <c r="A300" s="46">
        <v>101128</v>
      </c>
      <c r="B300" s="36" t="s">
        <v>406</v>
      </c>
      <c r="C300" s="36" t="s">
        <v>1943</v>
      </c>
    </row>
    <row r="301" spans="1:3">
      <c r="A301" s="46">
        <v>101129</v>
      </c>
      <c r="B301" s="36" t="s">
        <v>407</v>
      </c>
      <c r="C301" s="36" t="s">
        <v>1944</v>
      </c>
    </row>
    <row r="302" spans="1:3">
      <c r="A302" s="46">
        <v>101130</v>
      </c>
      <c r="B302" s="36" t="s">
        <v>408</v>
      </c>
      <c r="C302" s="36" t="s">
        <v>1945</v>
      </c>
    </row>
    <row r="303" spans="1:3">
      <c r="A303" s="46">
        <v>101131</v>
      </c>
      <c r="B303" s="36" t="s">
        <v>409</v>
      </c>
      <c r="C303" s="36" t="s">
        <v>1946</v>
      </c>
    </row>
    <row r="304" spans="1:3">
      <c r="A304" s="46">
        <v>101132</v>
      </c>
      <c r="B304" s="36" t="s">
        <v>410</v>
      </c>
      <c r="C304" s="36" t="s">
        <v>1947</v>
      </c>
    </row>
    <row r="305" spans="1:3">
      <c r="A305" s="46">
        <v>101133</v>
      </c>
      <c r="B305" s="36" t="s">
        <v>411</v>
      </c>
      <c r="C305" s="36" t="s">
        <v>1948</v>
      </c>
    </row>
    <row r="306" spans="1:3">
      <c r="A306" s="46">
        <v>101134</v>
      </c>
      <c r="B306" s="36" t="s">
        <v>412</v>
      </c>
      <c r="C306" s="36" t="s">
        <v>1949</v>
      </c>
    </row>
    <row r="307" spans="1:3">
      <c r="A307" s="46">
        <v>101135</v>
      </c>
      <c r="B307" s="36" t="s">
        <v>46</v>
      </c>
      <c r="C307" s="36" t="s">
        <v>1950</v>
      </c>
    </row>
    <row r="308" spans="1:3">
      <c r="A308" s="39"/>
      <c r="B308" s="30" t="s">
        <v>413</v>
      </c>
      <c r="C308" s="30" t="s">
        <v>413</v>
      </c>
    </row>
    <row r="309" spans="1:3">
      <c r="A309" s="46">
        <v>101201</v>
      </c>
      <c r="B309" s="36" t="s">
        <v>414</v>
      </c>
      <c r="C309" s="36" t="s">
        <v>1951</v>
      </c>
    </row>
    <row r="310" spans="1:3">
      <c r="A310" s="46">
        <v>101202</v>
      </c>
      <c r="B310" s="36" t="s">
        <v>415</v>
      </c>
      <c r="C310" s="36" t="s">
        <v>1952</v>
      </c>
    </row>
    <row r="311" spans="1:3">
      <c r="A311" s="46">
        <v>101203</v>
      </c>
      <c r="B311" s="36" t="s">
        <v>416</v>
      </c>
      <c r="C311" s="36" t="s">
        <v>1953</v>
      </c>
    </row>
    <row r="312" spans="1:3">
      <c r="A312" s="46">
        <v>101204</v>
      </c>
      <c r="B312" s="36" t="s">
        <v>417</v>
      </c>
      <c r="C312" s="36" t="s">
        <v>1954</v>
      </c>
    </row>
    <row r="313" spans="1:3">
      <c r="A313" s="46">
        <v>101205</v>
      </c>
      <c r="B313" s="36" t="s">
        <v>418</v>
      </c>
      <c r="C313" s="36" t="s">
        <v>1955</v>
      </c>
    </row>
    <row r="314" spans="1:3">
      <c r="A314" s="46">
        <v>101206</v>
      </c>
      <c r="B314" s="36" t="s">
        <v>419</v>
      </c>
      <c r="C314" s="36" t="s">
        <v>1956</v>
      </c>
    </row>
    <row r="315" spans="1:3">
      <c r="A315" s="46">
        <v>101207</v>
      </c>
      <c r="B315" s="36" t="s">
        <v>420</v>
      </c>
      <c r="C315" s="36" t="s">
        <v>1957</v>
      </c>
    </row>
    <row r="316" spans="1:3">
      <c r="A316" s="46">
        <v>101208</v>
      </c>
      <c r="B316" s="36" t="s">
        <v>421</v>
      </c>
      <c r="C316" s="36" t="s">
        <v>1958</v>
      </c>
    </row>
    <row r="317" spans="1:3">
      <c r="A317" s="46">
        <v>101209</v>
      </c>
      <c r="B317" s="36" t="s">
        <v>422</v>
      </c>
      <c r="C317" s="36" t="s">
        <v>1959</v>
      </c>
    </row>
    <row r="318" spans="1:3">
      <c r="A318" s="46">
        <v>101210</v>
      </c>
      <c r="B318" s="36" t="s">
        <v>423</v>
      </c>
      <c r="C318" s="36" t="s">
        <v>1960</v>
      </c>
    </row>
    <row r="319" spans="1:3">
      <c r="A319" s="46">
        <v>101211</v>
      </c>
      <c r="B319" s="36" t="s">
        <v>424</v>
      </c>
      <c r="C319" s="36" t="s">
        <v>1961</v>
      </c>
    </row>
    <row r="320" spans="1:3">
      <c r="A320" s="46">
        <v>101212</v>
      </c>
      <c r="B320" s="36" t="s">
        <v>425</v>
      </c>
      <c r="C320" s="36" t="s">
        <v>1962</v>
      </c>
    </row>
    <row r="321" spans="1:3">
      <c r="A321" s="46">
        <v>101213</v>
      </c>
      <c r="B321" s="36" t="s">
        <v>426</v>
      </c>
      <c r="C321" s="36" t="s">
        <v>1963</v>
      </c>
    </row>
    <row r="322" spans="1:3">
      <c r="A322" s="46">
        <v>101214</v>
      </c>
      <c r="B322" s="36" t="s">
        <v>427</v>
      </c>
      <c r="C322" s="36" t="s">
        <v>1964</v>
      </c>
    </row>
    <row r="323" spans="1:3">
      <c r="A323" s="46">
        <v>101215</v>
      </c>
      <c r="B323" s="36" t="s">
        <v>428</v>
      </c>
      <c r="C323" s="36" t="s">
        <v>1965</v>
      </c>
    </row>
    <row r="324" spans="1:3">
      <c r="A324" s="46">
        <v>101216</v>
      </c>
      <c r="B324" s="36" t="s">
        <v>429</v>
      </c>
      <c r="C324" s="36" t="s">
        <v>1966</v>
      </c>
    </row>
    <row r="325" spans="1:3">
      <c r="A325" s="46">
        <v>101217</v>
      </c>
      <c r="B325" s="36" t="s">
        <v>430</v>
      </c>
      <c r="C325" s="36" t="s">
        <v>1967</v>
      </c>
    </row>
    <row r="326" spans="1:3">
      <c r="A326" s="46">
        <v>101218</v>
      </c>
      <c r="B326" s="36" t="s">
        <v>431</v>
      </c>
      <c r="C326" s="36" t="s">
        <v>1968</v>
      </c>
    </row>
    <row r="327" spans="1:3">
      <c r="A327" s="46">
        <v>101219</v>
      </c>
      <c r="B327" s="36" t="s">
        <v>432</v>
      </c>
      <c r="C327" s="36" t="s">
        <v>1969</v>
      </c>
    </row>
    <row r="328" spans="1:3">
      <c r="A328" s="46">
        <v>101220</v>
      </c>
      <c r="B328" s="36" t="s">
        <v>433</v>
      </c>
      <c r="C328" s="36" t="s">
        <v>1970</v>
      </c>
    </row>
    <row r="329" spans="1:3">
      <c r="A329" s="46">
        <v>101221</v>
      </c>
      <c r="B329" s="36" t="s">
        <v>434</v>
      </c>
      <c r="C329" s="36" t="s">
        <v>1971</v>
      </c>
    </row>
    <row r="330" spans="1:3">
      <c r="A330" s="46">
        <v>101222</v>
      </c>
      <c r="B330" s="36" t="s">
        <v>435</v>
      </c>
      <c r="C330" s="36" t="s">
        <v>1972</v>
      </c>
    </row>
    <row r="331" spans="1:3">
      <c r="A331" s="46">
        <v>101223</v>
      </c>
      <c r="B331" s="36" t="s">
        <v>436</v>
      </c>
      <c r="C331" s="36" t="s">
        <v>1973</v>
      </c>
    </row>
    <row r="332" spans="1:3">
      <c r="A332" s="46">
        <v>101224</v>
      </c>
      <c r="B332" s="36" t="s">
        <v>437</v>
      </c>
      <c r="C332" s="36" t="s">
        <v>1974</v>
      </c>
    </row>
    <row r="333" spans="1:3">
      <c r="A333" s="46">
        <v>101225</v>
      </c>
      <c r="B333" s="36" t="s">
        <v>438</v>
      </c>
      <c r="C333" s="36" t="s">
        <v>1975</v>
      </c>
    </row>
    <row r="334" spans="1:3">
      <c r="A334" s="46">
        <v>101226</v>
      </c>
      <c r="B334" s="36" t="s">
        <v>439</v>
      </c>
      <c r="C334" s="36" t="s">
        <v>1976</v>
      </c>
    </row>
    <row r="335" spans="1:3">
      <c r="A335" s="46">
        <v>101227</v>
      </c>
      <c r="B335" s="36" t="s">
        <v>440</v>
      </c>
      <c r="C335" s="36" t="s">
        <v>1977</v>
      </c>
    </row>
    <row r="336" spans="1:3">
      <c r="A336" s="46">
        <v>101228</v>
      </c>
      <c r="B336" s="36" t="s">
        <v>441</v>
      </c>
      <c r="C336" s="36" t="s">
        <v>1978</v>
      </c>
    </row>
    <row r="337" spans="1:3">
      <c r="A337" s="46">
        <v>101229</v>
      </c>
      <c r="B337" s="36" t="s">
        <v>442</v>
      </c>
      <c r="C337" s="36" t="s">
        <v>1979</v>
      </c>
    </row>
    <row r="338" spans="1:3">
      <c r="A338" s="46">
        <v>101230</v>
      </c>
      <c r="B338" s="36" t="s">
        <v>443</v>
      </c>
      <c r="C338" s="36" t="s">
        <v>1980</v>
      </c>
    </row>
    <row r="339" spans="1:3">
      <c r="A339" s="46">
        <v>101231</v>
      </c>
      <c r="B339" s="36" t="s">
        <v>444</v>
      </c>
      <c r="C339" s="36" t="s">
        <v>1981</v>
      </c>
    </row>
    <row r="340" spans="1:3">
      <c r="A340" s="46">
        <v>101232</v>
      </c>
      <c r="B340" s="36" t="s">
        <v>445</v>
      </c>
      <c r="C340" s="36" t="s">
        <v>1982</v>
      </c>
    </row>
    <row r="341" spans="1:3">
      <c r="A341" s="46">
        <v>101233</v>
      </c>
      <c r="B341" s="36" t="s">
        <v>446</v>
      </c>
      <c r="C341" s="36" t="s">
        <v>1983</v>
      </c>
    </row>
    <row r="342" spans="1:3">
      <c r="A342" s="46">
        <v>101234</v>
      </c>
      <c r="B342" s="36" t="s">
        <v>447</v>
      </c>
      <c r="C342" s="36" t="s">
        <v>1984</v>
      </c>
    </row>
    <row r="343" spans="1:3">
      <c r="A343" s="46">
        <v>101235</v>
      </c>
      <c r="B343" s="36" t="s">
        <v>448</v>
      </c>
      <c r="C343" s="36" t="s">
        <v>1985</v>
      </c>
    </row>
    <row r="344" spans="1:3">
      <c r="A344" s="39"/>
      <c r="B344" s="30" t="s">
        <v>449</v>
      </c>
      <c r="C344" s="30" t="s">
        <v>449</v>
      </c>
    </row>
    <row r="345" spans="1:3">
      <c r="A345" s="46">
        <v>101401</v>
      </c>
      <c r="B345" s="36" t="s">
        <v>450</v>
      </c>
      <c r="C345" s="36" t="s">
        <v>450</v>
      </c>
    </row>
    <row r="346" spans="1:3">
      <c r="A346" s="46">
        <v>101402</v>
      </c>
      <c r="B346" s="36" t="s">
        <v>451</v>
      </c>
      <c r="C346" s="36" t="s">
        <v>451</v>
      </c>
    </row>
    <row r="347" spans="1:3">
      <c r="A347" s="46">
        <v>101403</v>
      </c>
      <c r="B347" s="36" t="s">
        <v>452</v>
      </c>
      <c r="C347" s="36" t="s">
        <v>452</v>
      </c>
    </row>
    <row r="348" spans="1:3">
      <c r="A348" s="46">
        <v>101404</v>
      </c>
      <c r="B348" s="36" t="s">
        <v>453</v>
      </c>
      <c r="C348" s="36" t="s">
        <v>453</v>
      </c>
    </row>
    <row r="349" spans="1:3">
      <c r="A349" s="39"/>
      <c r="B349" s="30"/>
      <c r="C349" s="30"/>
    </row>
    <row r="350" spans="1:3">
      <c r="A350" s="46">
        <v>101501</v>
      </c>
      <c r="B350" s="36" t="s">
        <v>454</v>
      </c>
      <c r="C350" s="36" t="s">
        <v>454</v>
      </c>
    </row>
    <row r="351" spans="1:3">
      <c r="A351" s="46">
        <v>101502</v>
      </c>
      <c r="B351" s="36" t="s">
        <v>455</v>
      </c>
      <c r="C351" s="36" t="s">
        <v>455</v>
      </c>
    </row>
    <row r="352" spans="1:3">
      <c r="A352" s="46">
        <v>101503</v>
      </c>
      <c r="B352" s="36" t="s">
        <v>456</v>
      </c>
      <c r="C352" s="36" t="s">
        <v>456</v>
      </c>
    </row>
    <row r="353" spans="1:3">
      <c r="A353" s="46">
        <v>101504</v>
      </c>
      <c r="B353" s="36" t="s">
        <v>457</v>
      </c>
      <c r="C353" s="36" t="s">
        <v>457</v>
      </c>
    </row>
    <row r="354" spans="1:3">
      <c r="A354" s="46">
        <v>101505</v>
      </c>
      <c r="B354" s="36" t="s">
        <v>458</v>
      </c>
      <c r="C354" s="36" t="s">
        <v>458</v>
      </c>
    </row>
    <row r="355" spans="1:3">
      <c r="A355" s="46">
        <v>101506</v>
      </c>
      <c r="B355" s="36" t="s">
        <v>459</v>
      </c>
      <c r="C355" s="36" t="s">
        <v>459</v>
      </c>
    </row>
    <row r="356" spans="1:3">
      <c r="A356" s="39"/>
      <c r="B356" s="30"/>
      <c r="C356" s="30"/>
    </row>
    <row r="357" spans="1:3">
      <c r="A357" s="46">
        <v>101601</v>
      </c>
      <c r="B357" s="36" t="s">
        <v>460</v>
      </c>
      <c r="C357" s="36" t="s">
        <v>460</v>
      </c>
    </row>
    <row r="358" spans="1:3">
      <c r="A358" s="46">
        <v>101602</v>
      </c>
      <c r="B358" s="36" t="s">
        <v>461</v>
      </c>
      <c r="C358" s="36" t="s">
        <v>461</v>
      </c>
    </row>
    <row r="359" spans="1:3">
      <c r="A359" s="46">
        <v>101603</v>
      </c>
      <c r="B359" s="36" t="s">
        <v>462</v>
      </c>
      <c r="C359" s="36" t="s">
        <v>462</v>
      </c>
    </row>
    <row r="360" spans="1:3">
      <c r="A360" s="46">
        <v>101604</v>
      </c>
      <c r="B360" s="36" t="s">
        <v>463</v>
      </c>
      <c r="C360" s="36" t="s">
        <v>463</v>
      </c>
    </row>
    <row r="361" spans="1:3">
      <c r="A361" s="46">
        <v>101605</v>
      </c>
      <c r="B361" s="36" t="s">
        <v>464</v>
      </c>
      <c r="C361" s="36" t="s">
        <v>464</v>
      </c>
    </row>
    <row r="362" spans="1:3">
      <c r="A362" s="46">
        <v>101606</v>
      </c>
      <c r="B362" s="36" t="s">
        <v>465</v>
      </c>
      <c r="C362" s="36" t="s">
        <v>465</v>
      </c>
    </row>
    <row r="363" spans="1:3">
      <c r="A363" s="39"/>
      <c r="B363" s="30" t="s">
        <v>466</v>
      </c>
      <c r="C363" s="30" t="s">
        <v>466</v>
      </c>
    </row>
    <row r="364" spans="1:3">
      <c r="A364" s="44">
        <v>101901</v>
      </c>
      <c r="B364" s="35" t="s">
        <v>467</v>
      </c>
      <c r="C364" s="35" t="s">
        <v>467</v>
      </c>
    </row>
    <row r="365" spans="1:3">
      <c r="A365" s="39"/>
      <c r="B365" s="30" t="s">
        <v>468</v>
      </c>
      <c r="C365" s="30" t="s">
        <v>468</v>
      </c>
    </row>
    <row r="366" spans="1:3">
      <c r="A366" s="47">
        <v>102001</v>
      </c>
      <c r="B366" s="37" t="s">
        <v>469</v>
      </c>
      <c r="C366" s="37" t="s">
        <v>1986</v>
      </c>
    </row>
    <row r="367" spans="1:3">
      <c r="A367" s="47">
        <v>102002</v>
      </c>
      <c r="B367" s="37" t="s">
        <v>470</v>
      </c>
      <c r="C367" s="37" t="s">
        <v>1987</v>
      </c>
    </row>
    <row r="368" spans="1:3">
      <c r="A368" s="47">
        <v>102003</v>
      </c>
      <c r="B368" s="37" t="s">
        <v>471</v>
      </c>
      <c r="C368" s="37" t="s">
        <v>1988</v>
      </c>
    </row>
    <row r="369" spans="1:3">
      <c r="A369" s="47">
        <v>102004</v>
      </c>
      <c r="B369" s="37" t="s">
        <v>472</v>
      </c>
      <c r="C369" s="37" t="s">
        <v>1989</v>
      </c>
    </row>
    <row r="370" spans="1:3">
      <c r="A370" s="47">
        <v>102005</v>
      </c>
      <c r="B370" s="37" t="s">
        <v>473</v>
      </c>
      <c r="C370" s="37" t="s">
        <v>1990</v>
      </c>
    </row>
    <row r="371" spans="1:3">
      <c r="A371" s="47">
        <v>102006</v>
      </c>
      <c r="B371" s="37" t="s">
        <v>474</v>
      </c>
      <c r="C371" s="37" t="s">
        <v>1991</v>
      </c>
    </row>
    <row r="372" spans="1:3">
      <c r="A372" s="47">
        <v>102007</v>
      </c>
      <c r="B372" s="37" t="s">
        <v>475</v>
      </c>
      <c r="C372" s="37" t="s">
        <v>1992</v>
      </c>
    </row>
    <row r="373" spans="1:3">
      <c r="A373" s="47">
        <v>102008</v>
      </c>
      <c r="B373" s="37" t="s">
        <v>476</v>
      </c>
      <c r="C373" s="37" t="s">
        <v>1993</v>
      </c>
    </row>
    <row r="374" spans="1:3">
      <c r="A374" s="47">
        <v>102009</v>
      </c>
      <c r="B374" s="37" t="s">
        <v>477</v>
      </c>
      <c r="C374" s="37" t="s">
        <v>1994</v>
      </c>
    </row>
    <row r="375" spans="1:3">
      <c r="A375" s="47">
        <v>102010</v>
      </c>
      <c r="B375" s="37" t="s">
        <v>478</v>
      </c>
      <c r="C375" s="37" t="s">
        <v>1995</v>
      </c>
    </row>
    <row r="376" spans="1:3">
      <c r="A376" s="47">
        <v>102011</v>
      </c>
      <c r="B376" s="37" t="s">
        <v>479</v>
      </c>
      <c r="C376" s="37" t="s">
        <v>1996</v>
      </c>
    </row>
    <row r="377" spans="1:3">
      <c r="A377" s="47">
        <v>102012</v>
      </c>
      <c r="B377" s="37" t="s">
        <v>480</v>
      </c>
      <c r="C377" s="37" t="s">
        <v>1997</v>
      </c>
    </row>
    <row r="378" spans="1:3">
      <c r="A378" s="39"/>
      <c r="B378" s="30" t="s">
        <v>481</v>
      </c>
      <c r="C378" s="30" t="s">
        <v>481</v>
      </c>
    </row>
    <row r="379" spans="1:3">
      <c r="A379" s="46">
        <v>103001</v>
      </c>
      <c r="B379" s="36" t="s">
        <v>482</v>
      </c>
      <c r="C379" s="36" t="s">
        <v>1998</v>
      </c>
    </row>
    <row r="380" spans="1:3">
      <c r="A380" s="46">
        <v>103002</v>
      </c>
      <c r="B380" s="36" t="s">
        <v>483</v>
      </c>
      <c r="C380" s="36" t="s">
        <v>1999</v>
      </c>
    </row>
    <row r="381" spans="1:3">
      <c r="A381" s="46">
        <v>103003</v>
      </c>
      <c r="B381" s="36" t="s">
        <v>484</v>
      </c>
      <c r="C381" s="36" t="s">
        <v>2000</v>
      </c>
    </row>
    <row r="382" spans="1:3">
      <c r="A382" s="46">
        <v>103004</v>
      </c>
      <c r="B382" s="36" t="s">
        <v>485</v>
      </c>
      <c r="C382" s="36" t="s">
        <v>2001</v>
      </c>
    </row>
    <row r="383" spans="1:3">
      <c r="A383" s="46">
        <v>103005</v>
      </c>
      <c r="B383" s="36" t="s">
        <v>486</v>
      </c>
      <c r="C383" s="36" t="s">
        <v>2002</v>
      </c>
    </row>
    <row r="384" spans="1:3">
      <c r="A384" s="46">
        <v>103006</v>
      </c>
      <c r="B384" s="36" t="s">
        <v>487</v>
      </c>
      <c r="C384" s="36" t="s">
        <v>2003</v>
      </c>
    </row>
    <row r="385" spans="1:3">
      <c r="A385" s="46">
        <v>103007</v>
      </c>
      <c r="B385" s="36" t="s">
        <v>488</v>
      </c>
      <c r="C385" s="36" t="s">
        <v>2004</v>
      </c>
    </row>
    <row r="386" spans="1:3">
      <c r="A386" s="46">
        <v>103008</v>
      </c>
      <c r="B386" s="36" t="s">
        <v>489</v>
      </c>
      <c r="C386" s="36" t="s">
        <v>2005</v>
      </c>
    </row>
    <row r="387" spans="1:3">
      <c r="A387" s="46">
        <v>103009</v>
      </c>
      <c r="B387" s="36" t="s">
        <v>490</v>
      </c>
      <c r="C387" s="36" t="s">
        <v>2006</v>
      </c>
    </row>
    <row r="388" spans="1:3">
      <c r="A388" s="46">
        <v>103010</v>
      </c>
      <c r="B388" s="36" t="s">
        <v>491</v>
      </c>
      <c r="C388" s="36" t="s">
        <v>2007</v>
      </c>
    </row>
    <row r="389" spans="1:3">
      <c r="A389" s="46">
        <v>103011</v>
      </c>
      <c r="B389" s="36" t="s">
        <v>492</v>
      </c>
      <c r="C389" s="36" t="s">
        <v>2008</v>
      </c>
    </row>
    <row r="390" spans="1:3">
      <c r="A390" s="46">
        <v>103012</v>
      </c>
      <c r="B390" s="36" t="s">
        <v>493</v>
      </c>
      <c r="C390" s="36" t="s">
        <v>2009</v>
      </c>
    </row>
    <row r="391" spans="1:3">
      <c r="A391" s="39"/>
      <c r="B391" s="30" t="s">
        <v>494</v>
      </c>
      <c r="C391" s="30" t="s">
        <v>494</v>
      </c>
    </row>
    <row r="392" spans="1:3">
      <c r="A392" s="46">
        <v>103051</v>
      </c>
      <c r="B392" s="36" t="s">
        <v>495</v>
      </c>
      <c r="C392" s="36" t="s">
        <v>2010</v>
      </c>
    </row>
    <row r="393" spans="1:3">
      <c r="A393" s="39"/>
      <c r="B393" s="30" t="s">
        <v>496</v>
      </c>
      <c r="C393" s="30" t="s">
        <v>496</v>
      </c>
    </row>
    <row r="394" spans="1:3">
      <c r="A394" s="46">
        <v>103101</v>
      </c>
      <c r="B394" s="36" t="s">
        <v>497</v>
      </c>
      <c r="C394" s="36" t="s">
        <v>2011</v>
      </c>
    </row>
    <row r="395" spans="1:3">
      <c r="A395" s="46">
        <v>103102</v>
      </c>
      <c r="B395" s="36" t="s">
        <v>498</v>
      </c>
      <c r="C395" s="36" t="s">
        <v>2012</v>
      </c>
    </row>
    <row r="396" spans="1:3">
      <c r="A396" s="46">
        <v>103103</v>
      </c>
      <c r="B396" s="36" t="s">
        <v>499</v>
      </c>
      <c r="C396" s="36" t="s">
        <v>2013</v>
      </c>
    </row>
    <row r="397" spans="1:3">
      <c r="A397" s="46">
        <v>103104</v>
      </c>
      <c r="B397" s="36" t="s">
        <v>500</v>
      </c>
      <c r="C397" s="36" t="s">
        <v>2014</v>
      </c>
    </row>
    <row r="398" spans="1:3">
      <c r="A398" s="46">
        <v>103105</v>
      </c>
      <c r="B398" s="36" t="s">
        <v>501</v>
      </c>
      <c r="C398" s="36" t="s">
        <v>2015</v>
      </c>
    </row>
    <row r="399" spans="1:3">
      <c r="A399" s="46">
        <v>103106</v>
      </c>
      <c r="B399" s="36" t="s">
        <v>502</v>
      </c>
      <c r="C399" s="36" t="s">
        <v>2016</v>
      </c>
    </row>
    <row r="400" spans="1:3">
      <c r="A400" s="46">
        <v>103107</v>
      </c>
      <c r="B400" s="36" t="s">
        <v>503</v>
      </c>
      <c r="C400" s="36" t="s">
        <v>2017</v>
      </c>
    </row>
    <row r="401" spans="1:3">
      <c r="A401" s="46">
        <v>103108</v>
      </c>
      <c r="B401" s="36" t="s">
        <v>504</v>
      </c>
      <c r="C401" s="36" t="s">
        <v>2018</v>
      </c>
    </row>
    <row r="402" spans="1:3">
      <c r="A402" s="46">
        <v>103109</v>
      </c>
      <c r="B402" s="36" t="s">
        <v>505</v>
      </c>
      <c r="C402" s="36" t="s">
        <v>2019</v>
      </c>
    </row>
    <row r="403" spans="1:3">
      <c r="A403" s="46">
        <v>103110</v>
      </c>
      <c r="B403" s="36" t="s">
        <v>506</v>
      </c>
      <c r="C403" s="36" t="s">
        <v>2020</v>
      </c>
    </row>
    <row r="404" spans="1:3">
      <c r="A404" s="46">
        <v>103111</v>
      </c>
      <c r="B404" s="36" t="s">
        <v>507</v>
      </c>
      <c r="C404" s="36" t="s">
        <v>2021</v>
      </c>
    </row>
    <row r="405" spans="1:3">
      <c r="A405" s="46">
        <v>103112</v>
      </c>
      <c r="B405" s="36" t="s">
        <v>508</v>
      </c>
      <c r="C405" s="36" t="s">
        <v>2022</v>
      </c>
    </row>
    <row r="406" spans="1:3">
      <c r="A406" s="46">
        <v>103113</v>
      </c>
      <c r="B406" s="36" t="s">
        <v>1557</v>
      </c>
      <c r="C406" s="36" t="s">
        <v>2023</v>
      </c>
    </row>
    <row r="407" spans="1:3">
      <c r="A407" s="46">
        <v>103114</v>
      </c>
      <c r="B407" s="36" t="s">
        <v>510</v>
      </c>
      <c r="C407" s="36" t="s">
        <v>2024</v>
      </c>
    </row>
    <row r="408" spans="1:3">
      <c r="A408" s="46">
        <v>103115</v>
      </c>
      <c r="B408" s="36" t="s">
        <v>1558</v>
      </c>
      <c r="C408" s="36" t="s">
        <v>2025</v>
      </c>
    </row>
    <row r="409" spans="1:3">
      <c r="A409" s="46">
        <v>103116</v>
      </c>
      <c r="B409" s="36" t="s">
        <v>512</v>
      </c>
      <c r="C409" s="36" t="s">
        <v>2026</v>
      </c>
    </row>
    <row r="410" spans="1:3">
      <c r="A410" s="46">
        <v>103117</v>
      </c>
      <c r="B410" s="36" t="s">
        <v>1559</v>
      </c>
      <c r="C410" s="36" t="s">
        <v>2027</v>
      </c>
    </row>
    <row r="411" spans="1:3">
      <c r="A411" s="46">
        <v>103118</v>
      </c>
      <c r="B411" s="36" t="s">
        <v>514</v>
      </c>
      <c r="C411" s="36" t="s">
        <v>2028</v>
      </c>
    </row>
    <row r="412" spans="1:3">
      <c r="A412" s="46">
        <v>103119</v>
      </c>
      <c r="B412" s="36" t="s">
        <v>515</v>
      </c>
      <c r="C412" s="36" t="s">
        <v>2029</v>
      </c>
    </row>
    <row r="413" spans="1:3">
      <c r="A413" s="46">
        <v>103120</v>
      </c>
      <c r="B413" s="36" t="s">
        <v>1560</v>
      </c>
      <c r="C413" s="36" t="s">
        <v>2030</v>
      </c>
    </row>
    <row r="414" spans="1:3">
      <c r="A414" s="46">
        <v>103121</v>
      </c>
      <c r="B414" s="36" t="s">
        <v>1561</v>
      </c>
      <c r="C414" s="36" t="s">
        <v>2031</v>
      </c>
    </row>
    <row r="415" spans="1:3">
      <c r="A415" s="46">
        <v>103122</v>
      </c>
      <c r="B415" s="36" t="s">
        <v>1181</v>
      </c>
      <c r="C415" s="36" t="s">
        <v>2032</v>
      </c>
    </row>
    <row r="416" spans="1:3">
      <c r="A416" s="46">
        <v>103123</v>
      </c>
      <c r="B416" s="36" t="s">
        <v>518</v>
      </c>
      <c r="C416" s="36" t="s">
        <v>952</v>
      </c>
    </row>
    <row r="417" spans="1:3">
      <c r="A417" s="39"/>
      <c r="B417" s="30" t="s">
        <v>519</v>
      </c>
      <c r="C417" s="30" t="s">
        <v>519</v>
      </c>
    </row>
    <row r="418" spans="1:3">
      <c r="A418" s="46">
        <v>104001</v>
      </c>
      <c r="B418" s="36" t="s">
        <v>1182</v>
      </c>
      <c r="C418" s="36" t="s">
        <v>2033</v>
      </c>
    </row>
    <row r="419" spans="1:3">
      <c r="A419" s="46">
        <v>104002</v>
      </c>
      <c r="B419" s="36" t="s">
        <v>1562</v>
      </c>
      <c r="C419" s="36" t="s">
        <v>2034</v>
      </c>
    </row>
    <row r="420" spans="1:3">
      <c r="A420" s="46">
        <v>104003</v>
      </c>
      <c r="B420" s="36" t="s">
        <v>1563</v>
      </c>
      <c r="C420" s="36" t="s">
        <v>2035</v>
      </c>
    </row>
    <row r="421" spans="1:3">
      <c r="A421" s="46">
        <v>104004</v>
      </c>
      <c r="B421" s="36" t="s">
        <v>1183</v>
      </c>
      <c r="C421" s="36" t="s">
        <v>2036</v>
      </c>
    </row>
    <row r="422" spans="1:3">
      <c r="A422" s="46">
        <v>104005</v>
      </c>
      <c r="B422" s="36" t="s">
        <v>1564</v>
      </c>
      <c r="C422" s="36" t="s">
        <v>2037</v>
      </c>
    </row>
    <row r="423" spans="1:3">
      <c r="A423" s="46">
        <v>104006</v>
      </c>
      <c r="B423" s="36" t="s">
        <v>1565</v>
      </c>
      <c r="C423" s="36" t="s">
        <v>2038</v>
      </c>
    </row>
    <row r="424" spans="1:3">
      <c r="A424" s="46">
        <v>104007</v>
      </c>
      <c r="B424" s="36" t="s">
        <v>1566</v>
      </c>
      <c r="C424" s="36" t="s">
        <v>2039</v>
      </c>
    </row>
    <row r="425" spans="1:3">
      <c r="A425" s="46">
        <v>104008</v>
      </c>
      <c r="B425" s="36" t="s">
        <v>1567</v>
      </c>
      <c r="C425" s="36" t="s">
        <v>2040</v>
      </c>
    </row>
    <row r="426" spans="1:3">
      <c r="A426" s="46">
        <v>104009</v>
      </c>
      <c r="B426" s="36" t="s">
        <v>1184</v>
      </c>
      <c r="C426" s="36" t="s">
        <v>2041</v>
      </c>
    </row>
    <row r="427" spans="1:3">
      <c r="A427" s="46">
        <v>104010</v>
      </c>
      <c r="B427" s="36" t="s">
        <v>1568</v>
      </c>
      <c r="C427" s="36" t="s">
        <v>2042</v>
      </c>
    </row>
    <row r="428" spans="1:3">
      <c r="A428" s="46">
        <v>104011</v>
      </c>
      <c r="B428" s="36" t="s">
        <v>1569</v>
      </c>
      <c r="C428" s="36" t="s">
        <v>2043</v>
      </c>
    </row>
    <row r="429" spans="1:3">
      <c r="A429" s="46">
        <v>104012</v>
      </c>
      <c r="B429" s="36" t="s">
        <v>1570</v>
      </c>
      <c r="C429" s="36" t="s">
        <v>2044</v>
      </c>
    </row>
    <row r="430" spans="1:3">
      <c r="A430" s="46">
        <v>104013</v>
      </c>
      <c r="B430" s="36" t="s">
        <v>1571</v>
      </c>
      <c r="C430" s="36" t="s">
        <v>2045</v>
      </c>
    </row>
    <row r="431" spans="1:3">
      <c r="A431" s="46">
        <v>104014</v>
      </c>
      <c r="B431" s="36" t="s">
        <v>1185</v>
      </c>
      <c r="C431" s="36" t="s">
        <v>2046</v>
      </c>
    </row>
    <row r="432" spans="1:3">
      <c r="A432" s="46">
        <v>104015</v>
      </c>
      <c r="B432" s="36" t="s">
        <v>1572</v>
      </c>
      <c r="C432" s="36" t="s">
        <v>2047</v>
      </c>
    </row>
    <row r="433" spans="1:3">
      <c r="A433" s="46">
        <v>104016</v>
      </c>
      <c r="B433" s="36" t="s">
        <v>1573</v>
      </c>
      <c r="C433" s="36" t="s">
        <v>2048</v>
      </c>
    </row>
    <row r="434" spans="1:3">
      <c r="A434" s="46">
        <v>104017</v>
      </c>
      <c r="B434" s="36" t="s">
        <v>1186</v>
      </c>
      <c r="C434" s="36" t="s">
        <v>2049</v>
      </c>
    </row>
    <row r="435" spans="1:3">
      <c r="A435" s="46">
        <v>104018</v>
      </c>
      <c r="B435" s="36" t="s">
        <v>1574</v>
      </c>
      <c r="C435" s="36" t="s">
        <v>2050</v>
      </c>
    </row>
    <row r="436" spans="1:3">
      <c r="A436" s="46">
        <v>104019</v>
      </c>
      <c r="B436" s="36" t="s">
        <v>1575</v>
      </c>
      <c r="C436" s="36" t="s">
        <v>2051</v>
      </c>
    </row>
    <row r="437" spans="1:3">
      <c r="A437" s="46">
        <v>104020</v>
      </c>
      <c r="B437" s="36" t="s">
        <v>1576</v>
      </c>
      <c r="C437" s="36" t="s">
        <v>2052</v>
      </c>
    </row>
    <row r="438" spans="1:3">
      <c r="A438" s="46">
        <v>104021</v>
      </c>
      <c r="B438" s="36" t="s">
        <v>1577</v>
      </c>
      <c r="C438" s="36" t="s">
        <v>2053</v>
      </c>
    </row>
    <row r="439" spans="1:3">
      <c r="A439" s="46">
        <v>104022</v>
      </c>
      <c r="B439" s="36" t="s">
        <v>1187</v>
      </c>
      <c r="C439" s="36" t="s">
        <v>2054</v>
      </c>
    </row>
    <row r="441" spans="1:3">
      <c r="A441" s="46">
        <v>104201</v>
      </c>
      <c r="B441" s="36" t="s">
        <v>969</v>
      </c>
      <c r="C441" s="36" t="s">
        <v>2055</v>
      </c>
    </row>
    <row r="442" spans="1:3">
      <c r="A442" s="46">
        <v>104202</v>
      </c>
      <c r="B442" s="36" t="s">
        <v>970</v>
      </c>
      <c r="C442" s="36" t="s">
        <v>2056</v>
      </c>
    </row>
    <row r="443" spans="1:3">
      <c r="A443" s="46">
        <v>104203</v>
      </c>
      <c r="B443" s="36" t="s">
        <v>971</v>
      </c>
      <c r="C443" s="36" t="s">
        <v>2057</v>
      </c>
    </row>
    <row r="444" spans="1:3">
      <c r="A444" s="46">
        <v>104204</v>
      </c>
      <c r="B444" s="36" t="s">
        <v>972</v>
      </c>
      <c r="C444" s="36" t="s">
        <v>2058</v>
      </c>
    </row>
    <row r="445" spans="1:3">
      <c r="A445" s="46">
        <v>104205</v>
      </c>
      <c r="B445" s="36" t="s">
        <v>973</v>
      </c>
      <c r="C445" s="36" t="s">
        <v>2059</v>
      </c>
    </row>
    <row r="446" spans="1:3">
      <c r="A446" s="46">
        <v>104206</v>
      </c>
      <c r="B446" s="36" t="s">
        <v>974</v>
      </c>
      <c r="C446" s="36" t="s">
        <v>2060</v>
      </c>
    </row>
    <row r="447" spans="1:3">
      <c r="A447" s="46">
        <v>104207</v>
      </c>
      <c r="B447" s="36" t="s">
        <v>975</v>
      </c>
      <c r="C447" s="36" t="s">
        <v>2061</v>
      </c>
    </row>
    <row r="448" spans="1:3">
      <c r="A448" s="46">
        <v>104208</v>
      </c>
      <c r="B448" s="36" t="s">
        <v>976</v>
      </c>
      <c r="C448" s="36" t="s">
        <v>2062</v>
      </c>
    </row>
    <row r="449" spans="1:3">
      <c r="A449" s="46">
        <v>104209</v>
      </c>
      <c r="B449" s="36" t="s">
        <v>977</v>
      </c>
      <c r="C449" s="36" t="s">
        <v>2063</v>
      </c>
    </row>
    <row r="450" spans="1:3">
      <c r="A450" s="46">
        <v>104210</v>
      </c>
      <c r="B450" s="36" t="s">
        <v>978</v>
      </c>
      <c r="C450" s="36" t="s">
        <v>2064</v>
      </c>
    </row>
    <row r="451" spans="1:3">
      <c r="A451" s="46">
        <v>104211</v>
      </c>
      <c r="B451" s="36" t="s">
        <v>979</v>
      </c>
      <c r="C451" s="36" t="s">
        <v>2065</v>
      </c>
    </row>
    <row r="452" spans="1:3">
      <c r="A452" s="46">
        <v>104212</v>
      </c>
      <c r="B452" s="36" t="s">
        <v>1578</v>
      </c>
      <c r="C452" s="36" t="s">
        <v>2066</v>
      </c>
    </row>
    <row r="453" spans="1:3">
      <c r="A453" s="46">
        <v>104213</v>
      </c>
      <c r="B453" s="36" t="s">
        <v>980</v>
      </c>
      <c r="C453" s="36" t="s">
        <v>2067</v>
      </c>
    </row>
    <row r="454" spans="1:3">
      <c r="A454" s="46">
        <v>104214</v>
      </c>
      <c r="B454" s="36" t="s">
        <v>981</v>
      </c>
      <c r="C454" s="36" t="s">
        <v>2068</v>
      </c>
    </row>
    <row r="455" spans="1:3">
      <c r="A455" s="46">
        <v>104215</v>
      </c>
      <c r="B455" s="36" t="s">
        <v>982</v>
      </c>
      <c r="C455" s="36" t="s">
        <v>2069</v>
      </c>
    </row>
    <row r="456" spans="1:3">
      <c r="A456" s="46">
        <v>104216</v>
      </c>
      <c r="B456" s="36" t="s">
        <v>983</v>
      </c>
      <c r="C456" s="36" t="s">
        <v>2070</v>
      </c>
    </row>
    <row r="457" spans="1:3">
      <c r="A457" s="46">
        <v>104217</v>
      </c>
      <c r="B457" s="36" t="s">
        <v>984</v>
      </c>
      <c r="C457" s="36" t="s">
        <v>2071</v>
      </c>
    </row>
    <row r="458" spans="1:3">
      <c r="A458" s="46">
        <v>104218</v>
      </c>
      <c r="B458" s="36" t="s">
        <v>985</v>
      </c>
      <c r="C458" s="36" t="s">
        <v>2072</v>
      </c>
    </row>
    <row r="459" spans="1:3">
      <c r="A459" s="46">
        <v>104219</v>
      </c>
      <c r="B459" s="36" t="s">
        <v>986</v>
      </c>
      <c r="C459" s="36" t="s">
        <v>2073</v>
      </c>
    </row>
    <row r="460" spans="1:3">
      <c r="A460" s="46">
        <v>104220</v>
      </c>
      <c r="B460" s="36" t="s">
        <v>987</v>
      </c>
      <c r="C460" s="36" t="s">
        <v>2074</v>
      </c>
    </row>
    <row r="461" spans="1:3">
      <c r="A461" s="46">
        <v>104221</v>
      </c>
      <c r="B461" s="36" t="s">
        <v>988</v>
      </c>
      <c r="C461" s="36" t="s">
        <v>2075</v>
      </c>
    </row>
    <row r="462" spans="1:3">
      <c r="A462" s="46">
        <v>104222</v>
      </c>
      <c r="B462" s="36" t="s">
        <v>989</v>
      </c>
      <c r="C462" s="36" t="s">
        <v>2076</v>
      </c>
    </row>
    <row r="463" spans="1:3">
      <c r="A463" s="46">
        <v>104223</v>
      </c>
      <c r="B463" s="36" t="s">
        <v>990</v>
      </c>
      <c r="C463" s="36" t="s">
        <v>2077</v>
      </c>
    </row>
    <row r="464" spans="1:3">
      <c r="A464" s="39"/>
      <c r="B464" s="30" t="s">
        <v>521</v>
      </c>
      <c r="C464" s="30" t="s">
        <v>521</v>
      </c>
    </row>
    <row r="465" spans="1:3">
      <c r="A465" s="46">
        <v>104101</v>
      </c>
      <c r="B465" s="36" t="s">
        <v>2346</v>
      </c>
      <c r="C465" s="36" t="s">
        <v>1737</v>
      </c>
    </row>
    <row r="466" spans="1:3">
      <c r="A466" s="46">
        <v>104102</v>
      </c>
      <c r="B466" s="77" t="s">
        <v>2347</v>
      </c>
      <c r="C466" s="77" t="s">
        <v>2078</v>
      </c>
    </row>
    <row r="467" spans="1:3">
      <c r="A467" s="46">
        <v>104103</v>
      </c>
      <c r="B467" s="77" t="s">
        <v>1579</v>
      </c>
      <c r="C467" s="77" t="s">
        <v>2079</v>
      </c>
    </row>
    <row r="468" spans="1:3">
      <c r="A468" s="47">
        <v>104104</v>
      </c>
      <c r="B468" s="37" t="s">
        <v>1580</v>
      </c>
      <c r="C468" s="37" t="s">
        <v>2080</v>
      </c>
    </row>
    <row r="469" spans="1:3">
      <c r="A469" s="47">
        <v>104105</v>
      </c>
      <c r="B469" s="37" t="s">
        <v>1581</v>
      </c>
      <c r="C469" s="37" t="s">
        <v>2081</v>
      </c>
    </row>
    <row r="470" spans="1:3">
      <c r="A470" s="39"/>
      <c r="B470" s="30" t="s">
        <v>522</v>
      </c>
      <c r="C470" s="30" t="s">
        <v>522</v>
      </c>
    </row>
    <row r="471" spans="1:3">
      <c r="A471" s="46">
        <v>105001</v>
      </c>
      <c r="B471" s="36" t="s">
        <v>523</v>
      </c>
      <c r="C471" s="36" t="s">
        <v>2082</v>
      </c>
    </row>
    <row r="472" spans="1:3">
      <c r="A472" s="47">
        <v>105002</v>
      </c>
      <c r="B472" s="37" t="s">
        <v>1582</v>
      </c>
      <c r="C472" s="37" t="s">
        <v>1582</v>
      </c>
    </row>
    <row r="473" spans="1:3">
      <c r="A473" s="47">
        <v>105003</v>
      </c>
      <c r="B473" s="37" t="s">
        <v>524</v>
      </c>
      <c r="C473" s="37" t="s">
        <v>524</v>
      </c>
    </row>
    <row r="474" spans="1:3">
      <c r="A474" s="47">
        <v>105004</v>
      </c>
      <c r="B474" s="37" t="s">
        <v>525</v>
      </c>
      <c r="C474" s="37" t="s">
        <v>525</v>
      </c>
    </row>
    <row r="475" spans="1:3">
      <c r="A475" s="47">
        <v>105005</v>
      </c>
      <c r="B475" s="37" t="s">
        <v>526</v>
      </c>
      <c r="C475" s="37" t="s">
        <v>526</v>
      </c>
    </row>
    <row r="476" spans="1:3">
      <c r="A476" s="39"/>
      <c r="B476" s="30" t="s">
        <v>1583</v>
      </c>
      <c r="C476" s="30" t="s">
        <v>1583</v>
      </c>
    </row>
    <row r="477" spans="1:3">
      <c r="A477" s="39"/>
      <c r="B477" s="30" t="s">
        <v>527</v>
      </c>
      <c r="C477" s="30" t="s">
        <v>527</v>
      </c>
    </row>
    <row r="478" spans="1:3">
      <c r="A478" s="46">
        <v>114000</v>
      </c>
      <c r="B478" s="36" t="s">
        <v>1584</v>
      </c>
      <c r="C478" s="36" t="s">
        <v>1584</v>
      </c>
    </row>
    <row r="479" spans="1:3">
      <c r="A479" s="46">
        <v>114001</v>
      </c>
      <c r="B479" s="36" t="s">
        <v>528</v>
      </c>
      <c r="C479" s="36" t="s">
        <v>2083</v>
      </c>
    </row>
    <row r="480" spans="1:3">
      <c r="A480" s="46">
        <v>114002</v>
      </c>
      <c r="B480" s="36" t="s">
        <v>529</v>
      </c>
      <c r="C480" s="36" t="s">
        <v>2084</v>
      </c>
    </row>
    <row r="481" spans="1:3">
      <c r="A481" s="46">
        <v>114003</v>
      </c>
      <c r="B481" s="36" t="s">
        <v>530</v>
      </c>
      <c r="C481" s="36" t="s">
        <v>2085</v>
      </c>
    </row>
    <row r="482" spans="1:3">
      <c r="A482" s="46">
        <v>114004</v>
      </c>
      <c r="B482" s="36" t="s">
        <v>531</v>
      </c>
      <c r="C482" s="36" t="s">
        <v>2086</v>
      </c>
    </row>
    <row r="483" spans="1:3">
      <c r="A483" s="46">
        <v>114005</v>
      </c>
      <c r="B483" s="36" t="s">
        <v>532</v>
      </c>
      <c r="C483" s="36" t="s">
        <v>2087</v>
      </c>
    </row>
    <row r="484" spans="1:3">
      <c r="A484" s="46">
        <v>114006</v>
      </c>
      <c r="B484" s="36" t="s">
        <v>532</v>
      </c>
      <c r="C484" s="36" t="s">
        <v>2087</v>
      </c>
    </row>
    <row r="485" spans="1:3">
      <c r="A485" s="46">
        <v>114007</v>
      </c>
      <c r="B485" s="36" t="s">
        <v>533</v>
      </c>
      <c r="C485" s="36" t="s">
        <v>2088</v>
      </c>
    </row>
    <row r="486" spans="1:3">
      <c r="A486" s="46">
        <v>114008</v>
      </c>
      <c r="B486" s="36" t="s">
        <v>534</v>
      </c>
      <c r="C486" s="36" t="s">
        <v>2089</v>
      </c>
    </row>
    <row r="487" spans="1:3">
      <c r="A487" s="46">
        <v>114009</v>
      </c>
      <c r="B487" s="36" t="s">
        <v>535</v>
      </c>
      <c r="C487" s="36" t="s">
        <v>2090</v>
      </c>
    </row>
    <row r="488" spans="1:3">
      <c r="A488" s="46">
        <v>114010</v>
      </c>
      <c r="B488" s="36" t="s">
        <v>1585</v>
      </c>
      <c r="C488" s="36" t="s">
        <v>2091</v>
      </c>
    </row>
    <row r="489" spans="1:3">
      <c r="A489" s="46">
        <v>114011</v>
      </c>
      <c r="B489" s="36" t="s">
        <v>536</v>
      </c>
      <c r="C489" s="36" t="s">
        <v>2092</v>
      </c>
    </row>
    <row r="490" spans="1:3">
      <c r="A490" s="46">
        <v>114012</v>
      </c>
      <c r="B490" s="36" t="s">
        <v>537</v>
      </c>
      <c r="C490" s="36" t="s">
        <v>2093</v>
      </c>
    </row>
    <row r="491" spans="1:3">
      <c r="A491" s="39"/>
      <c r="B491" s="30" t="s">
        <v>538</v>
      </c>
      <c r="C491" s="30" t="s">
        <v>538</v>
      </c>
    </row>
    <row r="492" spans="1:3">
      <c r="A492" s="46">
        <v>114021</v>
      </c>
      <c r="B492" s="36" t="s">
        <v>539</v>
      </c>
      <c r="C492" s="36" t="s">
        <v>2094</v>
      </c>
    </row>
    <row r="493" spans="1:3">
      <c r="A493" s="46">
        <v>114022</v>
      </c>
      <c r="B493" s="36" t="s">
        <v>540</v>
      </c>
      <c r="C493" s="36" t="s">
        <v>2095</v>
      </c>
    </row>
    <row r="494" spans="1:3">
      <c r="A494" s="46">
        <v>114023</v>
      </c>
      <c r="B494" s="36" t="s">
        <v>541</v>
      </c>
      <c r="C494" s="36" t="s">
        <v>2096</v>
      </c>
    </row>
    <row r="495" spans="1:3">
      <c r="A495" s="46">
        <v>114024</v>
      </c>
      <c r="B495" s="36" t="s">
        <v>542</v>
      </c>
      <c r="C495" s="36" t="s">
        <v>2097</v>
      </c>
    </row>
    <row r="496" spans="1:3">
      <c r="A496" s="46">
        <v>114025</v>
      </c>
      <c r="B496" s="36" t="s">
        <v>543</v>
      </c>
      <c r="C496" s="36" t="s">
        <v>2098</v>
      </c>
    </row>
    <row r="497" spans="1:3">
      <c r="A497" s="46">
        <v>114026</v>
      </c>
      <c r="B497" s="36" t="s">
        <v>544</v>
      </c>
      <c r="C497" s="36" t="s">
        <v>2099</v>
      </c>
    </row>
    <row r="498" spans="1:3">
      <c r="A498" s="39"/>
      <c r="B498" s="30" t="s">
        <v>545</v>
      </c>
      <c r="C498" s="30" t="s">
        <v>545</v>
      </c>
    </row>
    <row r="499" spans="1:3">
      <c r="A499" s="46">
        <v>114031</v>
      </c>
      <c r="B499" s="36" t="s">
        <v>546</v>
      </c>
      <c r="C499" s="36" t="s">
        <v>2100</v>
      </c>
    </row>
    <row r="500" spans="1:3">
      <c r="A500" s="46">
        <v>114032</v>
      </c>
      <c r="B500" s="36" t="s">
        <v>547</v>
      </c>
      <c r="C500" s="36" t="s">
        <v>2101</v>
      </c>
    </row>
    <row r="501" spans="1:3">
      <c r="A501" s="46">
        <v>114033</v>
      </c>
      <c r="B501" s="36" t="s">
        <v>548</v>
      </c>
      <c r="C501" s="36" t="s">
        <v>2102</v>
      </c>
    </row>
    <row r="502" spans="1:3">
      <c r="A502" s="46">
        <v>114034</v>
      </c>
      <c r="B502" s="36" t="s">
        <v>549</v>
      </c>
      <c r="C502" s="36" t="s">
        <v>2103</v>
      </c>
    </row>
    <row r="503" spans="1:3">
      <c r="A503" s="46">
        <v>114035</v>
      </c>
      <c r="B503" s="36" t="s">
        <v>550</v>
      </c>
      <c r="C503" s="36" t="s">
        <v>2104</v>
      </c>
    </row>
    <row r="504" spans="1:3">
      <c r="A504" s="46">
        <v>114036</v>
      </c>
      <c r="B504" s="36" t="s">
        <v>551</v>
      </c>
      <c r="C504" s="36" t="s">
        <v>2105</v>
      </c>
    </row>
    <row r="505" spans="1:3">
      <c r="A505" s="39"/>
      <c r="B505" s="30" t="s">
        <v>552</v>
      </c>
      <c r="C505" s="30" t="s">
        <v>552</v>
      </c>
    </row>
    <row r="506" spans="1:3">
      <c r="A506" s="46">
        <v>114041</v>
      </c>
      <c r="B506" s="36" t="s">
        <v>553</v>
      </c>
      <c r="C506" s="36" t="s">
        <v>2106</v>
      </c>
    </row>
    <row r="507" spans="1:3">
      <c r="A507" s="46">
        <v>114042</v>
      </c>
      <c r="B507" s="36" t="s">
        <v>554</v>
      </c>
      <c r="C507" s="36" t="s">
        <v>2107</v>
      </c>
    </row>
    <row r="508" spans="1:3">
      <c r="A508" s="46">
        <v>114043</v>
      </c>
      <c r="B508" s="36" t="s">
        <v>555</v>
      </c>
      <c r="C508" s="36" t="s">
        <v>2108</v>
      </c>
    </row>
    <row r="509" spans="1:3">
      <c r="A509" s="46">
        <v>114044</v>
      </c>
      <c r="B509" s="36" t="s">
        <v>556</v>
      </c>
      <c r="C509" s="36" t="s">
        <v>2109</v>
      </c>
    </row>
    <row r="510" spans="1:3">
      <c r="A510" s="46">
        <v>114045</v>
      </c>
      <c r="B510" s="36" t="s">
        <v>557</v>
      </c>
      <c r="C510" s="36" t="s">
        <v>2110</v>
      </c>
    </row>
    <row r="511" spans="1:3">
      <c r="A511" s="46">
        <v>114046</v>
      </c>
      <c r="B511" s="36" t="s">
        <v>558</v>
      </c>
      <c r="C511" s="36" t="s">
        <v>2111</v>
      </c>
    </row>
    <row r="512" spans="1:3">
      <c r="A512" s="39"/>
      <c r="B512" s="30" t="s">
        <v>559</v>
      </c>
      <c r="C512" s="30" t="s">
        <v>559</v>
      </c>
    </row>
    <row r="513" spans="1:3">
      <c r="A513" s="46">
        <v>114051</v>
      </c>
      <c r="B513" s="36" t="s">
        <v>560</v>
      </c>
      <c r="C513" s="36" t="s">
        <v>2112</v>
      </c>
    </row>
    <row r="514" spans="1:3">
      <c r="A514" s="46">
        <v>114052</v>
      </c>
      <c r="B514" s="36" t="s">
        <v>535</v>
      </c>
      <c r="C514" s="36" t="s">
        <v>2090</v>
      </c>
    </row>
    <row r="515" spans="1:3">
      <c r="A515" s="46">
        <v>114053</v>
      </c>
      <c r="B515" s="36" t="s">
        <v>561</v>
      </c>
      <c r="C515" s="36" t="s">
        <v>2113</v>
      </c>
    </row>
    <row r="516" spans="1:3">
      <c r="A516" s="46">
        <v>114054</v>
      </c>
      <c r="B516" s="36" t="s">
        <v>536</v>
      </c>
      <c r="C516" s="36" t="s">
        <v>2092</v>
      </c>
    </row>
    <row r="517" spans="1:3">
      <c r="A517" s="46">
        <v>114055</v>
      </c>
      <c r="B517" s="36" t="s">
        <v>562</v>
      </c>
      <c r="C517" s="36" t="s">
        <v>2114</v>
      </c>
    </row>
    <row r="518" spans="1:3">
      <c r="A518" s="46">
        <v>114056</v>
      </c>
      <c r="B518" s="36" t="s">
        <v>563</v>
      </c>
      <c r="C518" s="36" t="s">
        <v>2115</v>
      </c>
    </row>
    <row r="519" spans="1:3">
      <c r="A519" s="39"/>
      <c r="B519" s="30" t="s">
        <v>564</v>
      </c>
      <c r="C519" s="30" t="s">
        <v>564</v>
      </c>
    </row>
    <row r="520" spans="1:3">
      <c r="A520" s="46">
        <v>210101</v>
      </c>
      <c r="B520" s="36" t="str">
        <f>R520&amp;"契約書"&amp;S520&amp;")"</f>
        <v>契約書)</v>
      </c>
      <c r="C520" s="36" t="s">
        <v>2116</v>
      </c>
    </row>
    <row r="521" spans="1:3">
      <c r="A521" s="46">
        <v>210102</v>
      </c>
      <c r="B521" s="36" t="str">
        <f>R521&amp;"契約書"&amp;S521&amp;")"</f>
        <v>契約書)</v>
      </c>
      <c r="C521" s="36" t="s">
        <v>2117</v>
      </c>
    </row>
    <row r="522" spans="1:3">
      <c r="A522" s="46">
        <v>210201</v>
      </c>
      <c r="B522" s="36" t="str">
        <f t="shared" ref="B522:B529" si="0">R522&amp;"契約書"&amp;S522&amp;")"</f>
        <v>契約書)</v>
      </c>
      <c r="C522" s="36" t="s">
        <v>2118</v>
      </c>
    </row>
    <row r="523" spans="1:3">
      <c r="A523" s="46">
        <v>210202</v>
      </c>
      <c r="B523" s="36" t="str">
        <f t="shared" si="0"/>
        <v>契約書)</v>
      </c>
      <c r="C523" s="36" t="s">
        <v>2119</v>
      </c>
    </row>
    <row r="524" spans="1:3">
      <c r="A524" s="46">
        <v>210301</v>
      </c>
      <c r="B524" s="36" t="str">
        <f t="shared" si="0"/>
        <v>契約書)</v>
      </c>
      <c r="C524" s="36" t="s">
        <v>2120</v>
      </c>
    </row>
    <row r="525" spans="1:3">
      <c r="A525" s="46">
        <v>210302</v>
      </c>
      <c r="B525" s="36" t="str">
        <f t="shared" si="0"/>
        <v>契約書)</v>
      </c>
      <c r="C525" s="36" t="s">
        <v>2121</v>
      </c>
    </row>
    <row r="526" spans="1:3">
      <c r="A526" s="46">
        <v>210401</v>
      </c>
      <c r="B526" s="36" t="str">
        <f t="shared" si="0"/>
        <v>契約書)</v>
      </c>
      <c r="C526" s="36" t="s">
        <v>2122</v>
      </c>
    </row>
    <row r="527" spans="1:3">
      <c r="A527" s="46">
        <v>210402</v>
      </c>
      <c r="B527" s="36" t="str">
        <f t="shared" si="0"/>
        <v>契約書)</v>
      </c>
      <c r="C527" s="36" t="s">
        <v>2123</v>
      </c>
    </row>
    <row r="528" spans="1:3">
      <c r="A528" s="46">
        <v>210501</v>
      </c>
      <c r="B528" s="36" t="str">
        <f t="shared" si="0"/>
        <v>契約書)</v>
      </c>
      <c r="C528" s="36" t="s">
        <v>2124</v>
      </c>
    </row>
    <row r="529" spans="1:3">
      <c r="A529" s="46">
        <v>210502</v>
      </c>
      <c r="B529" s="36" t="str">
        <f t="shared" si="0"/>
        <v>契約書)</v>
      </c>
      <c r="C529" s="36" t="s">
        <v>2125</v>
      </c>
    </row>
    <row r="530" spans="1:3">
      <c r="A530" s="46">
        <v>210601</v>
      </c>
      <c r="B530" s="36" t="str">
        <f>R530&amp;"契約書(N)"</f>
        <v>契約書(N)</v>
      </c>
      <c r="C530" s="36" t="str">
        <f>Q530&amp;"契約書(N)"</f>
        <v>契約書(N)</v>
      </c>
    </row>
    <row r="531" spans="1:3">
      <c r="A531" s="46">
        <v>210701</v>
      </c>
      <c r="B531" s="36" t="str">
        <f t="shared" ref="B531:B569" si="1">R531&amp;"契約書(N)"</f>
        <v>契約書(N)</v>
      </c>
      <c r="C531" s="36" t="str">
        <f t="shared" ref="C531:C569" si="2">Q531&amp;"契約書(N)"</f>
        <v>契約書(N)</v>
      </c>
    </row>
    <row r="532" spans="1:3">
      <c r="A532" s="46">
        <v>210801</v>
      </c>
      <c r="B532" s="36" t="str">
        <f t="shared" si="1"/>
        <v>契約書(N)</v>
      </c>
      <c r="C532" s="36" t="str">
        <f t="shared" si="2"/>
        <v>契約書(N)</v>
      </c>
    </row>
    <row r="533" spans="1:3">
      <c r="A533" s="46">
        <v>210901</v>
      </c>
      <c r="B533" s="36" t="str">
        <f t="shared" si="1"/>
        <v>契約書(N)</v>
      </c>
      <c r="C533" s="36" t="str">
        <f t="shared" si="2"/>
        <v>契約書(N)</v>
      </c>
    </row>
    <row r="534" spans="1:3">
      <c r="A534" s="46">
        <v>211001</v>
      </c>
      <c r="B534" s="36" t="str">
        <f t="shared" si="1"/>
        <v>契約書(N)</v>
      </c>
      <c r="C534" s="36" t="str">
        <f t="shared" si="2"/>
        <v>契約書(N)</v>
      </c>
    </row>
    <row r="535" spans="1:3">
      <c r="A535" s="46">
        <v>211101</v>
      </c>
      <c r="B535" s="36" t="str">
        <f t="shared" si="1"/>
        <v>契約書(N)</v>
      </c>
      <c r="C535" s="36" t="str">
        <f t="shared" si="2"/>
        <v>契約書(N)</v>
      </c>
    </row>
    <row r="536" spans="1:3">
      <c r="A536" s="46">
        <v>211201</v>
      </c>
      <c r="B536" s="36" t="str">
        <f t="shared" si="1"/>
        <v>契約書(N)</v>
      </c>
      <c r="C536" s="36" t="str">
        <f t="shared" si="2"/>
        <v>契約書(N)</v>
      </c>
    </row>
    <row r="537" spans="1:3">
      <c r="A537" s="46">
        <v>211301</v>
      </c>
      <c r="B537" s="36" t="str">
        <f t="shared" si="1"/>
        <v>契約書(N)</v>
      </c>
      <c r="C537" s="36" t="str">
        <f t="shared" si="2"/>
        <v>契約書(N)</v>
      </c>
    </row>
    <row r="538" spans="1:3">
      <c r="A538" s="46">
        <v>211401</v>
      </c>
      <c r="B538" s="36" t="str">
        <f t="shared" si="1"/>
        <v>契約書(N)</v>
      </c>
      <c r="C538" s="36" t="str">
        <f t="shared" si="2"/>
        <v>契約書(N)</v>
      </c>
    </row>
    <row r="539" spans="1:3">
      <c r="A539" s="46">
        <v>211501</v>
      </c>
      <c r="B539" s="36" t="str">
        <f t="shared" si="1"/>
        <v>契約書(N)</v>
      </c>
      <c r="C539" s="36" t="str">
        <f t="shared" si="2"/>
        <v>契約書(N)</v>
      </c>
    </row>
    <row r="540" spans="1:3">
      <c r="A540" s="46">
        <v>211601</v>
      </c>
      <c r="B540" s="36" t="str">
        <f t="shared" si="1"/>
        <v>契約書(N)</v>
      </c>
      <c r="C540" s="36" t="str">
        <f t="shared" si="2"/>
        <v>契約書(N)</v>
      </c>
    </row>
    <row r="541" spans="1:3">
      <c r="A541" s="46">
        <v>211701</v>
      </c>
      <c r="B541" s="36" t="str">
        <f t="shared" si="1"/>
        <v>契約書(N)</v>
      </c>
      <c r="C541" s="36" t="str">
        <f t="shared" si="2"/>
        <v>契約書(N)</v>
      </c>
    </row>
    <row r="542" spans="1:3">
      <c r="A542" s="46">
        <v>211801</v>
      </c>
      <c r="B542" s="36" t="str">
        <f t="shared" si="1"/>
        <v>契約書(N)</v>
      </c>
      <c r="C542" s="36" t="str">
        <f t="shared" si="2"/>
        <v>契約書(N)</v>
      </c>
    </row>
    <row r="543" spans="1:3">
      <c r="A543" s="46">
        <v>211901</v>
      </c>
      <c r="B543" s="36" t="str">
        <f t="shared" si="1"/>
        <v>契約書(N)</v>
      </c>
      <c r="C543" s="36" t="str">
        <f t="shared" si="2"/>
        <v>契約書(N)</v>
      </c>
    </row>
    <row r="544" spans="1:3">
      <c r="A544" s="46">
        <v>212001</v>
      </c>
      <c r="B544" s="36" t="str">
        <f t="shared" si="1"/>
        <v>契約書(N)</v>
      </c>
      <c r="C544" s="36" t="str">
        <f t="shared" si="2"/>
        <v>契約書(N)</v>
      </c>
    </row>
    <row r="545" spans="1:3">
      <c r="A545" s="46">
        <v>212101</v>
      </c>
      <c r="B545" s="36" t="str">
        <f t="shared" si="1"/>
        <v>契約書(N)</v>
      </c>
      <c r="C545" s="36" t="str">
        <f t="shared" si="2"/>
        <v>契約書(N)</v>
      </c>
    </row>
    <row r="546" spans="1:3">
      <c r="A546" s="46">
        <v>212201</v>
      </c>
      <c r="B546" s="36" t="str">
        <f t="shared" si="1"/>
        <v>契約書(N)</v>
      </c>
      <c r="C546" s="36" t="str">
        <f t="shared" si="2"/>
        <v>契約書(N)</v>
      </c>
    </row>
    <row r="547" spans="1:3">
      <c r="A547" s="46">
        <v>230101</v>
      </c>
      <c r="B547" s="36" t="str">
        <f t="shared" si="1"/>
        <v>契約書(N)</v>
      </c>
      <c r="C547" s="36" t="str">
        <f t="shared" si="2"/>
        <v>契約書(N)</v>
      </c>
    </row>
    <row r="548" spans="1:3">
      <c r="A548" s="46">
        <v>230201</v>
      </c>
      <c r="B548" s="36" t="str">
        <f t="shared" si="1"/>
        <v>契約書(N)</v>
      </c>
      <c r="C548" s="36" t="str">
        <f t="shared" si="2"/>
        <v>契約書(N)</v>
      </c>
    </row>
    <row r="549" spans="1:3">
      <c r="A549" s="46">
        <v>230301</v>
      </c>
      <c r="B549" s="36" t="str">
        <f t="shared" si="1"/>
        <v>契約書(N)</v>
      </c>
      <c r="C549" s="36" t="str">
        <f t="shared" si="2"/>
        <v>契約書(N)</v>
      </c>
    </row>
    <row r="550" spans="1:3">
      <c r="A550" s="46">
        <v>230401</v>
      </c>
      <c r="B550" s="36" t="str">
        <f t="shared" si="1"/>
        <v>契約書(N)</v>
      </c>
      <c r="C550" s="36" t="str">
        <f t="shared" si="2"/>
        <v>契約書(N)</v>
      </c>
    </row>
    <row r="551" spans="1:3">
      <c r="A551" s="46">
        <v>230501</v>
      </c>
      <c r="B551" s="36" t="str">
        <f t="shared" si="1"/>
        <v>契約書(N)</v>
      </c>
      <c r="C551" s="36" t="str">
        <f t="shared" si="2"/>
        <v>契約書(N)</v>
      </c>
    </row>
    <row r="552" spans="1:3">
      <c r="A552" s="46">
        <v>230601</v>
      </c>
      <c r="B552" s="36" t="str">
        <f t="shared" si="1"/>
        <v>契約書(N)</v>
      </c>
      <c r="C552" s="36" t="str">
        <f t="shared" si="2"/>
        <v>契約書(N)</v>
      </c>
    </row>
    <row r="553" spans="1:3">
      <c r="A553" s="46">
        <v>230701</v>
      </c>
      <c r="B553" s="36" t="str">
        <f t="shared" si="1"/>
        <v>契約書(N)</v>
      </c>
      <c r="C553" s="36" t="str">
        <f t="shared" si="2"/>
        <v>契約書(N)</v>
      </c>
    </row>
    <row r="554" spans="1:3">
      <c r="A554" s="46">
        <v>230801</v>
      </c>
      <c r="B554" s="36" t="str">
        <f t="shared" si="1"/>
        <v>契約書(N)</v>
      </c>
      <c r="C554" s="36" t="str">
        <f t="shared" si="2"/>
        <v>契約書(N)</v>
      </c>
    </row>
    <row r="555" spans="1:3">
      <c r="A555" s="46">
        <v>230901</v>
      </c>
      <c r="B555" s="36" t="str">
        <f t="shared" si="1"/>
        <v>契約書(N)</v>
      </c>
      <c r="C555" s="36" t="str">
        <f t="shared" si="2"/>
        <v>契約書(N)</v>
      </c>
    </row>
    <row r="556" spans="1:3">
      <c r="A556" s="46">
        <v>231001</v>
      </c>
      <c r="B556" s="36" t="str">
        <f t="shared" si="1"/>
        <v>契約書(N)</v>
      </c>
      <c r="C556" s="36" t="str">
        <f t="shared" si="2"/>
        <v>契約書(N)</v>
      </c>
    </row>
    <row r="557" spans="1:3">
      <c r="A557" s="46">
        <v>231101</v>
      </c>
      <c r="B557" s="36" t="str">
        <f t="shared" si="1"/>
        <v>契約書(N)</v>
      </c>
      <c r="C557" s="36" t="str">
        <f t="shared" si="2"/>
        <v>契約書(N)</v>
      </c>
    </row>
    <row r="558" spans="1:3">
      <c r="A558" s="46">
        <v>231201</v>
      </c>
      <c r="B558" s="36" t="str">
        <f t="shared" si="1"/>
        <v>契約書(N)</v>
      </c>
      <c r="C558" s="36" t="str">
        <f t="shared" si="2"/>
        <v>契約書(N)</v>
      </c>
    </row>
    <row r="559" spans="1:3">
      <c r="A559" s="46">
        <v>231301</v>
      </c>
      <c r="B559" s="36" t="str">
        <f t="shared" si="1"/>
        <v>契約書(N)</v>
      </c>
      <c r="C559" s="36" t="str">
        <f t="shared" si="2"/>
        <v>契約書(N)</v>
      </c>
    </row>
    <row r="560" spans="1:3">
      <c r="A560" s="46">
        <v>231401</v>
      </c>
      <c r="B560" s="36" t="str">
        <f t="shared" si="1"/>
        <v>契約書(N)</v>
      </c>
      <c r="C560" s="36" t="str">
        <f t="shared" si="2"/>
        <v>契約書(N)</v>
      </c>
    </row>
    <row r="561" spans="1:3">
      <c r="A561" s="46">
        <v>231501</v>
      </c>
      <c r="B561" s="36" t="str">
        <f t="shared" si="1"/>
        <v>契約書(N)</v>
      </c>
      <c r="C561" s="36" t="str">
        <f t="shared" si="2"/>
        <v>契約書(N)</v>
      </c>
    </row>
    <row r="562" spans="1:3">
      <c r="A562" s="46">
        <v>231601</v>
      </c>
      <c r="B562" s="36" t="str">
        <f t="shared" si="1"/>
        <v>契約書(N)</v>
      </c>
      <c r="C562" s="36" t="str">
        <f t="shared" si="2"/>
        <v>契約書(N)</v>
      </c>
    </row>
    <row r="563" spans="1:3">
      <c r="A563" s="46">
        <v>231701</v>
      </c>
      <c r="B563" s="36" t="str">
        <f t="shared" si="1"/>
        <v>契約書(N)</v>
      </c>
      <c r="C563" s="36" t="str">
        <f t="shared" si="2"/>
        <v>契約書(N)</v>
      </c>
    </row>
    <row r="564" spans="1:3">
      <c r="A564" s="46">
        <v>231801</v>
      </c>
      <c r="B564" s="36" t="str">
        <f t="shared" si="1"/>
        <v>契約書(N)</v>
      </c>
      <c r="C564" s="36" t="str">
        <f t="shared" si="2"/>
        <v>契約書(N)</v>
      </c>
    </row>
    <row r="565" spans="1:3">
      <c r="A565" s="46">
        <v>231901</v>
      </c>
      <c r="B565" s="36" t="str">
        <f t="shared" si="1"/>
        <v>契約書(N)</v>
      </c>
      <c r="C565" s="36" t="str">
        <f t="shared" si="2"/>
        <v>契約書(N)</v>
      </c>
    </row>
    <row r="566" spans="1:3">
      <c r="A566" s="46">
        <v>232001</v>
      </c>
      <c r="B566" s="36" t="str">
        <f t="shared" si="1"/>
        <v>契約書(N)</v>
      </c>
      <c r="C566" s="36" t="str">
        <f t="shared" si="2"/>
        <v>契約書(N)</v>
      </c>
    </row>
    <row r="567" spans="1:3">
      <c r="A567" s="46">
        <v>232101</v>
      </c>
      <c r="B567" s="36" t="str">
        <f t="shared" si="1"/>
        <v>契約書(N)</v>
      </c>
      <c r="C567" s="36" t="str">
        <f t="shared" si="2"/>
        <v>契約書(N)</v>
      </c>
    </row>
    <row r="568" spans="1:3">
      <c r="A568" s="46">
        <v>232201</v>
      </c>
      <c r="B568" s="36" t="str">
        <f t="shared" si="1"/>
        <v>契約書(N)</v>
      </c>
      <c r="C568" s="36" t="str">
        <f t="shared" si="2"/>
        <v>契約書(N)</v>
      </c>
    </row>
    <row r="569" spans="1:3">
      <c r="A569" s="46">
        <v>232301</v>
      </c>
      <c r="B569" s="36" t="str">
        <f t="shared" si="1"/>
        <v>契約書(N)</v>
      </c>
      <c r="C569" s="36" t="str">
        <f t="shared" si="2"/>
        <v>契約書(N)</v>
      </c>
    </row>
    <row r="570" spans="1:3">
      <c r="A570" s="39"/>
      <c r="B570" s="30" t="s">
        <v>1587</v>
      </c>
      <c r="C570" s="30" t="s">
        <v>1586</v>
      </c>
    </row>
    <row r="571" spans="1:3">
      <c r="A571" s="46">
        <v>310101</v>
      </c>
      <c r="B571" s="63" t="s">
        <v>1588</v>
      </c>
      <c r="C571" s="63" t="s">
        <v>2126</v>
      </c>
    </row>
    <row r="572" spans="1:3">
      <c r="A572" s="46">
        <v>310102</v>
      </c>
      <c r="B572" s="63" t="s">
        <v>1589</v>
      </c>
      <c r="C572" s="63" t="s">
        <v>2127</v>
      </c>
    </row>
    <row r="573" spans="1:3">
      <c r="A573" s="46">
        <v>310103</v>
      </c>
      <c r="B573" s="63" t="s">
        <v>1590</v>
      </c>
      <c r="C573" s="63" t="s">
        <v>2128</v>
      </c>
    </row>
    <row r="574" spans="1:3">
      <c r="A574" s="46">
        <v>310201</v>
      </c>
      <c r="B574" s="63" t="s">
        <v>1591</v>
      </c>
      <c r="C574" s="63" t="s">
        <v>2129</v>
      </c>
    </row>
    <row r="575" spans="1:3">
      <c r="A575" s="46">
        <v>310202</v>
      </c>
      <c r="B575" s="63" t="s">
        <v>1592</v>
      </c>
      <c r="C575" s="63" t="s">
        <v>2130</v>
      </c>
    </row>
    <row r="576" spans="1:3">
      <c r="A576" s="46">
        <v>310203</v>
      </c>
      <c r="B576" s="63" t="s">
        <v>1593</v>
      </c>
      <c r="C576" s="63" t="s">
        <v>2131</v>
      </c>
    </row>
    <row r="577" spans="1:3">
      <c r="A577" s="46">
        <v>310301</v>
      </c>
      <c r="B577" s="63" t="s">
        <v>1594</v>
      </c>
      <c r="C577" s="63" t="s">
        <v>2132</v>
      </c>
    </row>
    <row r="578" spans="1:3">
      <c r="A578" s="46">
        <v>310302</v>
      </c>
      <c r="B578" s="63" t="s">
        <v>1595</v>
      </c>
      <c r="C578" s="63" t="s">
        <v>2133</v>
      </c>
    </row>
    <row r="579" spans="1:3">
      <c r="A579" s="46">
        <v>310303</v>
      </c>
      <c r="B579" s="63" t="s">
        <v>1596</v>
      </c>
      <c r="C579" s="63" t="s">
        <v>2134</v>
      </c>
    </row>
    <row r="580" spans="1:3">
      <c r="A580" s="46">
        <v>310401</v>
      </c>
      <c r="B580" s="63" t="s">
        <v>1597</v>
      </c>
      <c r="C580" s="63" t="s">
        <v>2135</v>
      </c>
    </row>
    <row r="581" spans="1:3">
      <c r="A581" s="46">
        <v>310402</v>
      </c>
      <c r="B581" s="63" t="s">
        <v>1598</v>
      </c>
      <c r="C581" s="63" t="s">
        <v>2136</v>
      </c>
    </row>
    <row r="582" spans="1:3">
      <c r="A582" s="46">
        <v>310403</v>
      </c>
      <c r="B582" s="63" t="s">
        <v>1599</v>
      </c>
      <c r="C582" s="63" t="s">
        <v>2137</v>
      </c>
    </row>
    <row r="583" spans="1:3">
      <c r="A583" s="46">
        <v>310501</v>
      </c>
      <c r="B583" s="63" t="s">
        <v>1600</v>
      </c>
      <c r="C583" s="63" t="s">
        <v>2138</v>
      </c>
    </row>
    <row r="584" spans="1:3">
      <c r="A584" s="46">
        <v>310502</v>
      </c>
      <c r="B584" s="63" t="s">
        <v>1601</v>
      </c>
      <c r="C584" s="63" t="s">
        <v>2139</v>
      </c>
    </row>
    <row r="585" spans="1:3">
      <c r="A585" s="46">
        <v>310503</v>
      </c>
      <c r="B585" s="63" t="s">
        <v>1602</v>
      </c>
      <c r="C585" s="63" t="s">
        <v>2140</v>
      </c>
    </row>
    <row r="586" spans="1:3">
      <c r="A586" s="46">
        <v>310601</v>
      </c>
      <c r="B586" s="63" t="s">
        <v>1603</v>
      </c>
      <c r="C586" s="63" t="s">
        <v>2141</v>
      </c>
    </row>
    <row r="587" spans="1:3">
      <c r="A587" s="46">
        <v>310602</v>
      </c>
      <c r="B587" s="63" t="s">
        <v>1604</v>
      </c>
      <c r="C587" s="63" t="s">
        <v>2142</v>
      </c>
    </row>
    <row r="588" spans="1:3">
      <c r="A588" s="46">
        <v>310603</v>
      </c>
      <c r="B588" s="63" t="s">
        <v>1605</v>
      </c>
      <c r="C588" s="63" t="s">
        <v>2143</v>
      </c>
    </row>
    <row r="589" spans="1:3">
      <c r="A589" s="46">
        <v>310701</v>
      </c>
      <c r="B589" s="63" t="s">
        <v>1606</v>
      </c>
      <c r="C589" s="63" t="s">
        <v>2144</v>
      </c>
    </row>
    <row r="590" spans="1:3">
      <c r="A590" s="46">
        <v>310702</v>
      </c>
      <c r="B590" s="63" t="s">
        <v>1607</v>
      </c>
      <c r="C590" s="63" t="s">
        <v>2145</v>
      </c>
    </row>
    <row r="591" spans="1:3">
      <c r="A591" s="46">
        <v>310703</v>
      </c>
      <c r="B591" s="63" t="s">
        <v>1608</v>
      </c>
      <c r="C591" s="63" t="s">
        <v>2146</v>
      </c>
    </row>
    <row r="592" spans="1:3">
      <c r="A592" s="46">
        <v>310801</v>
      </c>
      <c r="B592" s="63" t="s">
        <v>1609</v>
      </c>
      <c r="C592" s="63" t="s">
        <v>2147</v>
      </c>
    </row>
    <row r="593" spans="1:3">
      <c r="A593" s="46">
        <v>310802</v>
      </c>
      <c r="B593" s="63" t="s">
        <v>1610</v>
      </c>
      <c r="C593" s="63" t="s">
        <v>2148</v>
      </c>
    </row>
    <row r="594" spans="1:3">
      <c r="A594" s="46">
        <v>310803</v>
      </c>
      <c r="B594" s="63" t="s">
        <v>1611</v>
      </c>
      <c r="C594" s="63" t="s">
        <v>2149</v>
      </c>
    </row>
    <row r="595" spans="1:3">
      <c r="A595" s="46">
        <v>310901</v>
      </c>
      <c r="B595" s="63" t="s">
        <v>1612</v>
      </c>
      <c r="C595" s="63" t="s">
        <v>2150</v>
      </c>
    </row>
    <row r="596" spans="1:3">
      <c r="A596" s="46">
        <v>310902</v>
      </c>
      <c r="B596" s="63" t="s">
        <v>1613</v>
      </c>
      <c r="C596" s="63" t="s">
        <v>2151</v>
      </c>
    </row>
    <row r="597" spans="1:3">
      <c r="A597" s="46">
        <v>310903</v>
      </c>
      <c r="B597" s="63" t="s">
        <v>1614</v>
      </c>
      <c r="C597" s="63" t="s">
        <v>2152</v>
      </c>
    </row>
    <row r="598" spans="1:3">
      <c r="A598" s="46">
        <v>311001</v>
      </c>
      <c r="B598" s="63" t="s">
        <v>1615</v>
      </c>
      <c r="C598" s="63" t="s">
        <v>2153</v>
      </c>
    </row>
    <row r="599" spans="1:3">
      <c r="A599" s="46">
        <v>311002</v>
      </c>
      <c r="B599" s="63" t="s">
        <v>1616</v>
      </c>
      <c r="C599" s="63" t="s">
        <v>2154</v>
      </c>
    </row>
    <row r="600" spans="1:3">
      <c r="A600" s="46">
        <v>311003</v>
      </c>
      <c r="B600" s="63" t="s">
        <v>1617</v>
      </c>
      <c r="C600" s="63" t="s">
        <v>2155</v>
      </c>
    </row>
    <row r="601" spans="1:3">
      <c r="A601" s="46">
        <v>311101</v>
      </c>
      <c r="B601" s="63" t="s">
        <v>1618</v>
      </c>
      <c r="C601" s="63" t="s">
        <v>2156</v>
      </c>
    </row>
    <row r="602" spans="1:3">
      <c r="A602" s="46">
        <v>311102</v>
      </c>
      <c r="B602" s="63" t="s">
        <v>1619</v>
      </c>
      <c r="C602" s="63" t="s">
        <v>2157</v>
      </c>
    </row>
    <row r="603" spans="1:3">
      <c r="A603" s="46">
        <v>311103</v>
      </c>
      <c r="B603" s="63" t="s">
        <v>1620</v>
      </c>
      <c r="C603" s="63" t="s">
        <v>2158</v>
      </c>
    </row>
    <row r="604" spans="1:3">
      <c r="A604" s="46">
        <v>311201</v>
      </c>
      <c r="B604" s="63" t="s">
        <v>1621</v>
      </c>
      <c r="C604" s="63" t="s">
        <v>2159</v>
      </c>
    </row>
    <row r="605" spans="1:3">
      <c r="A605" s="46">
        <v>311202</v>
      </c>
      <c r="B605" s="63" t="s">
        <v>1622</v>
      </c>
      <c r="C605" s="63" t="s">
        <v>2160</v>
      </c>
    </row>
    <row r="606" spans="1:3">
      <c r="A606" s="46">
        <v>311203</v>
      </c>
      <c r="B606" s="63" t="s">
        <v>1623</v>
      </c>
      <c r="C606" s="63" t="s">
        <v>2161</v>
      </c>
    </row>
    <row r="607" spans="1:3">
      <c r="A607" s="46">
        <v>311301</v>
      </c>
      <c r="B607" s="63" t="s">
        <v>1624</v>
      </c>
      <c r="C607" s="63" t="s">
        <v>2162</v>
      </c>
    </row>
    <row r="608" spans="1:3">
      <c r="A608" s="46">
        <v>311302</v>
      </c>
      <c r="B608" s="63" t="s">
        <v>1625</v>
      </c>
      <c r="C608" s="63" t="s">
        <v>2163</v>
      </c>
    </row>
    <row r="609" spans="1:3">
      <c r="A609" s="46">
        <v>311303</v>
      </c>
      <c r="B609" s="63" t="s">
        <v>1626</v>
      </c>
      <c r="C609" s="63" t="s">
        <v>2164</v>
      </c>
    </row>
    <row r="610" spans="1:3">
      <c r="A610" s="46">
        <v>311401</v>
      </c>
      <c r="B610" s="63" t="s">
        <v>1627</v>
      </c>
      <c r="C610" s="63" t="s">
        <v>2165</v>
      </c>
    </row>
    <row r="611" spans="1:3">
      <c r="A611" s="46">
        <v>311402</v>
      </c>
      <c r="B611" s="63" t="s">
        <v>1628</v>
      </c>
      <c r="C611" s="63" t="s">
        <v>2166</v>
      </c>
    </row>
    <row r="612" spans="1:3">
      <c r="A612" s="46">
        <v>311403</v>
      </c>
      <c r="B612" s="63" t="s">
        <v>1629</v>
      </c>
      <c r="C612" s="63" t="s">
        <v>2167</v>
      </c>
    </row>
    <row r="613" spans="1:3">
      <c r="A613" s="46">
        <v>311501</v>
      </c>
      <c r="B613" s="63" t="s">
        <v>1630</v>
      </c>
      <c r="C613" s="63" t="s">
        <v>2168</v>
      </c>
    </row>
    <row r="614" spans="1:3">
      <c r="A614" s="46">
        <v>311502</v>
      </c>
      <c r="B614" s="63" t="s">
        <v>1631</v>
      </c>
      <c r="C614" s="63" t="s">
        <v>2169</v>
      </c>
    </row>
    <row r="615" spans="1:3">
      <c r="A615" s="46">
        <v>311503</v>
      </c>
      <c r="B615" s="63" t="s">
        <v>1632</v>
      </c>
      <c r="C615" s="63" t="s">
        <v>2170</v>
      </c>
    </row>
    <row r="616" spans="1:3">
      <c r="A616" s="46">
        <v>311601</v>
      </c>
      <c r="B616" s="63" t="s">
        <v>1633</v>
      </c>
      <c r="C616" s="63" t="s">
        <v>2171</v>
      </c>
    </row>
    <row r="617" spans="1:3">
      <c r="A617" s="46">
        <v>311602</v>
      </c>
      <c r="B617" s="63" t="s">
        <v>1634</v>
      </c>
      <c r="C617" s="63" t="s">
        <v>2172</v>
      </c>
    </row>
    <row r="618" spans="1:3">
      <c r="A618" s="46">
        <v>311603</v>
      </c>
      <c r="B618" s="63" t="s">
        <v>1635</v>
      </c>
      <c r="C618" s="63" t="s">
        <v>2173</v>
      </c>
    </row>
    <row r="619" spans="1:3">
      <c r="A619" s="46">
        <v>311701</v>
      </c>
      <c r="B619" s="63" t="s">
        <v>1636</v>
      </c>
      <c r="C619" s="63" t="s">
        <v>2174</v>
      </c>
    </row>
    <row r="620" spans="1:3">
      <c r="A620" s="46">
        <v>311702</v>
      </c>
      <c r="B620" s="63" t="s">
        <v>1637</v>
      </c>
      <c r="C620" s="63" t="s">
        <v>2175</v>
      </c>
    </row>
    <row r="621" spans="1:3">
      <c r="A621" s="46">
        <v>311703</v>
      </c>
      <c r="B621" s="63" t="s">
        <v>1638</v>
      </c>
      <c r="C621" s="63" t="s">
        <v>2176</v>
      </c>
    </row>
    <row r="622" spans="1:3">
      <c r="A622" s="46">
        <v>311801</v>
      </c>
      <c r="B622" s="63" t="s">
        <v>1639</v>
      </c>
      <c r="C622" s="63" t="s">
        <v>2177</v>
      </c>
    </row>
    <row r="623" spans="1:3">
      <c r="A623" s="46">
        <v>311802</v>
      </c>
      <c r="B623" s="63" t="s">
        <v>1640</v>
      </c>
      <c r="C623" s="63" t="s">
        <v>2178</v>
      </c>
    </row>
    <row r="624" spans="1:3">
      <c r="A624" s="46">
        <v>311803</v>
      </c>
      <c r="B624" s="63" t="s">
        <v>1641</v>
      </c>
      <c r="C624" s="63" t="s">
        <v>2179</v>
      </c>
    </row>
    <row r="625" spans="1:3">
      <c r="A625" s="46">
        <v>311901</v>
      </c>
      <c r="B625" s="63" t="s">
        <v>1642</v>
      </c>
      <c r="C625" s="63" t="s">
        <v>2180</v>
      </c>
    </row>
    <row r="626" spans="1:3">
      <c r="A626" s="46">
        <v>311902</v>
      </c>
      <c r="B626" s="63" t="s">
        <v>1643</v>
      </c>
      <c r="C626" s="63" t="s">
        <v>2181</v>
      </c>
    </row>
    <row r="627" spans="1:3">
      <c r="A627" s="46">
        <v>311903</v>
      </c>
      <c r="B627" s="63" t="s">
        <v>1644</v>
      </c>
      <c r="C627" s="63" t="s">
        <v>2182</v>
      </c>
    </row>
    <row r="628" spans="1:3">
      <c r="A628" s="46">
        <v>312001</v>
      </c>
      <c r="B628" s="63" t="s">
        <v>1645</v>
      </c>
      <c r="C628" s="63" t="s">
        <v>2183</v>
      </c>
    </row>
    <row r="629" spans="1:3">
      <c r="A629" s="46">
        <v>312002</v>
      </c>
      <c r="B629" s="63" t="s">
        <v>1646</v>
      </c>
      <c r="C629" s="63" t="s">
        <v>2184</v>
      </c>
    </row>
    <row r="630" spans="1:3">
      <c r="A630" s="46">
        <v>312003</v>
      </c>
      <c r="B630" s="63" t="s">
        <v>1647</v>
      </c>
      <c r="C630" s="63" t="s">
        <v>2185</v>
      </c>
    </row>
    <row r="631" spans="1:3">
      <c r="A631" s="46">
        <v>312101</v>
      </c>
      <c r="B631" s="63" t="s">
        <v>1648</v>
      </c>
      <c r="C631" s="63" t="s">
        <v>2186</v>
      </c>
    </row>
    <row r="632" spans="1:3">
      <c r="A632" s="46">
        <v>312102</v>
      </c>
      <c r="B632" s="63" t="s">
        <v>1649</v>
      </c>
      <c r="C632" s="63" t="s">
        <v>2187</v>
      </c>
    </row>
    <row r="633" spans="1:3">
      <c r="A633" s="46">
        <v>312103</v>
      </c>
      <c r="B633" s="63" t="s">
        <v>1650</v>
      </c>
      <c r="C633" s="63" t="s">
        <v>2188</v>
      </c>
    </row>
    <row r="634" spans="1:3">
      <c r="A634" s="46">
        <v>312201</v>
      </c>
      <c r="B634" s="63" t="s">
        <v>1651</v>
      </c>
      <c r="C634" s="63" t="s">
        <v>2189</v>
      </c>
    </row>
    <row r="635" spans="1:3">
      <c r="A635" s="46">
        <v>312202</v>
      </c>
      <c r="B635" s="63" t="s">
        <v>1652</v>
      </c>
      <c r="C635" s="63" t="s">
        <v>2190</v>
      </c>
    </row>
    <row r="636" spans="1:3">
      <c r="A636" s="46">
        <v>312203</v>
      </c>
      <c r="B636" s="63" t="s">
        <v>1653</v>
      </c>
      <c r="C636" s="63" t="s">
        <v>2191</v>
      </c>
    </row>
    <row r="637" spans="1:3">
      <c r="A637" s="46">
        <v>330101</v>
      </c>
      <c r="B637" s="63" t="s">
        <v>1654</v>
      </c>
      <c r="C637" s="63" t="s">
        <v>2192</v>
      </c>
    </row>
    <row r="638" spans="1:3">
      <c r="A638" s="46">
        <v>330102</v>
      </c>
      <c r="B638" s="63" t="s">
        <v>1655</v>
      </c>
      <c r="C638" s="63" t="s">
        <v>2193</v>
      </c>
    </row>
    <row r="639" spans="1:3">
      <c r="A639" s="46">
        <v>330103</v>
      </c>
      <c r="B639" s="63" t="s">
        <v>1656</v>
      </c>
      <c r="C639" s="63" t="s">
        <v>2194</v>
      </c>
    </row>
    <row r="640" spans="1:3">
      <c r="A640" s="46">
        <v>330201</v>
      </c>
      <c r="B640" s="63" t="s">
        <v>1657</v>
      </c>
      <c r="C640" s="63" t="s">
        <v>2195</v>
      </c>
    </row>
    <row r="641" spans="1:3">
      <c r="A641" s="46">
        <v>330202</v>
      </c>
      <c r="B641" s="63" t="s">
        <v>1658</v>
      </c>
      <c r="C641" s="63" t="s">
        <v>2196</v>
      </c>
    </row>
    <row r="642" spans="1:3">
      <c r="A642" s="46">
        <v>330203</v>
      </c>
      <c r="B642" s="63" t="s">
        <v>1659</v>
      </c>
      <c r="C642" s="63" t="s">
        <v>2197</v>
      </c>
    </row>
    <row r="643" spans="1:3">
      <c r="A643" s="46">
        <v>330301</v>
      </c>
      <c r="B643" s="63" t="s">
        <v>1660</v>
      </c>
      <c r="C643" s="63" t="s">
        <v>2198</v>
      </c>
    </row>
    <row r="644" spans="1:3">
      <c r="A644" s="46">
        <v>330302</v>
      </c>
      <c r="B644" s="63" t="s">
        <v>1661</v>
      </c>
      <c r="C644" s="63" t="s">
        <v>2199</v>
      </c>
    </row>
    <row r="645" spans="1:3">
      <c r="A645" s="46">
        <v>330303</v>
      </c>
      <c r="B645" s="63" t="s">
        <v>1662</v>
      </c>
      <c r="C645" s="63" t="s">
        <v>2200</v>
      </c>
    </row>
    <row r="646" spans="1:3">
      <c r="A646" s="46">
        <v>330401</v>
      </c>
      <c r="B646" s="63" t="s">
        <v>1663</v>
      </c>
      <c r="C646" s="63" t="s">
        <v>2201</v>
      </c>
    </row>
    <row r="647" spans="1:3">
      <c r="A647" s="46">
        <v>330402</v>
      </c>
      <c r="B647" s="63" t="s">
        <v>1664</v>
      </c>
      <c r="C647" s="63" t="s">
        <v>2202</v>
      </c>
    </row>
    <row r="648" spans="1:3">
      <c r="A648" s="46">
        <v>330403</v>
      </c>
      <c r="B648" s="63" t="s">
        <v>1665</v>
      </c>
      <c r="C648" s="63" t="s">
        <v>2203</v>
      </c>
    </row>
    <row r="649" spans="1:3">
      <c r="A649" s="46">
        <v>330501</v>
      </c>
      <c r="B649" s="63" t="s">
        <v>1666</v>
      </c>
      <c r="C649" s="63" t="s">
        <v>2204</v>
      </c>
    </row>
    <row r="650" spans="1:3">
      <c r="A650" s="46">
        <v>330502</v>
      </c>
      <c r="B650" s="63" t="s">
        <v>1667</v>
      </c>
      <c r="C650" s="63" t="s">
        <v>2205</v>
      </c>
    </row>
    <row r="651" spans="1:3">
      <c r="A651" s="46">
        <v>330503</v>
      </c>
      <c r="B651" s="63" t="s">
        <v>1668</v>
      </c>
      <c r="C651" s="63" t="s">
        <v>2206</v>
      </c>
    </row>
    <row r="652" spans="1:3">
      <c r="A652" s="46">
        <v>330601</v>
      </c>
      <c r="B652" s="63" t="s">
        <v>1669</v>
      </c>
      <c r="C652" s="63" t="s">
        <v>2207</v>
      </c>
    </row>
    <row r="653" spans="1:3">
      <c r="A653" s="46">
        <v>330602</v>
      </c>
      <c r="B653" s="63" t="s">
        <v>1670</v>
      </c>
      <c r="C653" s="63" t="s">
        <v>2208</v>
      </c>
    </row>
    <row r="654" spans="1:3">
      <c r="A654" s="46">
        <v>330603</v>
      </c>
      <c r="B654" s="63" t="s">
        <v>1671</v>
      </c>
      <c r="C654" s="63" t="s">
        <v>2209</v>
      </c>
    </row>
    <row r="655" spans="1:3">
      <c r="A655" s="46">
        <v>330701</v>
      </c>
      <c r="B655" s="63" t="s">
        <v>1672</v>
      </c>
      <c r="C655" s="63" t="s">
        <v>2210</v>
      </c>
    </row>
    <row r="656" spans="1:3">
      <c r="A656" s="46">
        <v>330702</v>
      </c>
      <c r="B656" s="63" t="s">
        <v>1673</v>
      </c>
      <c r="C656" s="63" t="s">
        <v>2211</v>
      </c>
    </row>
    <row r="657" spans="1:3">
      <c r="A657" s="46">
        <v>330703</v>
      </c>
      <c r="B657" s="63" t="s">
        <v>1674</v>
      </c>
      <c r="C657" s="63" t="s">
        <v>2212</v>
      </c>
    </row>
    <row r="658" spans="1:3">
      <c r="A658" s="46">
        <v>330801</v>
      </c>
      <c r="B658" s="63" t="s">
        <v>1675</v>
      </c>
      <c r="C658" s="63" t="s">
        <v>2213</v>
      </c>
    </row>
    <row r="659" spans="1:3">
      <c r="A659" s="46">
        <v>330802</v>
      </c>
      <c r="B659" s="63" t="s">
        <v>1676</v>
      </c>
      <c r="C659" s="63" t="s">
        <v>2214</v>
      </c>
    </row>
    <row r="660" spans="1:3">
      <c r="A660" s="46">
        <v>330803</v>
      </c>
      <c r="B660" s="63" t="s">
        <v>1677</v>
      </c>
      <c r="C660" s="63" t="s">
        <v>2215</v>
      </c>
    </row>
    <row r="661" spans="1:3">
      <c r="A661" s="46">
        <v>330901</v>
      </c>
      <c r="B661" s="63" t="s">
        <v>1678</v>
      </c>
      <c r="C661" s="63" t="s">
        <v>2216</v>
      </c>
    </row>
    <row r="662" spans="1:3">
      <c r="A662" s="46">
        <v>330902</v>
      </c>
      <c r="B662" s="63" t="s">
        <v>1679</v>
      </c>
      <c r="C662" s="63" t="s">
        <v>2217</v>
      </c>
    </row>
    <row r="663" spans="1:3">
      <c r="A663" s="46">
        <v>330903</v>
      </c>
      <c r="B663" s="63" t="s">
        <v>1680</v>
      </c>
      <c r="C663" s="63" t="s">
        <v>2218</v>
      </c>
    </row>
    <row r="664" spans="1:3">
      <c r="A664" s="46">
        <v>331001</v>
      </c>
      <c r="B664" s="63" t="s">
        <v>1681</v>
      </c>
      <c r="C664" s="63" t="s">
        <v>2219</v>
      </c>
    </row>
    <row r="665" spans="1:3">
      <c r="A665" s="46">
        <v>331002</v>
      </c>
      <c r="B665" s="63" t="s">
        <v>1682</v>
      </c>
      <c r="C665" s="63" t="s">
        <v>2220</v>
      </c>
    </row>
    <row r="666" spans="1:3">
      <c r="A666" s="46">
        <v>331003</v>
      </c>
      <c r="B666" s="63" t="s">
        <v>1683</v>
      </c>
      <c r="C666" s="63" t="s">
        <v>2221</v>
      </c>
    </row>
    <row r="667" spans="1:3">
      <c r="A667" s="46">
        <v>331101</v>
      </c>
      <c r="B667" s="63" t="s">
        <v>1684</v>
      </c>
      <c r="C667" s="63" t="s">
        <v>2222</v>
      </c>
    </row>
    <row r="668" spans="1:3">
      <c r="A668" s="46">
        <v>331102</v>
      </c>
      <c r="B668" s="63" t="s">
        <v>1685</v>
      </c>
      <c r="C668" s="63" t="s">
        <v>2223</v>
      </c>
    </row>
    <row r="669" spans="1:3">
      <c r="A669" s="46">
        <v>331103</v>
      </c>
      <c r="B669" s="63" t="s">
        <v>1686</v>
      </c>
      <c r="C669" s="63" t="s">
        <v>2224</v>
      </c>
    </row>
    <row r="670" spans="1:3">
      <c r="A670" s="46">
        <v>331201</v>
      </c>
      <c r="B670" s="63" t="s">
        <v>1687</v>
      </c>
      <c r="C670" s="63" t="s">
        <v>2225</v>
      </c>
    </row>
    <row r="671" spans="1:3">
      <c r="A671" s="46">
        <v>331202</v>
      </c>
      <c r="B671" s="63" t="s">
        <v>1688</v>
      </c>
      <c r="C671" s="63" t="s">
        <v>2226</v>
      </c>
    </row>
    <row r="672" spans="1:3">
      <c r="A672" s="46">
        <v>331203</v>
      </c>
      <c r="B672" s="63" t="s">
        <v>1689</v>
      </c>
      <c r="C672" s="63" t="s">
        <v>2227</v>
      </c>
    </row>
    <row r="673" spans="1:3">
      <c r="A673" s="46">
        <v>331301</v>
      </c>
      <c r="B673" s="63" t="s">
        <v>1690</v>
      </c>
      <c r="C673" s="63" t="s">
        <v>2228</v>
      </c>
    </row>
    <row r="674" spans="1:3">
      <c r="A674" s="46">
        <v>331302</v>
      </c>
      <c r="B674" s="63" t="s">
        <v>1691</v>
      </c>
      <c r="C674" s="63" t="s">
        <v>2229</v>
      </c>
    </row>
    <row r="675" spans="1:3">
      <c r="A675" s="46">
        <v>331303</v>
      </c>
      <c r="B675" s="63" t="s">
        <v>1692</v>
      </c>
      <c r="C675" s="63" t="s">
        <v>2230</v>
      </c>
    </row>
    <row r="676" spans="1:3">
      <c r="A676" s="46">
        <v>331401</v>
      </c>
      <c r="B676" s="63" t="s">
        <v>1693</v>
      </c>
      <c r="C676" s="63" t="s">
        <v>2231</v>
      </c>
    </row>
    <row r="677" spans="1:3">
      <c r="A677" s="46">
        <v>331402</v>
      </c>
      <c r="B677" s="63" t="s">
        <v>1694</v>
      </c>
      <c r="C677" s="63" t="s">
        <v>2232</v>
      </c>
    </row>
    <row r="678" spans="1:3">
      <c r="A678" s="46">
        <v>331403</v>
      </c>
      <c r="B678" s="63" t="s">
        <v>1695</v>
      </c>
      <c r="C678" s="63" t="s">
        <v>2233</v>
      </c>
    </row>
    <row r="679" spans="1:3">
      <c r="A679" s="46">
        <v>331501</v>
      </c>
      <c r="B679" s="63" t="s">
        <v>1696</v>
      </c>
      <c r="C679" s="63" t="s">
        <v>2234</v>
      </c>
    </row>
    <row r="680" spans="1:3">
      <c r="A680" s="46">
        <v>331502</v>
      </c>
      <c r="B680" s="63" t="s">
        <v>1697</v>
      </c>
      <c r="C680" s="63" t="s">
        <v>2235</v>
      </c>
    </row>
    <row r="681" spans="1:3">
      <c r="A681" s="46">
        <v>331503</v>
      </c>
      <c r="B681" s="63" t="s">
        <v>1698</v>
      </c>
      <c r="C681" s="63" t="s">
        <v>2236</v>
      </c>
    </row>
    <row r="682" spans="1:3">
      <c r="A682" s="46">
        <v>331601</v>
      </c>
      <c r="B682" s="63" t="s">
        <v>1699</v>
      </c>
      <c r="C682" s="63" t="s">
        <v>2237</v>
      </c>
    </row>
    <row r="683" spans="1:3">
      <c r="A683" s="46">
        <v>331602</v>
      </c>
      <c r="B683" s="63" t="s">
        <v>1700</v>
      </c>
      <c r="C683" s="63" t="s">
        <v>2238</v>
      </c>
    </row>
    <row r="684" spans="1:3">
      <c r="A684" s="46">
        <v>331603</v>
      </c>
      <c r="B684" s="63" t="s">
        <v>1701</v>
      </c>
      <c r="C684" s="63" t="s">
        <v>2239</v>
      </c>
    </row>
    <row r="685" spans="1:3">
      <c r="A685" s="46">
        <v>331701</v>
      </c>
      <c r="B685" s="63" t="s">
        <v>1702</v>
      </c>
      <c r="C685" s="63" t="s">
        <v>2240</v>
      </c>
    </row>
    <row r="686" spans="1:3">
      <c r="A686" s="46">
        <v>331702</v>
      </c>
      <c r="B686" s="63" t="s">
        <v>1703</v>
      </c>
      <c r="C686" s="63" t="s">
        <v>2241</v>
      </c>
    </row>
    <row r="687" spans="1:3">
      <c r="A687" s="46">
        <v>331703</v>
      </c>
      <c r="B687" s="63" t="s">
        <v>1704</v>
      </c>
      <c r="C687" s="63" t="s">
        <v>2242</v>
      </c>
    </row>
    <row r="688" spans="1:3">
      <c r="A688" s="46">
        <v>331801</v>
      </c>
      <c r="B688" s="63" t="s">
        <v>1705</v>
      </c>
      <c r="C688" s="63" t="s">
        <v>2243</v>
      </c>
    </row>
    <row r="689" spans="1:3">
      <c r="A689" s="46">
        <v>331802</v>
      </c>
      <c r="B689" s="63" t="s">
        <v>1706</v>
      </c>
      <c r="C689" s="63" t="s">
        <v>2244</v>
      </c>
    </row>
    <row r="690" spans="1:3">
      <c r="A690" s="46">
        <v>331803</v>
      </c>
      <c r="B690" s="63" t="s">
        <v>1707</v>
      </c>
      <c r="C690" s="63" t="s">
        <v>2245</v>
      </c>
    </row>
    <row r="691" spans="1:3">
      <c r="A691" s="46">
        <v>331901</v>
      </c>
      <c r="B691" s="63" t="s">
        <v>1708</v>
      </c>
      <c r="C691" s="63" t="s">
        <v>2246</v>
      </c>
    </row>
    <row r="692" spans="1:3">
      <c r="A692" s="46">
        <v>331902</v>
      </c>
      <c r="B692" s="63" t="s">
        <v>1709</v>
      </c>
      <c r="C692" s="63" t="s">
        <v>2247</v>
      </c>
    </row>
    <row r="693" spans="1:3">
      <c r="A693" s="46">
        <v>331903</v>
      </c>
      <c r="B693" s="63" t="s">
        <v>1710</v>
      </c>
      <c r="C693" s="63" t="s">
        <v>2248</v>
      </c>
    </row>
    <row r="694" spans="1:3">
      <c r="A694" s="46">
        <v>332001</v>
      </c>
      <c r="B694" s="63" t="s">
        <v>1711</v>
      </c>
      <c r="C694" s="63" t="s">
        <v>2249</v>
      </c>
    </row>
    <row r="695" spans="1:3">
      <c r="A695" s="46">
        <v>332002</v>
      </c>
      <c r="B695" s="63" t="s">
        <v>1712</v>
      </c>
      <c r="C695" s="63" t="s">
        <v>2250</v>
      </c>
    </row>
    <row r="696" spans="1:3">
      <c r="A696" s="46">
        <v>332003</v>
      </c>
      <c r="B696" s="63" t="s">
        <v>1713</v>
      </c>
      <c r="C696" s="63" t="s">
        <v>2251</v>
      </c>
    </row>
    <row r="697" spans="1:3">
      <c r="A697" s="46">
        <v>332101</v>
      </c>
      <c r="B697" s="63" t="s">
        <v>1714</v>
      </c>
      <c r="C697" s="63" t="s">
        <v>2252</v>
      </c>
    </row>
    <row r="698" spans="1:3">
      <c r="A698" s="46">
        <v>332102</v>
      </c>
      <c r="B698" s="63" t="s">
        <v>1715</v>
      </c>
      <c r="C698" s="63" t="s">
        <v>2253</v>
      </c>
    </row>
    <row r="699" spans="1:3">
      <c r="A699" s="46">
        <v>332103</v>
      </c>
      <c r="B699" s="63" t="s">
        <v>1716</v>
      </c>
      <c r="C699" s="63" t="s">
        <v>2254</v>
      </c>
    </row>
    <row r="700" spans="1:3">
      <c r="A700" s="46">
        <v>332201</v>
      </c>
      <c r="B700" s="63" t="s">
        <v>1717</v>
      </c>
      <c r="C700" s="63" t="s">
        <v>2255</v>
      </c>
    </row>
    <row r="701" spans="1:3">
      <c r="A701" s="46">
        <v>332202</v>
      </c>
      <c r="B701" s="63" t="s">
        <v>1718</v>
      </c>
      <c r="C701" s="63" t="s">
        <v>2256</v>
      </c>
    </row>
    <row r="702" spans="1:3">
      <c r="A702" s="46">
        <v>332203</v>
      </c>
      <c r="B702" s="63" t="s">
        <v>1719</v>
      </c>
      <c r="C702" s="63" t="s">
        <v>2257</v>
      </c>
    </row>
    <row r="703" spans="1:3">
      <c r="A703" s="46">
        <v>332301</v>
      </c>
      <c r="B703" s="63" t="s">
        <v>1720</v>
      </c>
      <c r="C703" s="63" t="s">
        <v>2258</v>
      </c>
    </row>
    <row r="704" spans="1:3">
      <c r="A704" s="46">
        <v>332302</v>
      </c>
      <c r="B704" s="63" t="s">
        <v>1721</v>
      </c>
      <c r="C704" s="63" t="s">
        <v>2259</v>
      </c>
    </row>
    <row r="705" spans="1:3">
      <c r="A705" s="46">
        <v>332303</v>
      </c>
      <c r="B705" s="63" t="s">
        <v>1722</v>
      </c>
      <c r="C705" s="63" t="s">
        <v>2260</v>
      </c>
    </row>
    <row r="706" spans="1:3">
      <c r="B706" s="63"/>
      <c r="C706" s="63"/>
    </row>
    <row r="707" spans="1:3">
      <c r="A707" s="46">
        <v>360101</v>
      </c>
      <c r="B707" s="63" t="s">
        <v>1724</v>
      </c>
      <c r="C707" s="63" t="s">
        <v>1723</v>
      </c>
    </row>
    <row r="708" spans="1:3">
      <c r="A708" s="46">
        <v>360102</v>
      </c>
      <c r="B708" s="63" t="s">
        <v>1726</v>
      </c>
      <c r="C708" s="63" t="s">
        <v>1725</v>
      </c>
    </row>
    <row r="709" spans="1:3">
      <c r="A709" s="46">
        <v>360103</v>
      </c>
      <c r="B709" s="63" t="s">
        <v>1728</v>
      </c>
      <c r="C709" s="63" t="s">
        <v>1727</v>
      </c>
    </row>
    <row r="710" spans="1:3">
      <c r="A710" s="46">
        <v>360104</v>
      </c>
      <c r="B710" s="63" t="s">
        <v>1730</v>
      </c>
      <c r="C710" s="63" t="s">
        <v>1729</v>
      </c>
    </row>
    <row r="711" spans="1:3">
      <c r="A711" s="46">
        <v>360105</v>
      </c>
      <c r="B711" s="63" t="s">
        <v>1732</v>
      </c>
      <c r="C711" s="63" t="s">
        <v>1731</v>
      </c>
    </row>
    <row r="712" spans="1:3">
      <c r="B712" s="78"/>
      <c r="C712" s="78"/>
    </row>
    <row r="713" spans="1:3">
      <c r="B713" s="78"/>
      <c r="C713" s="78"/>
    </row>
    <row r="714" spans="1:3">
      <c r="B714" s="78"/>
      <c r="C714" s="78"/>
    </row>
  </sheetData>
  <phoneticPr fontId="2" type="noConversion"/>
  <dataValidations count="1">
    <dataValidation type="list" allowBlank="1" showInputMessage="1" showErrorMessage="1" sqref="B471 B66007 B131543 B197079 B262615 B328151 B393687 B459223 B524759 B590295 B655831 B721367 B786903 B852439 B917975 B983511 B192 B65728 B131264 B196800 B262336 B327872 B393408 B458944 B524480 B590016 B655552 B721088 B786624 B852160 B917696 B983232">
      <formula1>_OPTION_</formula1>
    </dataValidation>
  </dataValidation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sheetPr codeName="Sheet6"/>
  <dimension ref="A1:B2639"/>
  <sheetViews>
    <sheetView workbookViewId="0">
      <selection activeCell="B24" sqref="B24"/>
    </sheetView>
  </sheetViews>
  <sheetFormatPr defaultRowHeight="16.5"/>
  <cols>
    <col min="1" max="1" width="10.375" style="91" customWidth="1"/>
    <col min="2" max="2" width="30" style="105" customWidth="1"/>
  </cols>
  <sheetData>
    <row r="1" spans="1:2">
      <c r="A1" s="84" t="s">
        <v>637</v>
      </c>
      <c r="B1" s="95" t="s">
        <v>169</v>
      </c>
    </row>
    <row r="2" spans="1:2">
      <c r="A2" s="85"/>
      <c r="B2" s="96" t="s">
        <v>2462</v>
      </c>
    </row>
    <row r="3" spans="1:2">
      <c r="A3" s="85">
        <v>1</v>
      </c>
      <c r="B3" s="97" t="s">
        <v>2463</v>
      </c>
    </row>
    <row r="4" spans="1:2">
      <c r="A4" s="85">
        <v>2</v>
      </c>
      <c r="B4" s="97" t="s">
        <v>2464</v>
      </c>
    </row>
    <row r="5" spans="1:2">
      <c r="A5" s="85">
        <v>3</v>
      </c>
      <c r="B5" s="97" t="s">
        <v>2465</v>
      </c>
    </row>
    <row r="6" spans="1:2">
      <c r="A6" s="85">
        <v>4</v>
      </c>
      <c r="B6" s="97" t="s">
        <v>2466</v>
      </c>
    </row>
    <row r="7" spans="1:2">
      <c r="A7" s="85">
        <v>5</v>
      </c>
      <c r="B7" s="97" t="s">
        <v>2467</v>
      </c>
    </row>
    <row r="8" spans="1:2">
      <c r="A8" s="85" t="s">
        <v>638</v>
      </c>
      <c r="B8" s="97" t="s">
        <v>2468</v>
      </c>
    </row>
    <row r="9" spans="1:2">
      <c r="A9" s="85">
        <v>11</v>
      </c>
      <c r="B9" s="97" t="s">
        <v>2469</v>
      </c>
    </row>
    <row r="10" spans="1:2">
      <c r="A10" s="85">
        <v>12</v>
      </c>
      <c r="B10" s="97" t="s">
        <v>2470</v>
      </c>
    </row>
    <row r="11" spans="1:2">
      <c r="A11" s="85">
        <v>13</v>
      </c>
      <c r="B11" s="97" t="s">
        <v>2471</v>
      </c>
    </row>
    <row r="12" spans="1:2">
      <c r="A12" s="85">
        <v>14</v>
      </c>
      <c r="B12" s="97" t="s">
        <v>2472</v>
      </c>
    </row>
    <row r="13" spans="1:2">
      <c r="A13" s="85">
        <v>15</v>
      </c>
      <c r="B13" s="97" t="s">
        <v>2473</v>
      </c>
    </row>
    <row r="14" spans="1:2">
      <c r="A14" s="85">
        <v>16</v>
      </c>
      <c r="B14" s="97" t="s">
        <v>2474</v>
      </c>
    </row>
    <row r="15" spans="1:2">
      <c r="A15" s="85">
        <v>21</v>
      </c>
      <c r="B15" s="97" t="s">
        <v>2475</v>
      </c>
    </row>
    <row r="16" spans="1:2">
      <c r="A16" s="85">
        <v>22</v>
      </c>
      <c r="B16" s="97" t="s">
        <v>2476</v>
      </c>
    </row>
    <row r="17" spans="1:2">
      <c r="A17" s="85">
        <v>23</v>
      </c>
      <c r="B17" s="97" t="s">
        <v>2477</v>
      </c>
    </row>
    <row r="18" spans="1:2">
      <c r="A18" s="85">
        <v>24</v>
      </c>
      <c r="B18" s="97" t="s">
        <v>2478</v>
      </c>
    </row>
    <row r="19" spans="1:2">
      <c r="A19" s="85">
        <v>25</v>
      </c>
      <c r="B19" s="97" t="s">
        <v>2479</v>
      </c>
    </row>
    <row r="20" spans="1:2">
      <c r="A20" s="85">
        <v>26</v>
      </c>
      <c r="B20" s="97" t="s">
        <v>2480</v>
      </c>
    </row>
    <row r="21" spans="1:2">
      <c r="A21" s="85">
        <v>31</v>
      </c>
      <c r="B21" s="97" t="s">
        <v>2481</v>
      </c>
    </row>
    <row r="22" spans="1:2">
      <c r="A22" s="85">
        <v>32</v>
      </c>
      <c r="B22" s="97" t="s">
        <v>2482</v>
      </c>
    </row>
    <row r="23" spans="1:2">
      <c r="A23" s="85">
        <v>33</v>
      </c>
      <c r="B23" s="97" t="s">
        <v>2483</v>
      </c>
    </row>
    <row r="24" spans="1:2">
      <c r="A24" s="85">
        <v>34</v>
      </c>
      <c r="B24" s="97" t="s">
        <v>2484</v>
      </c>
    </row>
    <row r="25" spans="1:2">
      <c r="A25" s="85">
        <v>35</v>
      </c>
      <c r="B25" s="97" t="s">
        <v>2485</v>
      </c>
    </row>
    <row r="26" spans="1:2">
      <c r="A26" s="85">
        <v>36</v>
      </c>
      <c r="B26" s="97" t="s">
        <v>2486</v>
      </c>
    </row>
    <row r="27" spans="1:2">
      <c r="A27" s="85">
        <v>41</v>
      </c>
      <c r="B27" s="97" t="s">
        <v>2487</v>
      </c>
    </row>
    <row r="28" spans="1:2">
      <c r="A28" s="85">
        <v>42</v>
      </c>
      <c r="B28" s="97" t="s">
        <v>2488</v>
      </c>
    </row>
    <row r="29" spans="1:2">
      <c r="A29" s="85">
        <v>43</v>
      </c>
      <c r="B29" s="97" t="s">
        <v>2489</v>
      </c>
    </row>
    <row r="30" spans="1:2">
      <c r="A30" s="85">
        <v>44</v>
      </c>
      <c r="B30" s="97" t="s">
        <v>2490</v>
      </c>
    </row>
    <row r="31" spans="1:2">
      <c r="A31" s="85">
        <v>45</v>
      </c>
      <c r="B31" s="97" t="s">
        <v>2491</v>
      </c>
    </row>
    <row r="32" spans="1:2">
      <c r="A32" s="85">
        <v>46</v>
      </c>
      <c r="B32" s="97" t="s">
        <v>2492</v>
      </c>
    </row>
    <row r="33" spans="1:2">
      <c r="A33" s="85">
        <v>47</v>
      </c>
      <c r="B33" s="97" t="s">
        <v>2493</v>
      </c>
    </row>
    <row r="34" spans="1:2">
      <c r="A34" s="85"/>
      <c r="B34" s="97"/>
    </row>
    <row r="35" spans="1:2">
      <c r="A35" s="85">
        <v>51</v>
      </c>
      <c r="B35" s="97" t="s">
        <v>2494</v>
      </c>
    </row>
    <row r="36" spans="1:2">
      <c r="A36" s="85">
        <v>52</v>
      </c>
      <c r="B36" s="97" t="s">
        <v>2495</v>
      </c>
    </row>
    <row r="37" spans="1:2">
      <c r="A37" s="85">
        <v>53</v>
      </c>
      <c r="B37" s="97" t="s">
        <v>2496</v>
      </c>
    </row>
    <row r="38" spans="1:2">
      <c r="A38" s="85">
        <v>54</v>
      </c>
      <c r="B38" s="97" t="s">
        <v>2497</v>
      </c>
    </row>
    <row r="39" spans="1:2">
      <c r="A39" s="85">
        <v>55</v>
      </c>
      <c r="B39" s="97" t="s">
        <v>2498</v>
      </c>
    </row>
    <row r="40" spans="1:2">
      <c r="A40" s="85"/>
      <c r="B40" s="97"/>
    </row>
    <row r="41" spans="1:2">
      <c r="A41" s="85">
        <v>501</v>
      </c>
      <c r="B41" s="97" t="s">
        <v>2499</v>
      </c>
    </row>
    <row r="42" spans="1:2">
      <c r="A42" s="85">
        <v>502</v>
      </c>
      <c r="B42" s="97" t="s">
        <v>2500</v>
      </c>
    </row>
    <row r="43" spans="1:2">
      <c r="A43" s="85">
        <v>503</v>
      </c>
      <c r="B43" s="97" t="s">
        <v>2500</v>
      </c>
    </row>
    <row r="44" spans="1:2">
      <c r="A44" s="85">
        <v>504</v>
      </c>
      <c r="B44" s="97" t="s">
        <v>2489</v>
      </c>
    </row>
    <row r="45" spans="1:2">
      <c r="A45" s="85">
        <v>505</v>
      </c>
      <c r="B45" s="97" t="s">
        <v>2501</v>
      </c>
    </row>
    <row r="46" spans="1:2">
      <c r="A46" s="85">
        <v>506</v>
      </c>
      <c r="B46" s="97" t="s">
        <v>2502</v>
      </c>
    </row>
    <row r="47" spans="1:2">
      <c r="A47" s="85">
        <v>507</v>
      </c>
      <c r="B47" s="97" t="s">
        <v>2503</v>
      </c>
    </row>
    <row r="48" spans="1:2">
      <c r="A48" s="85">
        <v>508</v>
      </c>
      <c r="B48" s="97" t="s">
        <v>2504</v>
      </c>
    </row>
    <row r="49" spans="1:2">
      <c r="A49" s="85"/>
      <c r="B49" s="97"/>
    </row>
    <row r="50" spans="1:2">
      <c r="A50" s="85"/>
      <c r="B50" s="96" t="s">
        <v>2505</v>
      </c>
    </row>
    <row r="51" spans="1:2">
      <c r="A51" s="85">
        <v>801</v>
      </c>
      <c r="B51" s="97" t="s">
        <v>2506</v>
      </c>
    </row>
    <row r="52" spans="1:2">
      <c r="A52" s="85">
        <v>802</v>
      </c>
      <c r="B52" s="97" t="s">
        <v>2507</v>
      </c>
    </row>
    <row r="53" spans="1:2">
      <c r="A53" s="85">
        <v>803</v>
      </c>
      <c r="B53" s="97" t="s">
        <v>2508</v>
      </c>
    </row>
    <row r="54" spans="1:2">
      <c r="A54" s="85">
        <v>804</v>
      </c>
      <c r="B54" s="97" t="s">
        <v>2509</v>
      </c>
    </row>
    <row r="55" spans="1:2">
      <c r="A55" s="85">
        <v>805</v>
      </c>
      <c r="B55" s="97" t="s">
        <v>2510</v>
      </c>
    </row>
    <row r="56" spans="1:2">
      <c r="A56" s="85">
        <v>806</v>
      </c>
      <c r="B56" s="97" t="s">
        <v>2511</v>
      </c>
    </row>
    <row r="57" spans="1:2">
      <c r="A57" s="85">
        <v>807</v>
      </c>
      <c r="B57" s="97" t="s">
        <v>2512</v>
      </c>
    </row>
    <row r="58" spans="1:2">
      <c r="A58" s="85">
        <v>808</v>
      </c>
      <c r="B58" s="97" t="s">
        <v>2513</v>
      </c>
    </row>
    <row r="59" spans="1:2">
      <c r="A59" s="85">
        <v>809</v>
      </c>
      <c r="B59" s="97" t="s">
        <v>2514</v>
      </c>
    </row>
    <row r="60" spans="1:2">
      <c r="A60" s="85">
        <v>810</v>
      </c>
      <c r="B60" s="97" t="s">
        <v>2515</v>
      </c>
    </row>
    <row r="61" spans="1:2">
      <c r="A61" s="85">
        <v>811</v>
      </c>
      <c r="B61" s="97" t="s">
        <v>804</v>
      </c>
    </row>
    <row r="62" spans="1:2">
      <c r="A62" s="85">
        <v>812</v>
      </c>
      <c r="B62" s="97" t="s">
        <v>805</v>
      </c>
    </row>
    <row r="63" spans="1:2">
      <c r="A63" s="85">
        <v>813</v>
      </c>
      <c r="B63" s="97" t="s">
        <v>806</v>
      </c>
    </row>
    <row r="64" spans="1:2">
      <c r="A64" s="85">
        <v>814</v>
      </c>
      <c r="B64" s="97" t="s">
        <v>807</v>
      </c>
    </row>
    <row r="65" spans="1:2">
      <c r="A65" s="85">
        <v>815</v>
      </c>
      <c r="B65" s="97" t="s">
        <v>808</v>
      </c>
    </row>
    <row r="66" spans="1:2">
      <c r="A66" s="85">
        <v>816</v>
      </c>
      <c r="B66" s="97" t="s">
        <v>809</v>
      </c>
    </row>
    <row r="67" spans="1:2">
      <c r="A67" s="85">
        <v>817</v>
      </c>
      <c r="B67" s="97" t="s">
        <v>810</v>
      </c>
    </row>
    <row r="68" spans="1:2">
      <c r="A68" s="85">
        <v>818</v>
      </c>
      <c r="B68" s="97" t="s">
        <v>811</v>
      </c>
    </row>
    <row r="69" spans="1:2">
      <c r="A69" s="85">
        <v>819</v>
      </c>
      <c r="B69" s="97" t="s">
        <v>812</v>
      </c>
    </row>
    <row r="70" spans="1:2">
      <c r="A70" s="85">
        <v>820</v>
      </c>
      <c r="B70" s="97" t="s">
        <v>813</v>
      </c>
    </row>
    <row r="71" spans="1:2">
      <c r="A71" s="85"/>
      <c r="B71" s="97"/>
    </row>
    <row r="72" spans="1:2">
      <c r="A72" s="86">
        <v>841</v>
      </c>
      <c r="B72" s="98" t="s">
        <v>1012</v>
      </c>
    </row>
    <row r="73" spans="1:2">
      <c r="A73" s="86">
        <v>842</v>
      </c>
      <c r="B73" s="98" t="s">
        <v>1013</v>
      </c>
    </row>
    <row r="74" spans="1:2">
      <c r="A74" s="86">
        <v>843</v>
      </c>
      <c r="B74" s="98" t="s">
        <v>1014</v>
      </c>
    </row>
    <row r="75" spans="1:2">
      <c r="A75" s="86">
        <v>844</v>
      </c>
      <c r="B75" s="98" t="s">
        <v>2516</v>
      </c>
    </row>
    <row r="76" spans="1:2">
      <c r="A76" s="85">
        <v>850</v>
      </c>
      <c r="B76" s="97" t="s">
        <v>2517</v>
      </c>
    </row>
    <row r="77" spans="1:2">
      <c r="A77" s="85">
        <v>860</v>
      </c>
      <c r="B77" s="97" t="s">
        <v>2518</v>
      </c>
    </row>
    <row r="78" spans="1:2">
      <c r="A78" s="85">
        <v>861</v>
      </c>
      <c r="B78" s="97" t="s">
        <v>2519</v>
      </c>
    </row>
    <row r="79" spans="1:2">
      <c r="A79" s="85">
        <v>862</v>
      </c>
      <c r="B79" s="97" t="s">
        <v>2520</v>
      </c>
    </row>
    <row r="80" spans="1:2">
      <c r="A80" s="85">
        <v>871</v>
      </c>
      <c r="B80" s="97" t="s">
        <v>2521</v>
      </c>
    </row>
    <row r="81" spans="1:2">
      <c r="A81" s="85">
        <v>872</v>
      </c>
      <c r="B81" s="97" t="s">
        <v>814</v>
      </c>
    </row>
    <row r="82" spans="1:2">
      <c r="A82" s="85">
        <v>874</v>
      </c>
      <c r="B82" s="97" t="s">
        <v>2522</v>
      </c>
    </row>
    <row r="83" spans="1:2">
      <c r="A83" s="86">
        <v>881</v>
      </c>
      <c r="B83" s="98" t="s">
        <v>2523</v>
      </c>
    </row>
    <row r="84" spans="1:2">
      <c r="A84" s="86">
        <v>882</v>
      </c>
      <c r="B84" s="98" t="s">
        <v>2524</v>
      </c>
    </row>
    <row r="85" spans="1:2">
      <c r="A85" s="86">
        <v>883</v>
      </c>
      <c r="B85" s="98" t="s">
        <v>2525</v>
      </c>
    </row>
    <row r="86" spans="1:2">
      <c r="A86" s="86">
        <v>884</v>
      </c>
      <c r="B86" s="98" t="s">
        <v>2526</v>
      </c>
    </row>
    <row r="87" spans="1:2">
      <c r="A87" s="86">
        <v>885</v>
      </c>
      <c r="B87" s="98" t="s">
        <v>2527</v>
      </c>
    </row>
    <row r="88" spans="1:2">
      <c r="A88" s="86">
        <v>886</v>
      </c>
      <c r="B88" s="98" t="s">
        <v>2528</v>
      </c>
    </row>
    <row r="89" spans="1:2">
      <c r="A89" s="86">
        <v>887</v>
      </c>
      <c r="B89" s="98" t="s">
        <v>2529</v>
      </c>
    </row>
    <row r="90" spans="1:2">
      <c r="A90" s="86">
        <v>888</v>
      </c>
      <c r="B90" s="98" t="s">
        <v>2530</v>
      </c>
    </row>
    <row r="91" spans="1:2">
      <c r="A91" s="86">
        <v>889</v>
      </c>
      <c r="B91" s="98" t="s">
        <v>2531</v>
      </c>
    </row>
    <row r="92" spans="1:2">
      <c r="A92" s="86">
        <v>890</v>
      </c>
      <c r="B92" s="98" t="s">
        <v>2532</v>
      </c>
    </row>
    <row r="93" spans="1:2">
      <c r="A93" s="85">
        <v>891</v>
      </c>
      <c r="B93" s="97" t="s">
        <v>2533</v>
      </c>
    </row>
    <row r="94" spans="1:2">
      <c r="A94" s="85">
        <v>893</v>
      </c>
      <c r="B94" s="97" t="s">
        <v>2534</v>
      </c>
    </row>
    <row r="95" spans="1:2">
      <c r="A95" s="86">
        <v>894</v>
      </c>
      <c r="B95" s="98" t="s">
        <v>2535</v>
      </c>
    </row>
    <row r="96" spans="1:2">
      <c r="A96" s="85">
        <v>901</v>
      </c>
      <c r="B96" s="97" t="s">
        <v>2536</v>
      </c>
    </row>
    <row r="97" spans="1:2">
      <c r="A97" s="85">
        <v>902</v>
      </c>
      <c r="B97" s="99" t="s">
        <v>2537</v>
      </c>
    </row>
    <row r="98" spans="1:2">
      <c r="A98" s="85">
        <v>903</v>
      </c>
      <c r="B98" s="97" t="s">
        <v>2538</v>
      </c>
    </row>
    <row r="99" spans="1:2">
      <c r="A99" s="85">
        <v>910</v>
      </c>
      <c r="B99" s="97" t="s">
        <v>815</v>
      </c>
    </row>
    <row r="100" spans="1:2">
      <c r="A100" s="85">
        <v>911</v>
      </c>
      <c r="B100" s="97" t="s">
        <v>2539</v>
      </c>
    </row>
    <row r="101" spans="1:2">
      <c r="A101" s="85">
        <v>912</v>
      </c>
      <c r="B101" s="97" t="s">
        <v>2540</v>
      </c>
    </row>
    <row r="102" spans="1:2">
      <c r="A102" s="85">
        <v>913</v>
      </c>
      <c r="B102" s="97" t="s">
        <v>2541</v>
      </c>
    </row>
    <row r="103" spans="1:2">
      <c r="A103" s="85">
        <v>914</v>
      </c>
      <c r="B103" s="97" t="s">
        <v>2542</v>
      </c>
    </row>
    <row r="104" spans="1:2">
      <c r="A104" s="85">
        <v>915</v>
      </c>
      <c r="B104" s="97" t="s">
        <v>2543</v>
      </c>
    </row>
    <row r="105" spans="1:2">
      <c r="A105" s="85">
        <v>921</v>
      </c>
      <c r="B105" s="97" t="s">
        <v>2544</v>
      </c>
    </row>
    <row r="106" spans="1:2">
      <c r="A106" s="85">
        <v>922</v>
      </c>
      <c r="B106" s="97" t="s">
        <v>2545</v>
      </c>
    </row>
    <row r="107" spans="1:2">
      <c r="A107" s="85">
        <v>923</v>
      </c>
      <c r="B107" s="97" t="s">
        <v>2546</v>
      </c>
    </row>
    <row r="108" spans="1:2">
      <c r="A108" s="85">
        <v>943</v>
      </c>
      <c r="B108" s="97" t="s">
        <v>2547</v>
      </c>
    </row>
    <row r="109" spans="1:2">
      <c r="A109" s="85">
        <v>961</v>
      </c>
      <c r="B109" s="98" t="s">
        <v>2548</v>
      </c>
    </row>
    <row r="110" spans="1:2">
      <c r="A110" s="85"/>
      <c r="B110" s="97"/>
    </row>
    <row r="111" spans="1:2">
      <c r="A111" s="85"/>
      <c r="B111" s="96" t="s">
        <v>2549</v>
      </c>
    </row>
    <row r="112" spans="1:2">
      <c r="A112" s="85">
        <v>1001</v>
      </c>
      <c r="B112" s="97" t="s">
        <v>2550</v>
      </c>
    </row>
    <row r="113" spans="1:2">
      <c r="A113" s="85">
        <v>1002</v>
      </c>
      <c r="B113" s="97" t="s">
        <v>2551</v>
      </c>
    </row>
    <row r="114" spans="1:2">
      <c r="A114" s="85">
        <v>1003</v>
      </c>
      <c r="B114" s="97" t="s">
        <v>816</v>
      </c>
    </row>
    <row r="115" spans="1:2">
      <c r="A115" s="85">
        <v>1004</v>
      </c>
      <c r="B115" s="97" t="s">
        <v>2551</v>
      </c>
    </row>
    <row r="116" spans="1:2">
      <c r="A116" s="85">
        <v>1005</v>
      </c>
      <c r="B116" s="97" t="s">
        <v>2552</v>
      </c>
    </row>
    <row r="117" spans="1:2">
      <c r="A117" s="85">
        <v>1007</v>
      </c>
      <c r="B117" s="97" t="s">
        <v>2553</v>
      </c>
    </row>
    <row r="118" spans="1:2">
      <c r="A118" s="85">
        <v>1009</v>
      </c>
      <c r="B118" s="97" t="s">
        <v>2554</v>
      </c>
    </row>
    <row r="119" spans="1:2">
      <c r="A119" s="85">
        <v>1010</v>
      </c>
      <c r="B119" s="97" t="s">
        <v>2555</v>
      </c>
    </row>
    <row r="120" spans="1:2">
      <c r="A120" s="85">
        <v>1011</v>
      </c>
      <c r="B120" s="97" t="s">
        <v>2556</v>
      </c>
    </row>
    <row r="121" spans="1:2">
      <c r="A121" s="85">
        <v>1012</v>
      </c>
      <c r="B121" s="97" t="s">
        <v>2557</v>
      </c>
    </row>
    <row r="122" spans="1:2">
      <c r="A122" s="85">
        <v>1013</v>
      </c>
      <c r="B122" s="97" t="s">
        <v>2558</v>
      </c>
    </row>
    <row r="123" spans="1:2">
      <c r="A123" s="85">
        <v>1014</v>
      </c>
      <c r="B123" s="97" t="s">
        <v>2559</v>
      </c>
    </row>
    <row r="124" spans="1:2">
      <c r="A124" s="87">
        <v>1015</v>
      </c>
      <c r="B124" s="100" t="s">
        <v>2560</v>
      </c>
    </row>
    <row r="125" spans="1:2">
      <c r="A125" s="85">
        <v>1016</v>
      </c>
      <c r="B125" s="97" t="s">
        <v>2561</v>
      </c>
    </row>
    <row r="126" spans="1:2">
      <c r="A126" s="87">
        <v>1017</v>
      </c>
      <c r="B126" s="100" t="s">
        <v>2560</v>
      </c>
    </row>
    <row r="127" spans="1:2">
      <c r="A127" s="85">
        <v>1018</v>
      </c>
      <c r="B127" s="97" t="s">
        <v>2562</v>
      </c>
    </row>
    <row r="128" spans="1:2">
      <c r="A128" s="85">
        <v>1019</v>
      </c>
      <c r="B128" s="97" t="s">
        <v>2563</v>
      </c>
    </row>
    <row r="129" spans="1:2">
      <c r="A129" s="85">
        <v>1020</v>
      </c>
      <c r="B129" s="97" t="s">
        <v>2564</v>
      </c>
    </row>
    <row r="130" spans="1:2">
      <c r="A130" s="85">
        <v>1021</v>
      </c>
      <c r="B130" s="97" t="s">
        <v>817</v>
      </c>
    </row>
    <row r="131" spans="1:2">
      <c r="A131" s="85">
        <v>1022</v>
      </c>
      <c r="B131" s="97" t="s">
        <v>2565</v>
      </c>
    </row>
    <row r="132" spans="1:2">
      <c r="A132" s="85">
        <v>1023</v>
      </c>
      <c r="B132" s="97" t="s">
        <v>2566</v>
      </c>
    </row>
    <row r="133" spans="1:2">
      <c r="A133" s="85">
        <v>1024</v>
      </c>
      <c r="B133" s="97" t="s">
        <v>2567</v>
      </c>
    </row>
    <row r="134" spans="1:2">
      <c r="A134" s="85">
        <v>1025</v>
      </c>
      <c r="B134" s="101" t="s">
        <v>2568</v>
      </c>
    </row>
    <row r="135" spans="1:2">
      <c r="A135" s="85">
        <v>1026</v>
      </c>
      <c r="B135" s="97" t="s">
        <v>2569</v>
      </c>
    </row>
    <row r="136" spans="1:2">
      <c r="A136" s="85">
        <v>1027</v>
      </c>
      <c r="B136" s="97" t="s">
        <v>2570</v>
      </c>
    </row>
    <row r="137" spans="1:2">
      <c r="A137" s="85">
        <v>1028</v>
      </c>
      <c r="B137" s="97" t="s">
        <v>2571</v>
      </c>
    </row>
    <row r="138" spans="1:2">
      <c r="A138" s="85">
        <v>1029</v>
      </c>
      <c r="B138" s="97" t="s">
        <v>2572</v>
      </c>
    </row>
    <row r="139" spans="1:2">
      <c r="A139" s="85">
        <v>1030</v>
      </c>
      <c r="B139" s="97" t="s">
        <v>2573</v>
      </c>
    </row>
    <row r="140" spans="1:2">
      <c r="A140" s="85">
        <v>1031</v>
      </c>
      <c r="B140" s="97" t="s">
        <v>2574</v>
      </c>
    </row>
    <row r="141" spans="1:2">
      <c r="A141" s="85">
        <v>1032</v>
      </c>
      <c r="B141" s="97" t="s">
        <v>2575</v>
      </c>
    </row>
    <row r="142" spans="1:2">
      <c r="A142" s="85">
        <v>1033</v>
      </c>
      <c r="B142" s="97" t="s">
        <v>2576</v>
      </c>
    </row>
    <row r="143" spans="1:2">
      <c r="A143" s="87">
        <v>1034</v>
      </c>
      <c r="B143" s="100" t="s">
        <v>2577</v>
      </c>
    </row>
    <row r="144" spans="1:2">
      <c r="A144" s="85">
        <v>1036</v>
      </c>
      <c r="B144" s="97" t="s">
        <v>2578</v>
      </c>
    </row>
    <row r="145" spans="1:2">
      <c r="A145" s="85">
        <v>1037</v>
      </c>
      <c r="B145" s="97" t="s">
        <v>2579</v>
      </c>
    </row>
    <row r="146" spans="1:2">
      <c r="A146" s="85">
        <v>1038</v>
      </c>
      <c r="B146" s="97" t="s">
        <v>2580</v>
      </c>
    </row>
    <row r="147" spans="1:2">
      <c r="A147" s="85">
        <v>1039</v>
      </c>
      <c r="B147" s="97" t="s">
        <v>2581</v>
      </c>
    </row>
    <row r="148" spans="1:2">
      <c r="A148" s="85">
        <v>1040</v>
      </c>
      <c r="B148" s="101" t="s">
        <v>2582</v>
      </c>
    </row>
    <row r="149" spans="1:2">
      <c r="A149" s="85">
        <v>1041</v>
      </c>
      <c r="B149" s="101" t="s">
        <v>2583</v>
      </c>
    </row>
    <row r="150" spans="1:2">
      <c r="A150" s="85">
        <v>1042</v>
      </c>
      <c r="B150" s="97" t="s">
        <v>2584</v>
      </c>
    </row>
    <row r="151" spans="1:2">
      <c r="A151" s="85">
        <v>1043</v>
      </c>
      <c r="B151" s="97" t="s">
        <v>2585</v>
      </c>
    </row>
    <row r="152" spans="1:2">
      <c r="A152" s="85">
        <v>1044</v>
      </c>
      <c r="B152" s="101" t="s">
        <v>2586</v>
      </c>
    </row>
    <row r="153" spans="1:2">
      <c r="A153" s="85">
        <v>1045</v>
      </c>
      <c r="B153" s="101" t="s">
        <v>2587</v>
      </c>
    </row>
    <row r="154" spans="1:2">
      <c r="A154" s="85">
        <v>1046</v>
      </c>
      <c r="B154" s="101" t="s">
        <v>2588</v>
      </c>
    </row>
    <row r="155" spans="1:2">
      <c r="A155" s="85">
        <v>1047</v>
      </c>
      <c r="B155" s="101" t="s">
        <v>2589</v>
      </c>
    </row>
    <row r="156" spans="1:2">
      <c r="A156" s="85">
        <v>1048</v>
      </c>
      <c r="B156" s="97" t="s">
        <v>2590</v>
      </c>
    </row>
    <row r="157" spans="1:2">
      <c r="A157" s="85">
        <v>1049</v>
      </c>
      <c r="B157" s="97" t="s">
        <v>2591</v>
      </c>
    </row>
    <row r="158" spans="1:2">
      <c r="A158" s="85">
        <v>1050</v>
      </c>
      <c r="B158" s="97" t="s">
        <v>2592</v>
      </c>
    </row>
    <row r="159" spans="1:2">
      <c r="A159" s="85">
        <v>1051</v>
      </c>
      <c r="B159" s="97" t="s">
        <v>818</v>
      </c>
    </row>
    <row r="160" spans="1:2">
      <c r="A160" s="85">
        <v>1052</v>
      </c>
      <c r="B160" s="97" t="s">
        <v>2593</v>
      </c>
    </row>
    <row r="161" spans="1:2">
      <c r="A161" s="85">
        <v>1053</v>
      </c>
      <c r="B161" s="97" t="s">
        <v>2594</v>
      </c>
    </row>
    <row r="162" spans="1:2">
      <c r="A162" s="85">
        <v>1055</v>
      </c>
      <c r="B162" s="97" t="s">
        <v>2595</v>
      </c>
    </row>
    <row r="163" spans="1:2">
      <c r="A163" s="85">
        <v>1056</v>
      </c>
      <c r="B163" s="97" t="s">
        <v>2595</v>
      </c>
    </row>
    <row r="164" spans="1:2">
      <c r="A164" s="85">
        <v>1057</v>
      </c>
      <c r="B164" s="97" t="s">
        <v>2596</v>
      </c>
    </row>
    <row r="165" spans="1:2">
      <c r="A165" s="85">
        <v>1058</v>
      </c>
      <c r="B165" s="97" t="s">
        <v>2597</v>
      </c>
    </row>
    <row r="166" spans="1:2">
      <c r="A166" s="85">
        <v>1059</v>
      </c>
      <c r="B166" s="97" t="s">
        <v>2598</v>
      </c>
    </row>
    <row r="167" spans="1:2">
      <c r="A167" s="85">
        <v>1060</v>
      </c>
      <c r="B167" s="97" t="s">
        <v>2599</v>
      </c>
    </row>
    <row r="168" spans="1:2">
      <c r="A168" s="85">
        <v>1061</v>
      </c>
      <c r="B168" s="97" t="s">
        <v>2600</v>
      </c>
    </row>
    <row r="169" spans="1:2">
      <c r="A169" s="85">
        <v>1062</v>
      </c>
      <c r="B169" s="97" t="s">
        <v>2601</v>
      </c>
    </row>
    <row r="170" spans="1:2">
      <c r="A170" s="85">
        <v>1063</v>
      </c>
      <c r="B170" s="97" t="s">
        <v>2602</v>
      </c>
    </row>
    <row r="171" spans="1:2">
      <c r="A171" s="85">
        <v>1064</v>
      </c>
      <c r="B171" s="97" t="s">
        <v>2603</v>
      </c>
    </row>
    <row r="172" spans="1:2">
      <c r="A172" s="85">
        <v>1065</v>
      </c>
      <c r="B172" s="97" t="s">
        <v>2604</v>
      </c>
    </row>
    <row r="173" spans="1:2">
      <c r="A173" s="85">
        <v>1066</v>
      </c>
      <c r="B173" s="97" t="s">
        <v>2605</v>
      </c>
    </row>
    <row r="174" spans="1:2">
      <c r="A174" s="85">
        <v>1067</v>
      </c>
      <c r="B174" s="97" t="s">
        <v>2606</v>
      </c>
    </row>
    <row r="175" spans="1:2">
      <c r="A175" s="85">
        <v>1068</v>
      </c>
      <c r="B175" s="97" t="s">
        <v>2607</v>
      </c>
    </row>
    <row r="176" spans="1:2">
      <c r="A176" s="85">
        <v>1069</v>
      </c>
      <c r="B176" s="97" t="s">
        <v>2608</v>
      </c>
    </row>
    <row r="177" spans="1:2">
      <c r="A177" s="85">
        <v>1070</v>
      </c>
      <c r="B177" s="97" t="s">
        <v>2609</v>
      </c>
    </row>
    <row r="178" spans="1:2">
      <c r="A178" s="85">
        <v>1071</v>
      </c>
      <c r="B178" s="97" t="s">
        <v>2610</v>
      </c>
    </row>
    <row r="179" spans="1:2">
      <c r="A179" s="85">
        <v>1072</v>
      </c>
      <c r="B179" s="97" t="s">
        <v>2611</v>
      </c>
    </row>
    <row r="180" spans="1:2">
      <c r="A180" s="85">
        <v>1073</v>
      </c>
      <c r="B180" s="97" t="s">
        <v>2612</v>
      </c>
    </row>
    <row r="181" spans="1:2">
      <c r="A181" s="85">
        <v>1074</v>
      </c>
      <c r="B181" s="97" t="s">
        <v>2613</v>
      </c>
    </row>
    <row r="182" spans="1:2">
      <c r="A182" s="85">
        <v>1075</v>
      </c>
      <c r="B182" s="97" t="s">
        <v>2614</v>
      </c>
    </row>
    <row r="183" spans="1:2">
      <c r="A183" s="85">
        <v>1076</v>
      </c>
      <c r="B183" s="97" t="s">
        <v>2615</v>
      </c>
    </row>
    <row r="184" spans="1:2">
      <c r="A184" s="85">
        <v>1077</v>
      </c>
      <c r="B184" s="97" t="s">
        <v>2616</v>
      </c>
    </row>
    <row r="185" spans="1:2">
      <c r="A185" s="85">
        <v>1078</v>
      </c>
      <c r="B185" s="97" t="s">
        <v>2617</v>
      </c>
    </row>
    <row r="186" spans="1:2">
      <c r="A186" s="85">
        <v>1079</v>
      </c>
      <c r="B186" s="97" t="s">
        <v>2618</v>
      </c>
    </row>
    <row r="187" spans="1:2">
      <c r="A187" s="85">
        <v>1080</v>
      </c>
      <c r="B187" s="97" t="s">
        <v>2619</v>
      </c>
    </row>
    <row r="188" spans="1:2">
      <c r="A188" s="85">
        <v>1081</v>
      </c>
      <c r="B188" s="97" t="s">
        <v>2620</v>
      </c>
    </row>
    <row r="189" spans="1:2">
      <c r="A189" s="85">
        <v>1082</v>
      </c>
      <c r="B189" s="97" t="s">
        <v>2621</v>
      </c>
    </row>
    <row r="190" spans="1:2">
      <c r="A190" s="85">
        <v>1083</v>
      </c>
      <c r="B190" s="97" t="s">
        <v>2622</v>
      </c>
    </row>
    <row r="191" spans="1:2">
      <c r="A191" s="85">
        <v>1084</v>
      </c>
      <c r="B191" s="97" t="s">
        <v>2623</v>
      </c>
    </row>
    <row r="192" spans="1:2">
      <c r="A192" s="85">
        <v>1085</v>
      </c>
      <c r="B192" s="97" t="s">
        <v>2624</v>
      </c>
    </row>
    <row r="193" spans="1:2">
      <c r="A193" s="85">
        <v>1086</v>
      </c>
      <c r="B193" s="97" t="s">
        <v>2625</v>
      </c>
    </row>
    <row r="194" spans="1:2">
      <c r="A194" s="85">
        <v>1087</v>
      </c>
      <c r="B194" s="97" t="s">
        <v>2626</v>
      </c>
    </row>
    <row r="195" spans="1:2">
      <c r="A195" s="85">
        <v>1088</v>
      </c>
      <c r="B195" s="97" t="s">
        <v>2627</v>
      </c>
    </row>
    <row r="196" spans="1:2">
      <c r="A196" s="85">
        <v>1089</v>
      </c>
      <c r="B196" s="97" t="s">
        <v>2554</v>
      </c>
    </row>
    <row r="197" spans="1:2">
      <c r="A197" s="85">
        <v>1090</v>
      </c>
      <c r="B197" s="97" t="s">
        <v>2628</v>
      </c>
    </row>
    <row r="198" spans="1:2">
      <c r="A198" s="85">
        <v>1091</v>
      </c>
      <c r="B198" s="97" t="s">
        <v>2609</v>
      </c>
    </row>
    <row r="199" spans="1:2">
      <c r="A199" s="85">
        <v>1092</v>
      </c>
      <c r="B199" s="97" t="s">
        <v>2629</v>
      </c>
    </row>
    <row r="200" spans="1:2">
      <c r="A200" s="85">
        <v>1093</v>
      </c>
      <c r="B200" s="97" t="s">
        <v>2630</v>
      </c>
    </row>
    <row r="201" spans="1:2">
      <c r="A201" s="85">
        <v>1095</v>
      </c>
      <c r="B201" s="97" t="s">
        <v>2631</v>
      </c>
    </row>
    <row r="202" spans="1:2">
      <c r="A202" s="85">
        <v>1096</v>
      </c>
      <c r="B202" s="97" t="s">
        <v>2632</v>
      </c>
    </row>
    <row r="203" spans="1:2">
      <c r="A203" s="85">
        <v>1097</v>
      </c>
      <c r="B203" s="97" t="s">
        <v>2633</v>
      </c>
    </row>
    <row r="204" spans="1:2">
      <c r="A204" s="85">
        <v>1098</v>
      </c>
      <c r="B204" s="97" t="s">
        <v>2634</v>
      </c>
    </row>
    <row r="205" spans="1:2">
      <c r="A205" s="85">
        <v>1099</v>
      </c>
      <c r="B205" s="97" t="s">
        <v>2634</v>
      </c>
    </row>
    <row r="206" spans="1:2">
      <c r="A206" s="85">
        <v>1100</v>
      </c>
      <c r="B206" s="97" t="s">
        <v>2635</v>
      </c>
    </row>
    <row r="207" spans="1:2">
      <c r="A207" s="85">
        <v>1101</v>
      </c>
      <c r="B207" s="97" t="s">
        <v>2636</v>
      </c>
    </row>
    <row r="208" spans="1:2">
      <c r="A208" s="85">
        <v>1102</v>
      </c>
      <c r="B208" s="97" t="s">
        <v>2637</v>
      </c>
    </row>
    <row r="209" spans="1:2">
      <c r="A209" s="85">
        <v>1103</v>
      </c>
      <c r="B209" s="97" t="s">
        <v>2638</v>
      </c>
    </row>
    <row r="210" spans="1:2">
      <c r="A210" s="85">
        <v>1104</v>
      </c>
      <c r="B210" s="97" t="s">
        <v>1015</v>
      </c>
    </row>
    <row r="211" spans="1:2">
      <c r="A211" s="85">
        <v>1105</v>
      </c>
      <c r="B211" s="97" t="s">
        <v>1016</v>
      </c>
    </row>
    <row r="212" spans="1:2">
      <c r="A212" s="85">
        <v>1106</v>
      </c>
      <c r="B212" s="97" t="s">
        <v>1016</v>
      </c>
    </row>
    <row r="213" spans="1:2">
      <c r="A213" s="85">
        <v>1107</v>
      </c>
      <c r="B213" s="97" t="s">
        <v>2639</v>
      </c>
    </row>
    <row r="214" spans="1:2">
      <c r="A214" s="85">
        <v>1108</v>
      </c>
      <c r="B214" s="97" t="s">
        <v>2640</v>
      </c>
    </row>
    <row r="215" spans="1:2">
      <c r="A215" s="85">
        <v>1109</v>
      </c>
      <c r="B215" s="97" t="s">
        <v>2641</v>
      </c>
    </row>
    <row r="216" spans="1:2">
      <c r="A216" s="85">
        <v>1110</v>
      </c>
      <c r="B216" s="97" t="s">
        <v>819</v>
      </c>
    </row>
    <row r="217" spans="1:2">
      <c r="A217" s="85">
        <v>1111</v>
      </c>
      <c r="B217" s="97" t="s">
        <v>2642</v>
      </c>
    </row>
    <row r="218" spans="1:2">
      <c r="A218" s="85">
        <v>1112</v>
      </c>
      <c r="B218" s="97" t="s">
        <v>2643</v>
      </c>
    </row>
    <row r="219" spans="1:2">
      <c r="A219" s="85">
        <v>1113</v>
      </c>
      <c r="B219" s="97" t="s">
        <v>2644</v>
      </c>
    </row>
    <row r="220" spans="1:2">
      <c r="A220" s="85">
        <v>1114</v>
      </c>
      <c r="B220" s="97" t="s">
        <v>2645</v>
      </c>
    </row>
    <row r="221" spans="1:2">
      <c r="A221" s="85">
        <v>1115</v>
      </c>
      <c r="B221" s="97" t="s">
        <v>2646</v>
      </c>
    </row>
    <row r="222" spans="1:2">
      <c r="A222" s="85">
        <v>1117</v>
      </c>
      <c r="B222" s="97" t="s">
        <v>2647</v>
      </c>
    </row>
    <row r="223" spans="1:2">
      <c r="A223" s="85">
        <v>1118</v>
      </c>
      <c r="B223" s="97" t="s">
        <v>2648</v>
      </c>
    </row>
    <row r="224" spans="1:2">
      <c r="A224" s="85">
        <v>1119</v>
      </c>
      <c r="B224" s="97" t="s">
        <v>2649</v>
      </c>
    </row>
    <row r="225" spans="1:2">
      <c r="A225" s="85">
        <v>1120</v>
      </c>
      <c r="B225" s="97" t="s">
        <v>2650</v>
      </c>
    </row>
    <row r="226" spans="1:2">
      <c r="A226" s="85">
        <v>1121</v>
      </c>
      <c r="B226" s="97" t="s">
        <v>2651</v>
      </c>
    </row>
    <row r="227" spans="1:2">
      <c r="A227" s="85">
        <v>1122</v>
      </c>
      <c r="B227" s="97" t="s">
        <v>2652</v>
      </c>
    </row>
    <row r="228" spans="1:2">
      <c r="A228" s="85">
        <v>1123</v>
      </c>
      <c r="B228" s="97" t="s">
        <v>2653</v>
      </c>
    </row>
    <row r="229" spans="1:2">
      <c r="A229" s="85">
        <v>1124</v>
      </c>
      <c r="B229" s="97" t="s">
        <v>2654</v>
      </c>
    </row>
    <row r="230" spans="1:2">
      <c r="A230" s="85">
        <v>1125</v>
      </c>
      <c r="B230" s="97" t="s">
        <v>2655</v>
      </c>
    </row>
    <row r="231" spans="1:2">
      <c r="A231" s="85">
        <v>1126</v>
      </c>
      <c r="B231" s="97" t="s">
        <v>2656</v>
      </c>
    </row>
    <row r="232" spans="1:2">
      <c r="A232" s="85">
        <v>1127</v>
      </c>
      <c r="B232" s="97" t="s">
        <v>820</v>
      </c>
    </row>
    <row r="233" spans="1:2">
      <c r="A233" s="85">
        <v>1128</v>
      </c>
      <c r="B233" s="97" t="s">
        <v>821</v>
      </c>
    </row>
    <row r="234" spans="1:2">
      <c r="A234" s="85">
        <v>1129</v>
      </c>
      <c r="B234" s="97" t="s">
        <v>2657</v>
      </c>
    </row>
    <row r="235" spans="1:2">
      <c r="A235" s="85">
        <v>1130</v>
      </c>
      <c r="B235" s="97" t="s">
        <v>2658</v>
      </c>
    </row>
    <row r="236" spans="1:2">
      <c r="A236" s="85">
        <v>1131</v>
      </c>
      <c r="B236" s="97" t="s">
        <v>2659</v>
      </c>
    </row>
    <row r="237" spans="1:2">
      <c r="A237" s="85">
        <v>1132</v>
      </c>
      <c r="B237" s="97" t="s">
        <v>2660</v>
      </c>
    </row>
    <row r="238" spans="1:2">
      <c r="A238" s="85">
        <v>1133</v>
      </c>
      <c r="B238" s="97" t="s">
        <v>2661</v>
      </c>
    </row>
    <row r="239" spans="1:2">
      <c r="A239" s="85">
        <v>1134</v>
      </c>
      <c r="B239" s="97" t="s">
        <v>2662</v>
      </c>
    </row>
    <row r="240" spans="1:2">
      <c r="A240" s="85">
        <v>1135</v>
      </c>
      <c r="B240" s="97" t="s">
        <v>2663</v>
      </c>
    </row>
    <row r="241" spans="1:2">
      <c r="A241" s="87">
        <v>1136</v>
      </c>
      <c r="B241" s="100" t="s">
        <v>2664</v>
      </c>
    </row>
    <row r="242" spans="1:2">
      <c r="A242" s="85">
        <v>1137</v>
      </c>
      <c r="B242" s="97" t="s">
        <v>2665</v>
      </c>
    </row>
    <row r="243" spans="1:2">
      <c r="A243" s="85">
        <v>1138</v>
      </c>
      <c r="B243" s="97" t="s">
        <v>2666</v>
      </c>
    </row>
    <row r="244" spans="1:2">
      <c r="A244" s="85">
        <v>1139</v>
      </c>
      <c r="B244" s="97" t="s">
        <v>2667</v>
      </c>
    </row>
    <row r="245" spans="1:2">
      <c r="A245" s="87">
        <v>1140</v>
      </c>
      <c r="B245" s="100" t="s">
        <v>2668</v>
      </c>
    </row>
    <row r="246" spans="1:2">
      <c r="A246" s="85">
        <v>1141</v>
      </c>
      <c r="B246" s="97" t="s">
        <v>2669</v>
      </c>
    </row>
    <row r="247" spans="1:2">
      <c r="A247" s="85">
        <v>1142</v>
      </c>
      <c r="B247" s="97" t="s">
        <v>2670</v>
      </c>
    </row>
    <row r="248" spans="1:2">
      <c r="A248" s="85">
        <v>1143</v>
      </c>
      <c r="B248" s="97" t="s">
        <v>2671</v>
      </c>
    </row>
    <row r="249" spans="1:2">
      <c r="A249" s="85">
        <v>1144</v>
      </c>
      <c r="B249" s="97" t="s">
        <v>2672</v>
      </c>
    </row>
    <row r="250" spans="1:2">
      <c r="A250" s="85">
        <v>1145</v>
      </c>
      <c r="B250" s="97" t="s">
        <v>2603</v>
      </c>
    </row>
    <row r="251" spans="1:2">
      <c r="A251" s="85">
        <v>1146</v>
      </c>
      <c r="B251" s="97" t="s">
        <v>2604</v>
      </c>
    </row>
    <row r="252" spans="1:2">
      <c r="A252" s="85">
        <v>1147</v>
      </c>
      <c r="B252" s="97" t="s">
        <v>2673</v>
      </c>
    </row>
    <row r="253" spans="1:2">
      <c r="A253" s="85">
        <v>1148</v>
      </c>
      <c r="B253" s="97" t="s">
        <v>2674</v>
      </c>
    </row>
    <row r="254" spans="1:2">
      <c r="A254" s="85">
        <v>1149</v>
      </c>
      <c r="B254" s="97" t="s">
        <v>2675</v>
      </c>
    </row>
    <row r="255" spans="1:2">
      <c r="A255" s="85">
        <v>1150</v>
      </c>
      <c r="B255" s="97" t="s">
        <v>2676</v>
      </c>
    </row>
    <row r="256" spans="1:2">
      <c r="A256" s="85">
        <v>1151</v>
      </c>
      <c r="B256" s="97" t="s">
        <v>2600</v>
      </c>
    </row>
    <row r="257" spans="1:2">
      <c r="A257" s="85">
        <v>1152</v>
      </c>
      <c r="B257" s="97" t="s">
        <v>2677</v>
      </c>
    </row>
    <row r="258" spans="1:2">
      <c r="A258" s="85">
        <v>1153</v>
      </c>
      <c r="B258" s="97" t="s">
        <v>2678</v>
      </c>
    </row>
    <row r="259" spans="1:2">
      <c r="A259" s="85">
        <v>1154</v>
      </c>
      <c r="B259" s="97" t="s">
        <v>2679</v>
      </c>
    </row>
    <row r="260" spans="1:2">
      <c r="A260" s="85">
        <v>1155</v>
      </c>
      <c r="B260" s="97" t="s">
        <v>2680</v>
      </c>
    </row>
    <row r="261" spans="1:2">
      <c r="A261" s="85">
        <v>1156</v>
      </c>
      <c r="B261" s="97" t="s">
        <v>2681</v>
      </c>
    </row>
    <row r="262" spans="1:2">
      <c r="A262" s="85">
        <v>1157</v>
      </c>
      <c r="B262" s="97" t="s">
        <v>2682</v>
      </c>
    </row>
    <row r="263" spans="1:2">
      <c r="A263" s="85">
        <v>1158</v>
      </c>
      <c r="B263" s="97" t="s">
        <v>2683</v>
      </c>
    </row>
    <row r="264" spans="1:2">
      <c r="A264" s="86">
        <v>1159</v>
      </c>
      <c r="B264" s="101" t="s">
        <v>2684</v>
      </c>
    </row>
    <row r="265" spans="1:2">
      <c r="A265" s="86">
        <v>1160</v>
      </c>
      <c r="B265" s="101" t="s">
        <v>2685</v>
      </c>
    </row>
    <row r="266" spans="1:2">
      <c r="A266" s="85">
        <v>1161</v>
      </c>
      <c r="B266" s="97" t="s">
        <v>2686</v>
      </c>
    </row>
    <row r="267" spans="1:2">
      <c r="A267" s="85">
        <v>1162</v>
      </c>
      <c r="B267" s="101" t="s">
        <v>2687</v>
      </c>
    </row>
    <row r="268" spans="1:2">
      <c r="A268" s="85">
        <v>1163</v>
      </c>
      <c r="B268" s="101" t="s">
        <v>2688</v>
      </c>
    </row>
    <row r="269" spans="1:2">
      <c r="A269" s="85">
        <v>1164</v>
      </c>
      <c r="B269" s="97" t="s">
        <v>2689</v>
      </c>
    </row>
    <row r="270" spans="1:2">
      <c r="A270" s="85">
        <v>1165</v>
      </c>
      <c r="B270" s="101" t="s">
        <v>2690</v>
      </c>
    </row>
    <row r="271" spans="1:2">
      <c r="A271" s="85">
        <v>1166</v>
      </c>
      <c r="B271" s="101" t="s">
        <v>2691</v>
      </c>
    </row>
    <row r="272" spans="1:2">
      <c r="A272" s="85">
        <v>1167</v>
      </c>
      <c r="B272" s="97" t="s">
        <v>2692</v>
      </c>
    </row>
    <row r="273" spans="1:2">
      <c r="A273" s="87">
        <v>1168</v>
      </c>
      <c r="B273" s="100" t="s">
        <v>2693</v>
      </c>
    </row>
    <row r="274" spans="1:2">
      <c r="A274" s="85">
        <v>1169</v>
      </c>
      <c r="B274" s="97" t="s">
        <v>2694</v>
      </c>
    </row>
    <row r="275" spans="1:2">
      <c r="A275" s="85">
        <v>1170</v>
      </c>
      <c r="B275" s="101" t="s">
        <v>2695</v>
      </c>
    </row>
    <row r="276" spans="1:2">
      <c r="A276" s="85">
        <v>1171</v>
      </c>
      <c r="B276" s="101" t="s">
        <v>2696</v>
      </c>
    </row>
    <row r="277" spans="1:2">
      <c r="A277" s="85">
        <v>1172</v>
      </c>
      <c r="B277" s="97" t="s">
        <v>2697</v>
      </c>
    </row>
    <row r="278" spans="1:2">
      <c r="A278" s="85">
        <v>1173</v>
      </c>
      <c r="B278" s="97" t="s">
        <v>2698</v>
      </c>
    </row>
    <row r="279" spans="1:2">
      <c r="A279" s="85">
        <v>1174</v>
      </c>
      <c r="B279" s="97" t="s">
        <v>2699</v>
      </c>
    </row>
    <row r="280" spans="1:2">
      <c r="A280" s="85">
        <v>1175</v>
      </c>
      <c r="B280" s="97" t="s">
        <v>2700</v>
      </c>
    </row>
    <row r="281" spans="1:2">
      <c r="A281" s="85">
        <v>1176</v>
      </c>
      <c r="B281" s="97" t="s">
        <v>2701</v>
      </c>
    </row>
    <row r="282" spans="1:2">
      <c r="A282" s="85">
        <v>1177</v>
      </c>
      <c r="B282" s="97" t="s">
        <v>2702</v>
      </c>
    </row>
    <row r="283" spans="1:2">
      <c r="A283" s="85">
        <v>1178</v>
      </c>
      <c r="B283" s="97" t="s">
        <v>2703</v>
      </c>
    </row>
    <row r="284" spans="1:2">
      <c r="A284" s="85">
        <v>1179</v>
      </c>
      <c r="B284" s="97" t="s">
        <v>822</v>
      </c>
    </row>
    <row r="285" spans="1:2">
      <c r="A285" s="85">
        <v>1180</v>
      </c>
      <c r="B285" s="97" t="s">
        <v>2704</v>
      </c>
    </row>
    <row r="286" spans="1:2">
      <c r="A286" s="85">
        <v>1181</v>
      </c>
      <c r="B286" s="97" t="s">
        <v>2705</v>
      </c>
    </row>
    <row r="287" spans="1:2">
      <c r="A287" s="87">
        <v>1182</v>
      </c>
      <c r="B287" s="100" t="s">
        <v>2706</v>
      </c>
    </row>
    <row r="288" spans="1:2">
      <c r="A288" s="85">
        <v>1183</v>
      </c>
      <c r="B288" s="97" t="s">
        <v>2707</v>
      </c>
    </row>
    <row r="289" spans="1:2">
      <c r="A289" s="85">
        <v>1184</v>
      </c>
      <c r="B289" s="97" t="s">
        <v>2708</v>
      </c>
    </row>
    <row r="290" spans="1:2">
      <c r="A290" s="85">
        <v>1185</v>
      </c>
      <c r="B290" s="97" t="s">
        <v>2709</v>
      </c>
    </row>
    <row r="291" spans="1:2">
      <c r="A291" s="85">
        <v>1186</v>
      </c>
      <c r="B291" s="97" t="s">
        <v>2710</v>
      </c>
    </row>
    <row r="292" spans="1:2">
      <c r="A292" s="85">
        <v>1187</v>
      </c>
      <c r="B292" s="97" t="s">
        <v>2711</v>
      </c>
    </row>
    <row r="293" spans="1:2">
      <c r="A293" s="85">
        <v>1188</v>
      </c>
      <c r="B293" s="97" t="s">
        <v>2712</v>
      </c>
    </row>
    <row r="294" spans="1:2">
      <c r="A294" s="85">
        <v>1189</v>
      </c>
      <c r="B294" s="97" t="s">
        <v>2713</v>
      </c>
    </row>
    <row r="295" spans="1:2">
      <c r="A295" s="85">
        <v>1190</v>
      </c>
      <c r="B295" s="97" t="s">
        <v>2713</v>
      </c>
    </row>
    <row r="296" spans="1:2">
      <c r="A296" s="85">
        <v>1191</v>
      </c>
      <c r="B296" s="101" t="s">
        <v>2714</v>
      </c>
    </row>
    <row r="297" spans="1:2">
      <c r="A297" s="85">
        <v>1192</v>
      </c>
      <c r="B297" s="101" t="s">
        <v>2715</v>
      </c>
    </row>
    <row r="298" spans="1:2">
      <c r="A298" s="85">
        <v>1193</v>
      </c>
      <c r="B298" s="97" t="s">
        <v>2716</v>
      </c>
    </row>
    <row r="299" spans="1:2">
      <c r="A299" s="85">
        <v>1194</v>
      </c>
      <c r="B299" s="97" t="s">
        <v>2717</v>
      </c>
    </row>
    <row r="300" spans="1:2">
      <c r="A300" s="87">
        <v>1195</v>
      </c>
      <c r="B300" s="100" t="s">
        <v>2718</v>
      </c>
    </row>
    <row r="301" spans="1:2">
      <c r="A301" s="85">
        <v>1196</v>
      </c>
      <c r="B301" s="97" t="s">
        <v>2719</v>
      </c>
    </row>
    <row r="302" spans="1:2">
      <c r="A302" s="85">
        <v>1197</v>
      </c>
      <c r="B302" s="97" t="s">
        <v>2646</v>
      </c>
    </row>
    <row r="303" spans="1:2">
      <c r="A303" s="85">
        <v>1198</v>
      </c>
      <c r="B303" s="97" t="s">
        <v>2720</v>
      </c>
    </row>
    <row r="304" spans="1:2">
      <c r="A304" s="85">
        <v>1199</v>
      </c>
      <c r="B304" s="97" t="s">
        <v>2721</v>
      </c>
    </row>
    <row r="305" spans="1:2">
      <c r="A305" s="85">
        <v>1200</v>
      </c>
      <c r="B305" s="97" t="s">
        <v>2722</v>
      </c>
    </row>
    <row r="306" spans="1:2">
      <c r="A306" s="85">
        <v>1201</v>
      </c>
      <c r="B306" s="101" t="s">
        <v>2723</v>
      </c>
    </row>
    <row r="307" spans="1:2">
      <c r="A307" s="85">
        <v>1202</v>
      </c>
      <c r="B307" s="97" t="s">
        <v>2724</v>
      </c>
    </row>
    <row r="308" spans="1:2">
      <c r="A308" s="85">
        <v>1203</v>
      </c>
      <c r="B308" s="97" t="s">
        <v>2725</v>
      </c>
    </row>
    <row r="309" spans="1:2">
      <c r="A309" s="85">
        <v>1204</v>
      </c>
      <c r="B309" s="97" t="s">
        <v>2726</v>
      </c>
    </row>
    <row r="310" spans="1:2">
      <c r="A310" s="85">
        <v>1205</v>
      </c>
      <c r="B310" s="97" t="s">
        <v>2584</v>
      </c>
    </row>
    <row r="311" spans="1:2">
      <c r="A311" s="85">
        <v>1206</v>
      </c>
      <c r="B311" s="97" t="s">
        <v>2727</v>
      </c>
    </row>
    <row r="312" spans="1:2">
      <c r="A312" s="85">
        <v>1207</v>
      </c>
      <c r="B312" s="97" t="s">
        <v>2728</v>
      </c>
    </row>
    <row r="313" spans="1:2">
      <c r="A313" s="86">
        <v>1208</v>
      </c>
      <c r="B313" s="101" t="s">
        <v>2729</v>
      </c>
    </row>
    <row r="314" spans="1:2">
      <c r="A314" s="86">
        <v>1209</v>
      </c>
      <c r="B314" s="101" t="s">
        <v>2730</v>
      </c>
    </row>
    <row r="315" spans="1:2">
      <c r="A315" s="86">
        <v>1210</v>
      </c>
      <c r="B315" s="101" t="s">
        <v>823</v>
      </c>
    </row>
    <row r="316" spans="1:2">
      <c r="A316" s="86">
        <v>1211</v>
      </c>
      <c r="B316" s="101" t="s">
        <v>2731</v>
      </c>
    </row>
    <row r="317" spans="1:2">
      <c r="A317" s="86">
        <v>1212</v>
      </c>
      <c r="B317" s="101" t="s">
        <v>2732</v>
      </c>
    </row>
    <row r="318" spans="1:2">
      <c r="A318" s="86">
        <v>1213</v>
      </c>
      <c r="B318" s="101" t="s">
        <v>2733</v>
      </c>
    </row>
    <row r="319" spans="1:2">
      <c r="A319" s="86">
        <v>1214</v>
      </c>
      <c r="B319" s="101" t="s">
        <v>2734</v>
      </c>
    </row>
    <row r="320" spans="1:2">
      <c r="A320" s="86">
        <v>1215</v>
      </c>
      <c r="B320" s="97" t="s">
        <v>2735</v>
      </c>
    </row>
    <row r="321" spans="1:2">
      <c r="A321" s="86">
        <v>1216</v>
      </c>
      <c r="B321" s="97" t="s">
        <v>2736</v>
      </c>
    </row>
    <row r="322" spans="1:2">
      <c r="A322" s="86">
        <v>1217</v>
      </c>
      <c r="B322" s="97" t="s">
        <v>2737</v>
      </c>
    </row>
    <row r="323" spans="1:2">
      <c r="A323" s="86">
        <v>1218</v>
      </c>
      <c r="B323" s="97" t="s">
        <v>2738</v>
      </c>
    </row>
    <row r="324" spans="1:2">
      <c r="A324" s="86">
        <v>1219</v>
      </c>
      <c r="B324" s="101" t="s">
        <v>2739</v>
      </c>
    </row>
    <row r="325" spans="1:2">
      <c r="A325" s="86">
        <v>1220</v>
      </c>
      <c r="B325" s="101" t="s">
        <v>2740</v>
      </c>
    </row>
    <row r="326" spans="1:2">
      <c r="A326" s="86">
        <v>1221</v>
      </c>
      <c r="B326" s="101" t="s">
        <v>2741</v>
      </c>
    </row>
    <row r="327" spans="1:2">
      <c r="A327" s="86">
        <v>1222</v>
      </c>
      <c r="B327" s="101" t="s">
        <v>2742</v>
      </c>
    </row>
    <row r="328" spans="1:2">
      <c r="A328" s="86">
        <v>1223</v>
      </c>
      <c r="B328" s="101" t="s">
        <v>2743</v>
      </c>
    </row>
    <row r="329" spans="1:2">
      <c r="A329" s="86">
        <v>1224</v>
      </c>
      <c r="B329" s="101" t="s">
        <v>2744</v>
      </c>
    </row>
    <row r="330" spans="1:2">
      <c r="A330" s="86">
        <v>1225</v>
      </c>
      <c r="B330" s="101" t="s">
        <v>2745</v>
      </c>
    </row>
    <row r="331" spans="1:2">
      <c r="A331" s="86">
        <v>1226</v>
      </c>
      <c r="B331" s="101" t="s">
        <v>2746</v>
      </c>
    </row>
    <row r="332" spans="1:2">
      <c r="A332" s="86">
        <v>1227</v>
      </c>
      <c r="B332" s="101" t="s">
        <v>2747</v>
      </c>
    </row>
    <row r="333" spans="1:2">
      <c r="A333" s="87">
        <v>1228</v>
      </c>
      <c r="B333" s="100" t="s">
        <v>2748</v>
      </c>
    </row>
    <row r="334" spans="1:2">
      <c r="A334" s="86">
        <v>1229</v>
      </c>
      <c r="B334" s="101" t="s">
        <v>2749</v>
      </c>
    </row>
    <row r="335" spans="1:2">
      <c r="A335" s="86">
        <v>1230</v>
      </c>
      <c r="B335" s="101" t="s">
        <v>2750</v>
      </c>
    </row>
    <row r="336" spans="1:2">
      <c r="A336" s="86">
        <v>1231</v>
      </c>
      <c r="B336" s="101" t="s">
        <v>2751</v>
      </c>
    </row>
    <row r="337" spans="1:2">
      <c r="A337" s="86">
        <v>1232</v>
      </c>
      <c r="B337" s="101" t="s">
        <v>2752</v>
      </c>
    </row>
    <row r="338" spans="1:2">
      <c r="A338" s="86">
        <v>1233</v>
      </c>
      <c r="B338" s="101" t="s">
        <v>2753</v>
      </c>
    </row>
    <row r="339" spans="1:2">
      <c r="A339" s="86">
        <v>1234</v>
      </c>
      <c r="B339" s="101" t="s">
        <v>2754</v>
      </c>
    </row>
    <row r="340" spans="1:2">
      <c r="A340" s="86">
        <v>1235</v>
      </c>
      <c r="B340" s="101" t="s">
        <v>2755</v>
      </c>
    </row>
    <row r="341" spans="1:2">
      <c r="A341" s="86">
        <v>1249</v>
      </c>
      <c r="B341" s="97" t="s">
        <v>2756</v>
      </c>
    </row>
    <row r="342" spans="1:2">
      <c r="A342" s="86">
        <v>1250</v>
      </c>
      <c r="B342" s="97" t="s">
        <v>2605</v>
      </c>
    </row>
    <row r="343" spans="1:2">
      <c r="A343" s="86">
        <v>1251</v>
      </c>
      <c r="B343" s="101" t="s">
        <v>2757</v>
      </c>
    </row>
    <row r="344" spans="1:2">
      <c r="A344" s="86">
        <v>1252</v>
      </c>
      <c r="B344" s="101" t="s">
        <v>2758</v>
      </c>
    </row>
    <row r="345" spans="1:2">
      <c r="A345" s="86">
        <v>1253</v>
      </c>
      <c r="B345" s="97" t="s">
        <v>2759</v>
      </c>
    </row>
    <row r="346" spans="1:2">
      <c r="A346" s="86">
        <v>1254</v>
      </c>
      <c r="B346" s="97" t="s">
        <v>2759</v>
      </c>
    </row>
    <row r="347" spans="1:2">
      <c r="A347" s="86">
        <v>1255</v>
      </c>
      <c r="B347" s="97" t="s">
        <v>2760</v>
      </c>
    </row>
    <row r="348" spans="1:2">
      <c r="A348" s="86">
        <v>1256</v>
      </c>
      <c r="B348" s="97" t="s">
        <v>2761</v>
      </c>
    </row>
    <row r="349" spans="1:2">
      <c r="A349" s="86">
        <v>1257</v>
      </c>
      <c r="B349" s="101" t="s">
        <v>2762</v>
      </c>
    </row>
    <row r="350" spans="1:2">
      <c r="A350" s="86">
        <v>1258</v>
      </c>
      <c r="B350" s="101" t="s">
        <v>2763</v>
      </c>
    </row>
    <row r="351" spans="1:2">
      <c r="A351" s="86">
        <v>1259</v>
      </c>
      <c r="B351" s="97" t="s">
        <v>2764</v>
      </c>
    </row>
    <row r="352" spans="1:2">
      <c r="A352" s="86">
        <v>1260</v>
      </c>
      <c r="B352" s="97" t="s">
        <v>2765</v>
      </c>
    </row>
    <row r="353" spans="1:2">
      <c r="A353" s="86">
        <v>1261</v>
      </c>
      <c r="B353" s="97" t="s">
        <v>2766</v>
      </c>
    </row>
    <row r="354" spans="1:2">
      <c r="A354" s="86">
        <v>1262</v>
      </c>
      <c r="B354" s="97" t="s">
        <v>2767</v>
      </c>
    </row>
    <row r="355" spans="1:2">
      <c r="A355" s="86">
        <v>1263</v>
      </c>
      <c r="B355" s="97" t="s">
        <v>2768</v>
      </c>
    </row>
    <row r="356" spans="1:2">
      <c r="A356" s="86">
        <v>1264</v>
      </c>
      <c r="B356" s="97" t="s">
        <v>2768</v>
      </c>
    </row>
    <row r="357" spans="1:2">
      <c r="A357" s="86">
        <v>1265</v>
      </c>
      <c r="B357" s="97" t="s">
        <v>2768</v>
      </c>
    </row>
    <row r="358" spans="1:2">
      <c r="A358" s="86">
        <v>1266</v>
      </c>
      <c r="B358" s="97" t="s">
        <v>2768</v>
      </c>
    </row>
    <row r="359" spans="1:2">
      <c r="A359" s="88">
        <v>1267</v>
      </c>
      <c r="B359" s="102" t="s">
        <v>2769</v>
      </c>
    </row>
    <row r="360" spans="1:2">
      <c r="A360" s="88">
        <v>1268</v>
      </c>
      <c r="B360" s="102" t="s">
        <v>2770</v>
      </c>
    </row>
    <row r="361" spans="1:2">
      <c r="A361" s="88">
        <v>1269</v>
      </c>
      <c r="B361" s="102" t="s">
        <v>2771</v>
      </c>
    </row>
    <row r="362" spans="1:2">
      <c r="A362" s="88">
        <v>1270</v>
      </c>
      <c r="B362" s="102" t="s">
        <v>2772</v>
      </c>
    </row>
    <row r="363" spans="1:2">
      <c r="A363" s="88">
        <v>1271</v>
      </c>
      <c r="B363" s="102" t="s">
        <v>2773</v>
      </c>
    </row>
    <row r="364" spans="1:2">
      <c r="A364" s="88">
        <v>1272</v>
      </c>
      <c r="B364" s="102" t="s">
        <v>2774</v>
      </c>
    </row>
    <row r="365" spans="1:2">
      <c r="A365" s="88">
        <v>1273</v>
      </c>
      <c r="B365" s="102" t="s">
        <v>2775</v>
      </c>
    </row>
    <row r="366" spans="1:2">
      <c r="A366" s="88">
        <v>1274</v>
      </c>
      <c r="B366" s="102" t="s">
        <v>2776</v>
      </c>
    </row>
    <row r="367" spans="1:2">
      <c r="A367" s="88">
        <v>1279</v>
      </c>
      <c r="B367" s="102" t="s">
        <v>2777</v>
      </c>
    </row>
    <row r="368" spans="1:2">
      <c r="A368" s="88">
        <v>1275</v>
      </c>
      <c r="B368" s="102" t="s">
        <v>2778</v>
      </c>
    </row>
    <row r="369" spans="1:2">
      <c r="A369" s="88">
        <v>1276</v>
      </c>
      <c r="B369" s="102" t="s">
        <v>2779</v>
      </c>
    </row>
    <row r="370" spans="1:2">
      <c r="A370" s="88">
        <v>1277</v>
      </c>
      <c r="B370" s="102" t="s">
        <v>2780</v>
      </c>
    </row>
    <row r="371" spans="1:2">
      <c r="A371" s="88">
        <v>1278</v>
      </c>
      <c r="B371" s="102" t="s">
        <v>2781</v>
      </c>
    </row>
    <row r="372" spans="1:2">
      <c r="A372" s="89">
        <v>1280</v>
      </c>
      <c r="B372" s="103" t="s">
        <v>2782</v>
      </c>
    </row>
    <row r="373" spans="1:2">
      <c r="A373" s="89">
        <v>1281</v>
      </c>
      <c r="B373" s="103" t="s">
        <v>2783</v>
      </c>
    </row>
    <row r="374" spans="1:2">
      <c r="A374" s="89">
        <v>1282</v>
      </c>
      <c r="B374" s="103" t="s">
        <v>2784</v>
      </c>
    </row>
    <row r="375" spans="1:2">
      <c r="A375" s="89">
        <v>1283</v>
      </c>
      <c r="B375" s="103" t="s">
        <v>2785</v>
      </c>
    </row>
    <row r="376" spans="1:2">
      <c r="A376" s="89">
        <v>1284</v>
      </c>
      <c r="B376" s="104" t="s">
        <v>2786</v>
      </c>
    </row>
    <row r="377" spans="1:2">
      <c r="A377" s="89">
        <v>1285</v>
      </c>
      <c r="B377" s="104" t="s">
        <v>2787</v>
      </c>
    </row>
    <row r="378" spans="1:2">
      <c r="A378" s="89">
        <v>1286</v>
      </c>
      <c r="B378" s="104" t="s">
        <v>2788</v>
      </c>
    </row>
    <row r="379" spans="1:2">
      <c r="A379" s="89">
        <v>1287</v>
      </c>
      <c r="B379" s="104" t="s">
        <v>2789</v>
      </c>
    </row>
    <row r="380" spans="1:2">
      <c r="A380" s="89">
        <v>1288</v>
      </c>
      <c r="B380" s="104" t="s">
        <v>2790</v>
      </c>
    </row>
    <row r="381" spans="1:2">
      <c r="A381" s="89">
        <v>1289</v>
      </c>
      <c r="B381" s="104" t="s">
        <v>2791</v>
      </c>
    </row>
    <row r="382" spans="1:2">
      <c r="A382" s="89">
        <v>1290</v>
      </c>
      <c r="B382" s="104" t="s">
        <v>2792</v>
      </c>
    </row>
    <row r="383" spans="1:2">
      <c r="A383" s="89">
        <v>1291</v>
      </c>
      <c r="B383" s="104" t="s">
        <v>2793</v>
      </c>
    </row>
    <row r="384" spans="1:2">
      <c r="A384" s="89">
        <v>1292</v>
      </c>
      <c r="B384" s="104" t="s">
        <v>2794</v>
      </c>
    </row>
    <row r="385" spans="1:2">
      <c r="A385" s="89">
        <v>1293</v>
      </c>
      <c r="B385" s="104" t="s">
        <v>2795</v>
      </c>
    </row>
    <row r="386" spans="1:2">
      <c r="A386" s="89">
        <v>1294</v>
      </c>
      <c r="B386" s="104" t="s">
        <v>2796</v>
      </c>
    </row>
    <row r="387" spans="1:2">
      <c r="A387" s="89">
        <v>1295</v>
      </c>
      <c r="B387" s="104" t="s">
        <v>2797</v>
      </c>
    </row>
    <row r="388" spans="1:2">
      <c r="A388" s="89">
        <v>1296</v>
      </c>
      <c r="B388" s="104" t="s">
        <v>2798</v>
      </c>
    </row>
    <row r="389" spans="1:2">
      <c r="A389" s="89">
        <v>1297</v>
      </c>
      <c r="B389" s="104" t="s">
        <v>2799</v>
      </c>
    </row>
    <row r="390" spans="1:2">
      <c r="A390" s="89">
        <v>1298</v>
      </c>
      <c r="B390" s="104" t="s">
        <v>2800</v>
      </c>
    </row>
    <row r="391" spans="1:2">
      <c r="A391" s="89">
        <v>1299</v>
      </c>
      <c r="B391" s="104" t="s">
        <v>2801</v>
      </c>
    </row>
    <row r="392" spans="1:2">
      <c r="A392" s="89">
        <v>1300</v>
      </c>
      <c r="B392" s="104" t="s">
        <v>2802</v>
      </c>
    </row>
    <row r="393" spans="1:2">
      <c r="A393" s="89">
        <v>1301</v>
      </c>
      <c r="B393" s="104" t="s">
        <v>2803</v>
      </c>
    </row>
    <row r="394" spans="1:2">
      <c r="A394" s="89">
        <v>1302</v>
      </c>
      <c r="B394" s="104" t="s">
        <v>2804</v>
      </c>
    </row>
    <row r="395" spans="1:2">
      <c r="A395" s="89">
        <v>1303</v>
      </c>
      <c r="B395" s="104" t="s">
        <v>2470</v>
      </c>
    </row>
    <row r="396" spans="1:2">
      <c r="A396" s="89">
        <v>1304</v>
      </c>
      <c r="B396" s="104" t="s">
        <v>2805</v>
      </c>
    </row>
    <row r="397" spans="1:2">
      <c r="A397" s="89">
        <v>1305</v>
      </c>
      <c r="B397" s="104" t="s">
        <v>2739</v>
      </c>
    </row>
    <row r="398" spans="1:2">
      <c r="A398" s="86"/>
      <c r="B398" s="97"/>
    </row>
    <row r="399" spans="1:2">
      <c r="A399" s="85"/>
      <c r="B399" s="96" t="s">
        <v>2806</v>
      </c>
    </row>
    <row r="400" spans="1:2">
      <c r="A400" s="85" t="s">
        <v>2443</v>
      </c>
      <c r="B400" s="97" t="s">
        <v>2807</v>
      </c>
    </row>
    <row r="401" spans="1:2">
      <c r="A401" s="85">
        <v>3002</v>
      </c>
      <c r="B401" s="97" t="s">
        <v>2808</v>
      </c>
    </row>
    <row r="402" spans="1:2">
      <c r="A402" s="85" t="s">
        <v>639</v>
      </c>
      <c r="B402" s="97" t="s">
        <v>2809</v>
      </c>
    </row>
    <row r="403" spans="1:2">
      <c r="A403" s="85">
        <v>3004</v>
      </c>
      <c r="B403" s="97" t="s">
        <v>2810</v>
      </c>
    </row>
    <row r="404" spans="1:2">
      <c r="A404" s="85">
        <v>3005</v>
      </c>
      <c r="B404" s="97" t="s">
        <v>2811</v>
      </c>
    </row>
    <row r="405" spans="1:2">
      <c r="A405" s="85" t="s">
        <v>640</v>
      </c>
      <c r="B405" s="97" t="s">
        <v>2812</v>
      </c>
    </row>
    <row r="406" spans="1:2">
      <c r="A406" s="85">
        <v>3007</v>
      </c>
      <c r="B406" s="101" t="s">
        <v>635</v>
      </c>
    </row>
    <row r="407" spans="1:2">
      <c r="A407" s="85">
        <v>3008</v>
      </c>
      <c r="B407" s="101" t="s">
        <v>2813</v>
      </c>
    </row>
    <row r="408" spans="1:2">
      <c r="A408" s="85">
        <v>3009</v>
      </c>
      <c r="B408" s="97" t="s">
        <v>2814</v>
      </c>
    </row>
    <row r="409" spans="1:2">
      <c r="A409" s="85">
        <v>3010</v>
      </c>
      <c r="B409" s="97" t="s">
        <v>2669</v>
      </c>
    </row>
    <row r="410" spans="1:2">
      <c r="A410" s="85">
        <v>3011</v>
      </c>
      <c r="B410" s="97" t="s">
        <v>2670</v>
      </c>
    </row>
    <row r="411" spans="1:2">
      <c r="A411" s="85">
        <v>3012</v>
      </c>
      <c r="B411" s="97" t="s">
        <v>2815</v>
      </c>
    </row>
    <row r="412" spans="1:2">
      <c r="A412" s="85">
        <v>3013</v>
      </c>
      <c r="B412" s="97" t="s">
        <v>2816</v>
      </c>
    </row>
    <row r="413" spans="1:2">
      <c r="A413" s="85">
        <v>3014</v>
      </c>
      <c r="B413" s="97" t="s">
        <v>2817</v>
      </c>
    </row>
    <row r="414" spans="1:2">
      <c r="A414" s="85">
        <v>3015</v>
      </c>
      <c r="B414" s="97" t="s">
        <v>2659</v>
      </c>
    </row>
    <row r="415" spans="1:2">
      <c r="A415" s="85">
        <v>3016</v>
      </c>
      <c r="B415" s="97" t="s">
        <v>2660</v>
      </c>
    </row>
    <row r="416" spans="1:2">
      <c r="A416" s="85">
        <v>3017</v>
      </c>
      <c r="B416" s="97" t="s">
        <v>2661</v>
      </c>
    </row>
    <row r="417" spans="1:2">
      <c r="A417" s="85">
        <v>3018</v>
      </c>
      <c r="B417" s="97" t="s">
        <v>2818</v>
      </c>
    </row>
    <row r="418" spans="1:2">
      <c r="A418" s="85">
        <v>3019</v>
      </c>
      <c r="B418" s="97" t="s">
        <v>2819</v>
      </c>
    </row>
    <row r="419" spans="1:2">
      <c r="A419" s="85">
        <v>3020</v>
      </c>
      <c r="B419" s="97" t="s">
        <v>2820</v>
      </c>
    </row>
    <row r="420" spans="1:2">
      <c r="A420" s="85">
        <v>3021</v>
      </c>
      <c r="B420" s="97" t="s">
        <v>2821</v>
      </c>
    </row>
    <row r="421" spans="1:2">
      <c r="A421" s="85">
        <v>3022</v>
      </c>
      <c r="B421" s="97" t="s">
        <v>2822</v>
      </c>
    </row>
    <row r="422" spans="1:2">
      <c r="A422" s="85">
        <v>3023</v>
      </c>
      <c r="B422" s="97" t="s">
        <v>2823</v>
      </c>
    </row>
    <row r="423" spans="1:2">
      <c r="A423" s="85">
        <v>3024</v>
      </c>
      <c r="B423" s="97" t="s">
        <v>2708</v>
      </c>
    </row>
    <row r="424" spans="1:2">
      <c r="A424" s="85">
        <v>3025</v>
      </c>
      <c r="B424" s="97" t="s">
        <v>2824</v>
      </c>
    </row>
    <row r="425" spans="1:2">
      <c r="A425" s="85">
        <v>3026</v>
      </c>
      <c r="B425" s="97" t="s">
        <v>2825</v>
      </c>
    </row>
    <row r="426" spans="1:2">
      <c r="A426" s="85">
        <v>3027</v>
      </c>
      <c r="B426" s="97" t="s">
        <v>2826</v>
      </c>
    </row>
    <row r="427" spans="1:2">
      <c r="A427" s="85">
        <v>3028</v>
      </c>
      <c r="B427" s="97" t="s">
        <v>2825</v>
      </c>
    </row>
    <row r="428" spans="1:2">
      <c r="A428" s="85">
        <v>3029</v>
      </c>
      <c r="B428" s="97" t="s">
        <v>2827</v>
      </c>
    </row>
    <row r="429" spans="1:2">
      <c r="A429" s="85">
        <v>3030</v>
      </c>
      <c r="B429" s="97" t="s">
        <v>2828</v>
      </c>
    </row>
    <row r="430" spans="1:2">
      <c r="A430" s="85">
        <v>3031</v>
      </c>
      <c r="B430" s="97" t="s">
        <v>2827</v>
      </c>
    </row>
    <row r="431" spans="1:2">
      <c r="A431" s="85">
        <v>3032</v>
      </c>
      <c r="B431" s="97" t="s">
        <v>2828</v>
      </c>
    </row>
    <row r="432" spans="1:2">
      <c r="A432" s="85">
        <v>3033</v>
      </c>
      <c r="B432" s="97" t="s">
        <v>2829</v>
      </c>
    </row>
    <row r="433" spans="1:2">
      <c r="A433" s="85">
        <v>3034</v>
      </c>
      <c r="B433" s="97" t="s">
        <v>2830</v>
      </c>
    </row>
    <row r="434" spans="1:2">
      <c r="A434" s="85">
        <v>3035</v>
      </c>
      <c r="B434" s="97" t="s">
        <v>2826</v>
      </c>
    </row>
    <row r="435" spans="1:2">
      <c r="A435" s="85">
        <v>3036</v>
      </c>
      <c r="B435" s="97" t="s">
        <v>2825</v>
      </c>
    </row>
    <row r="436" spans="1:2">
      <c r="A436" s="87">
        <v>3037</v>
      </c>
      <c r="B436" s="100" t="s">
        <v>2831</v>
      </c>
    </row>
    <row r="437" spans="1:2">
      <c r="A437" s="85">
        <v>3038</v>
      </c>
      <c r="B437" s="97" t="s">
        <v>2832</v>
      </c>
    </row>
    <row r="438" spans="1:2">
      <c r="A438" s="85">
        <v>3039</v>
      </c>
      <c r="B438" s="97" t="s">
        <v>2833</v>
      </c>
    </row>
    <row r="439" spans="1:2">
      <c r="A439" s="85">
        <v>3040</v>
      </c>
      <c r="B439" s="97" t="s">
        <v>2834</v>
      </c>
    </row>
    <row r="440" spans="1:2">
      <c r="A440" s="85">
        <v>3041</v>
      </c>
      <c r="B440" s="97" t="s">
        <v>2835</v>
      </c>
    </row>
    <row r="441" spans="1:2">
      <c r="A441" s="85">
        <v>3042</v>
      </c>
      <c r="B441" s="97" t="s">
        <v>2836</v>
      </c>
    </row>
    <row r="442" spans="1:2">
      <c r="A442" s="85">
        <v>3043</v>
      </c>
      <c r="B442" s="97" t="s">
        <v>2837</v>
      </c>
    </row>
    <row r="443" spans="1:2">
      <c r="A443" s="85">
        <v>3044</v>
      </c>
      <c r="B443" s="97" t="s">
        <v>2838</v>
      </c>
    </row>
    <row r="444" spans="1:2">
      <c r="A444" s="85">
        <v>3045</v>
      </c>
      <c r="B444" s="101" t="s">
        <v>2839</v>
      </c>
    </row>
    <row r="445" spans="1:2">
      <c r="A445" s="85">
        <v>3046</v>
      </c>
      <c r="B445" s="97" t="s">
        <v>2840</v>
      </c>
    </row>
    <row r="446" spans="1:2">
      <c r="A446" s="85">
        <v>3047</v>
      </c>
      <c r="B446" s="97" t="s">
        <v>2708</v>
      </c>
    </row>
    <row r="447" spans="1:2">
      <c r="A447" s="85">
        <v>3048</v>
      </c>
      <c r="B447" s="97" t="s">
        <v>2841</v>
      </c>
    </row>
    <row r="448" spans="1:2">
      <c r="A448" s="85">
        <v>3049</v>
      </c>
      <c r="B448" s="97" t="s">
        <v>2710</v>
      </c>
    </row>
    <row r="449" spans="1:2">
      <c r="A449" s="85">
        <v>3050</v>
      </c>
      <c r="B449" s="97" t="s">
        <v>2842</v>
      </c>
    </row>
    <row r="450" spans="1:2">
      <c r="A450" s="85">
        <v>3051</v>
      </c>
      <c r="B450" s="97" t="s">
        <v>2843</v>
      </c>
    </row>
    <row r="451" spans="1:2">
      <c r="A451" s="85">
        <v>3052</v>
      </c>
      <c r="B451" s="97" t="s">
        <v>2844</v>
      </c>
    </row>
    <row r="452" spans="1:2">
      <c r="A452" s="85">
        <v>3057</v>
      </c>
      <c r="B452" s="97" t="s">
        <v>2845</v>
      </c>
    </row>
    <row r="453" spans="1:2">
      <c r="A453" s="85">
        <v>3058</v>
      </c>
      <c r="B453" s="97" t="s">
        <v>2846</v>
      </c>
    </row>
    <row r="454" spans="1:2">
      <c r="A454" s="85">
        <v>3059</v>
      </c>
      <c r="B454" s="97" t="s">
        <v>2846</v>
      </c>
    </row>
    <row r="455" spans="1:2">
      <c r="A455" s="85">
        <v>3060</v>
      </c>
      <c r="B455" s="97" t="s">
        <v>2847</v>
      </c>
    </row>
    <row r="456" spans="1:2">
      <c r="A456" s="85">
        <v>3061</v>
      </c>
      <c r="B456" s="97" t="s">
        <v>2848</v>
      </c>
    </row>
    <row r="457" spans="1:2">
      <c r="A457" s="85">
        <v>3062</v>
      </c>
      <c r="B457" s="97" t="s">
        <v>2849</v>
      </c>
    </row>
    <row r="458" spans="1:2">
      <c r="A458" s="85">
        <v>3063</v>
      </c>
      <c r="B458" s="97" t="s">
        <v>2850</v>
      </c>
    </row>
    <row r="459" spans="1:2">
      <c r="A459" s="85">
        <v>3064</v>
      </c>
      <c r="B459" s="97" t="s">
        <v>2851</v>
      </c>
    </row>
    <row r="460" spans="1:2">
      <c r="A460" s="85">
        <v>3065</v>
      </c>
      <c r="B460" s="97" t="s">
        <v>2852</v>
      </c>
    </row>
    <row r="461" spans="1:2">
      <c r="A461" s="85">
        <v>3066</v>
      </c>
      <c r="B461" s="97" t="s">
        <v>2853</v>
      </c>
    </row>
    <row r="462" spans="1:2">
      <c r="A462" s="85">
        <v>3067</v>
      </c>
      <c r="B462" s="97" t="s">
        <v>2854</v>
      </c>
    </row>
    <row r="463" spans="1:2">
      <c r="A463" s="85">
        <v>3068</v>
      </c>
      <c r="B463" s="97" t="s">
        <v>2698</v>
      </c>
    </row>
    <row r="464" spans="1:2">
      <c r="A464" s="85">
        <v>3069</v>
      </c>
      <c r="B464" s="97" t="s">
        <v>2699</v>
      </c>
    </row>
    <row r="465" spans="1:2">
      <c r="A465" s="85">
        <v>3070</v>
      </c>
      <c r="B465" s="97" t="s">
        <v>2700</v>
      </c>
    </row>
    <row r="466" spans="1:2">
      <c r="A466" s="85">
        <v>3071</v>
      </c>
      <c r="B466" s="97" t="s">
        <v>2701</v>
      </c>
    </row>
    <row r="467" spans="1:2">
      <c r="A467" s="85">
        <v>3072</v>
      </c>
      <c r="B467" s="97" t="s">
        <v>2855</v>
      </c>
    </row>
    <row r="468" spans="1:2">
      <c r="A468" s="85">
        <v>3073</v>
      </c>
      <c r="B468" s="97" t="s">
        <v>2856</v>
      </c>
    </row>
    <row r="469" spans="1:2">
      <c r="A469" s="85">
        <v>3074</v>
      </c>
      <c r="B469" s="97" t="s">
        <v>2857</v>
      </c>
    </row>
    <row r="470" spans="1:2">
      <c r="A470" s="85">
        <v>3075</v>
      </c>
      <c r="B470" s="97" t="s">
        <v>2858</v>
      </c>
    </row>
    <row r="471" spans="1:2">
      <c r="A471" s="85">
        <v>3076</v>
      </c>
      <c r="B471" s="97" t="s">
        <v>2859</v>
      </c>
    </row>
    <row r="472" spans="1:2">
      <c r="A472" s="85">
        <v>3077</v>
      </c>
      <c r="B472" s="97" t="s">
        <v>2860</v>
      </c>
    </row>
    <row r="473" spans="1:2">
      <c r="A473" s="85">
        <v>3078</v>
      </c>
      <c r="B473" s="97" t="s">
        <v>2861</v>
      </c>
    </row>
    <row r="474" spans="1:2">
      <c r="A474" s="85">
        <v>3079</v>
      </c>
      <c r="B474" s="97" t="s">
        <v>2862</v>
      </c>
    </row>
    <row r="475" spans="1:2">
      <c r="A475" s="85">
        <v>3080</v>
      </c>
      <c r="B475" s="97" t="s">
        <v>2863</v>
      </c>
    </row>
    <row r="476" spans="1:2">
      <c r="A476" s="85">
        <v>3081</v>
      </c>
      <c r="B476" s="97" t="s">
        <v>2864</v>
      </c>
    </row>
    <row r="477" spans="1:2">
      <c r="A477" s="85">
        <v>3082</v>
      </c>
      <c r="B477" s="97" t="s">
        <v>2865</v>
      </c>
    </row>
    <row r="478" spans="1:2">
      <c r="A478" s="85">
        <v>3083</v>
      </c>
      <c r="B478" s="97" t="s">
        <v>2866</v>
      </c>
    </row>
    <row r="479" spans="1:2">
      <c r="A479" s="85">
        <v>3084</v>
      </c>
      <c r="B479" s="97" t="s">
        <v>2866</v>
      </c>
    </row>
    <row r="480" spans="1:2">
      <c r="A480" s="85">
        <v>3085</v>
      </c>
      <c r="B480" s="97" t="s">
        <v>2866</v>
      </c>
    </row>
    <row r="481" spans="1:2">
      <c r="A481" s="87">
        <v>3086</v>
      </c>
      <c r="B481" s="100" t="s">
        <v>2867</v>
      </c>
    </row>
    <row r="482" spans="1:2">
      <c r="A482" s="85">
        <v>3087</v>
      </c>
      <c r="B482" s="97" t="s">
        <v>2868</v>
      </c>
    </row>
    <row r="483" spans="1:2">
      <c r="A483" s="85">
        <v>3088</v>
      </c>
      <c r="B483" s="97" t="s">
        <v>2869</v>
      </c>
    </row>
    <row r="484" spans="1:2">
      <c r="A484" s="85">
        <v>3089</v>
      </c>
      <c r="B484" s="97" t="s">
        <v>2870</v>
      </c>
    </row>
    <row r="485" spans="1:2">
      <c r="A485" s="85">
        <v>3090</v>
      </c>
      <c r="B485" s="97" t="s">
        <v>2871</v>
      </c>
    </row>
    <row r="486" spans="1:2">
      <c r="A486" s="85">
        <v>3091</v>
      </c>
      <c r="B486" s="97" t="s">
        <v>2550</v>
      </c>
    </row>
    <row r="487" spans="1:2">
      <c r="A487" s="85">
        <v>3092</v>
      </c>
      <c r="B487" s="97" t="s">
        <v>2551</v>
      </c>
    </row>
    <row r="488" spans="1:2">
      <c r="A488" s="85">
        <v>3093</v>
      </c>
      <c r="B488" s="97" t="s">
        <v>2872</v>
      </c>
    </row>
    <row r="489" spans="1:2">
      <c r="A489" s="85">
        <v>3094</v>
      </c>
      <c r="B489" s="97" t="s">
        <v>2873</v>
      </c>
    </row>
    <row r="490" spans="1:2">
      <c r="A490" s="85">
        <v>3095</v>
      </c>
      <c r="B490" s="97" t="s">
        <v>2874</v>
      </c>
    </row>
    <row r="491" spans="1:2">
      <c r="A491" s="85">
        <v>3096</v>
      </c>
      <c r="B491" s="97" t="s">
        <v>2875</v>
      </c>
    </row>
    <row r="492" spans="1:2">
      <c r="A492" s="85">
        <v>3097</v>
      </c>
      <c r="B492" s="97" t="s">
        <v>2663</v>
      </c>
    </row>
    <row r="493" spans="1:2">
      <c r="A493" s="85">
        <v>3098</v>
      </c>
      <c r="B493" s="97" t="s">
        <v>2876</v>
      </c>
    </row>
    <row r="494" spans="1:2">
      <c r="A494" s="85">
        <v>3099</v>
      </c>
      <c r="B494" s="97" t="s">
        <v>2877</v>
      </c>
    </row>
    <row r="495" spans="1:2">
      <c r="A495" s="85">
        <v>3100</v>
      </c>
      <c r="B495" s="97" t="s">
        <v>2878</v>
      </c>
    </row>
    <row r="496" spans="1:2">
      <c r="A496" s="85">
        <v>3101</v>
      </c>
      <c r="B496" s="97" t="s">
        <v>2879</v>
      </c>
    </row>
    <row r="497" spans="1:2">
      <c r="A497" s="85">
        <v>3102</v>
      </c>
      <c r="B497" s="97" t="s">
        <v>2878</v>
      </c>
    </row>
    <row r="498" spans="1:2">
      <c r="A498" s="85">
        <v>3103</v>
      </c>
      <c r="B498" s="97" t="s">
        <v>2880</v>
      </c>
    </row>
    <row r="499" spans="1:2">
      <c r="A499" s="85">
        <v>3104</v>
      </c>
      <c r="B499" s="97" t="s">
        <v>2881</v>
      </c>
    </row>
    <row r="500" spans="1:2">
      <c r="A500" s="85">
        <v>3105</v>
      </c>
      <c r="B500" s="97" t="s">
        <v>2882</v>
      </c>
    </row>
    <row r="501" spans="1:2">
      <c r="A501" s="85">
        <v>3106</v>
      </c>
      <c r="B501" s="97" t="s">
        <v>2883</v>
      </c>
    </row>
    <row r="502" spans="1:2">
      <c r="A502" s="85">
        <v>3108</v>
      </c>
      <c r="B502" s="97" t="s">
        <v>2884</v>
      </c>
    </row>
    <row r="503" spans="1:2">
      <c r="A503" s="85">
        <v>3109</v>
      </c>
      <c r="B503" s="97" t="s">
        <v>2885</v>
      </c>
    </row>
    <row r="504" spans="1:2">
      <c r="A504" s="85">
        <v>3110</v>
      </c>
      <c r="B504" s="97" t="s">
        <v>2886</v>
      </c>
    </row>
    <row r="505" spans="1:2">
      <c r="A505" s="85">
        <v>3111</v>
      </c>
      <c r="B505" s="97" t="s">
        <v>2887</v>
      </c>
    </row>
    <row r="506" spans="1:2">
      <c r="A506" s="85">
        <v>3112</v>
      </c>
      <c r="B506" s="97" t="s">
        <v>2888</v>
      </c>
    </row>
    <row r="507" spans="1:2">
      <c r="A507" s="85">
        <v>3113</v>
      </c>
      <c r="B507" s="97" t="s">
        <v>2889</v>
      </c>
    </row>
    <row r="508" spans="1:2">
      <c r="A508" s="85">
        <v>3114</v>
      </c>
      <c r="B508" s="97" t="s">
        <v>2889</v>
      </c>
    </row>
    <row r="509" spans="1:2">
      <c r="A509" s="85">
        <v>3115</v>
      </c>
      <c r="B509" s="97" t="s">
        <v>2890</v>
      </c>
    </row>
    <row r="510" spans="1:2">
      <c r="A510" s="85">
        <v>3116</v>
      </c>
      <c r="B510" s="97" t="s">
        <v>2891</v>
      </c>
    </row>
    <row r="511" spans="1:2">
      <c r="A511" s="85">
        <v>3120</v>
      </c>
      <c r="B511" s="97" t="s">
        <v>2892</v>
      </c>
    </row>
    <row r="512" spans="1:2">
      <c r="A512" s="85">
        <v>3121</v>
      </c>
      <c r="B512" s="97" t="s">
        <v>2893</v>
      </c>
    </row>
    <row r="513" spans="1:2">
      <c r="A513" s="85">
        <v>3122</v>
      </c>
      <c r="B513" s="97" t="s">
        <v>2894</v>
      </c>
    </row>
    <row r="514" spans="1:2">
      <c r="A514" s="85">
        <v>3123</v>
      </c>
      <c r="B514" s="97" t="s">
        <v>2895</v>
      </c>
    </row>
    <row r="515" spans="1:2">
      <c r="A515" s="85">
        <v>3124</v>
      </c>
      <c r="B515" s="97" t="s">
        <v>2896</v>
      </c>
    </row>
    <row r="516" spans="1:2">
      <c r="A516" s="85">
        <v>3125</v>
      </c>
      <c r="B516" s="97" t="s">
        <v>2836</v>
      </c>
    </row>
    <row r="517" spans="1:2">
      <c r="A517" s="85">
        <v>3126</v>
      </c>
      <c r="B517" s="97" t="s">
        <v>2837</v>
      </c>
    </row>
    <row r="518" spans="1:2">
      <c r="A518" s="85">
        <v>3127</v>
      </c>
      <c r="B518" s="97" t="s">
        <v>2838</v>
      </c>
    </row>
    <row r="519" spans="1:2">
      <c r="A519" s="85">
        <v>3128</v>
      </c>
      <c r="B519" s="97" t="s">
        <v>2836</v>
      </c>
    </row>
    <row r="520" spans="1:2">
      <c r="A520" s="85">
        <v>3129</v>
      </c>
      <c r="B520" s="97" t="s">
        <v>2837</v>
      </c>
    </row>
    <row r="521" spans="1:2">
      <c r="A521" s="85">
        <v>3130</v>
      </c>
      <c r="B521" s="97" t="s">
        <v>2838</v>
      </c>
    </row>
    <row r="522" spans="1:2">
      <c r="A522" s="85">
        <v>3131</v>
      </c>
      <c r="B522" s="97" t="s">
        <v>2846</v>
      </c>
    </row>
    <row r="523" spans="1:2">
      <c r="A523" s="85">
        <v>3132</v>
      </c>
      <c r="B523" s="97" t="s">
        <v>2897</v>
      </c>
    </row>
    <row r="524" spans="1:2">
      <c r="A524" s="85">
        <v>3133</v>
      </c>
      <c r="B524" s="97" t="s">
        <v>2846</v>
      </c>
    </row>
    <row r="525" spans="1:2">
      <c r="A525" s="85">
        <v>3134</v>
      </c>
      <c r="B525" s="97" t="s">
        <v>2897</v>
      </c>
    </row>
    <row r="526" spans="1:2">
      <c r="A526" s="85">
        <v>3135</v>
      </c>
      <c r="B526" s="97" t="s">
        <v>2847</v>
      </c>
    </row>
    <row r="527" spans="1:2">
      <c r="A527" s="85">
        <v>3136</v>
      </c>
      <c r="B527" s="97" t="s">
        <v>2848</v>
      </c>
    </row>
    <row r="528" spans="1:2">
      <c r="A528" s="85">
        <v>3137</v>
      </c>
      <c r="B528" s="97" t="s">
        <v>2849</v>
      </c>
    </row>
    <row r="529" spans="1:2">
      <c r="A529" s="85">
        <v>3138</v>
      </c>
      <c r="B529" s="97" t="s">
        <v>2847</v>
      </c>
    </row>
    <row r="530" spans="1:2">
      <c r="A530" s="85">
        <v>3139</v>
      </c>
      <c r="B530" s="97" t="s">
        <v>2848</v>
      </c>
    </row>
    <row r="531" spans="1:2">
      <c r="A531" s="85">
        <v>3140</v>
      </c>
      <c r="B531" s="97" t="s">
        <v>2849</v>
      </c>
    </row>
    <row r="532" spans="1:2">
      <c r="A532" s="85">
        <v>3141</v>
      </c>
      <c r="B532" s="97" t="s">
        <v>2892</v>
      </c>
    </row>
    <row r="533" spans="1:2">
      <c r="A533" s="85">
        <v>3142</v>
      </c>
      <c r="B533" s="97" t="s">
        <v>2892</v>
      </c>
    </row>
    <row r="534" spans="1:2">
      <c r="A534" s="85">
        <v>3143</v>
      </c>
      <c r="B534" s="97" t="s">
        <v>2870</v>
      </c>
    </row>
    <row r="535" spans="1:2">
      <c r="A535" s="85">
        <v>3144</v>
      </c>
      <c r="B535" s="97" t="s">
        <v>2871</v>
      </c>
    </row>
    <row r="536" spans="1:2">
      <c r="A536" s="85">
        <v>3145</v>
      </c>
      <c r="B536" s="97" t="s">
        <v>2870</v>
      </c>
    </row>
    <row r="537" spans="1:2">
      <c r="A537" s="85">
        <v>3146</v>
      </c>
      <c r="B537" s="97" t="s">
        <v>2871</v>
      </c>
    </row>
    <row r="538" spans="1:2">
      <c r="A538" s="85">
        <v>3147</v>
      </c>
      <c r="B538" s="97" t="s">
        <v>2875</v>
      </c>
    </row>
    <row r="539" spans="1:2">
      <c r="A539" s="85">
        <v>3148</v>
      </c>
      <c r="B539" s="97" t="s">
        <v>2875</v>
      </c>
    </row>
    <row r="540" spans="1:2">
      <c r="A540" s="85">
        <v>3149</v>
      </c>
      <c r="B540" s="97" t="s">
        <v>2896</v>
      </c>
    </row>
    <row r="541" spans="1:2">
      <c r="A541" s="85">
        <v>3150</v>
      </c>
      <c r="B541" s="97" t="s">
        <v>2896</v>
      </c>
    </row>
    <row r="542" spans="1:2">
      <c r="A542" s="85">
        <v>3151</v>
      </c>
      <c r="B542" s="97" t="s">
        <v>2877</v>
      </c>
    </row>
    <row r="543" spans="1:2">
      <c r="A543" s="85">
        <v>3152</v>
      </c>
      <c r="B543" s="97" t="s">
        <v>2879</v>
      </c>
    </row>
    <row r="544" spans="1:2">
      <c r="A544" s="85">
        <v>3153</v>
      </c>
      <c r="B544" s="97" t="s">
        <v>2877</v>
      </c>
    </row>
    <row r="545" spans="1:2">
      <c r="A545" s="85">
        <v>3154</v>
      </c>
      <c r="B545" s="97" t="s">
        <v>2879</v>
      </c>
    </row>
    <row r="546" spans="1:2">
      <c r="A546" s="85">
        <v>3155</v>
      </c>
      <c r="B546" s="97" t="s">
        <v>2885</v>
      </c>
    </row>
    <row r="547" spans="1:2">
      <c r="A547" s="85">
        <v>3156</v>
      </c>
      <c r="B547" s="97" t="s">
        <v>2886</v>
      </c>
    </row>
    <row r="548" spans="1:2">
      <c r="A548" s="85">
        <v>3157</v>
      </c>
      <c r="B548" s="97" t="s">
        <v>2887</v>
      </c>
    </row>
    <row r="549" spans="1:2">
      <c r="A549" s="85">
        <v>3158</v>
      </c>
      <c r="B549" s="97" t="s">
        <v>2885</v>
      </c>
    </row>
    <row r="550" spans="1:2">
      <c r="A550" s="85">
        <v>3159</v>
      </c>
      <c r="B550" s="97" t="s">
        <v>2886</v>
      </c>
    </row>
    <row r="551" spans="1:2">
      <c r="A551" s="85">
        <v>3160</v>
      </c>
      <c r="B551" s="97" t="s">
        <v>2887</v>
      </c>
    </row>
    <row r="552" spans="1:2">
      <c r="A552" s="85"/>
      <c r="B552" s="97"/>
    </row>
    <row r="553" spans="1:2">
      <c r="A553" s="85"/>
      <c r="B553" s="97"/>
    </row>
    <row r="554" spans="1:2">
      <c r="A554" s="85"/>
      <c r="B554" s="97"/>
    </row>
    <row r="555" spans="1:2">
      <c r="A555" s="85"/>
      <c r="B555" s="97"/>
    </row>
    <row r="556" spans="1:2">
      <c r="A556" s="85"/>
      <c r="B556" s="97"/>
    </row>
    <row r="557" spans="1:2">
      <c r="A557" s="85">
        <v>4001</v>
      </c>
      <c r="B557" s="97" t="s">
        <v>2898</v>
      </c>
    </row>
    <row r="558" spans="1:2">
      <c r="A558" s="85">
        <v>4002</v>
      </c>
      <c r="B558" s="97" t="s">
        <v>2708</v>
      </c>
    </row>
    <row r="559" spans="1:2">
      <c r="A559" s="85">
        <v>4003</v>
      </c>
      <c r="B559" s="97" t="s">
        <v>2825</v>
      </c>
    </row>
    <row r="560" spans="1:2">
      <c r="A560" s="85">
        <v>4004</v>
      </c>
      <c r="B560" s="97" t="s">
        <v>2899</v>
      </c>
    </row>
    <row r="561" spans="1:2">
      <c r="A561" s="85">
        <v>4005</v>
      </c>
      <c r="B561" s="97" t="s">
        <v>2900</v>
      </c>
    </row>
    <row r="562" spans="1:2">
      <c r="A562" s="85">
        <v>4006</v>
      </c>
      <c r="B562" s="97" t="s">
        <v>2901</v>
      </c>
    </row>
    <row r="563" spans="1:2">
      <c r="A563" s="85">
        <v>4007</v>
      </c>
      <c r="B563" s="97" t="s">
        <v>2902</v>
      </c>
    </row>
    <row r="564" spans="1:2">
      <c r="A564" s="85">
        <v>4008</v>
      </c>
      <c r="B564" s="97" t="s">
        <v>2903</v>
      </c>
    </row>
    <row r="565" spans="1:2">
      <c r="A565" s="85">
        <v>4009</v>
      </c>
      <c r="B565" s="97" t="s">
        <v>2904</v>
      </c>
    </row>
    <row r="566" spans="1:2">
      <c r="A566" s="85">
        <v>4010</v>
      </c>
      <c r="B566" s="97" t="s">
        <v>2905</v>
      </c>
    </row>
    <row r="567" spans="1:2">
      <c r="A567" s="85">
        <v>4011</v>
      </c>
      <c r="B567" s="97" t="s">
        <v>2906</v>
      </c>
    </row>
    <row r="568" spans="1:2">
      <c r="A568" s="85">
        <v>4012</v>
      </c>
      <c r="B568" s="97" t="s">
        <v>2907</v>
      </c>
    </row>
    <row r="569" spans="1:2">
      <c r="A569" s="85">
        <v>4013</v>
      </c>
      <c r="B569" s="97" t="s">
        <v>2908</v>
      </c>
    </row>
    <row r="570" spans="1:2">
      <c r="A570" s="85">
        <v>4014</v>
      </c>
      <c r="B570" s="97" t="s">
        <v>2909</v>
      </c>
    </row>
    <row r="571" spans="1:2">
      <c r="A571" s="85">
        <v>4015</v>
      </c>
      <c r="B571" s="97" t="s">
        <v>2910</v>
      </c>
    </row>
    <row r="572" spans="1:2">
      <c r="A572" s="85">
        <v>4016</v>
      </c>
      <c r="B572" s="97" t="s">
        <v>2911</v>
      </c>
    </row>
    <row r="573" spans="1:2">
      <c r="A573" s="85">
        <v>4017</v>
      </c>
      <c r="B573" s="97" t="s">
        <v>2912</v>
      </c>
    </row>
    <row r="574" spans="1:2">
      <c r="A574" s="85">
        <v>4018</v>
      </c>
      <c r="B574" s="97" t="s">
        <v>2913</v>
      </c>
    </row>
    <row r="575" spans="1:2">
      <c r="A575" s="85">
        <v>4019</v>
      </c>
      <c r="B575" s="97" t="s">
        <v>2914</v>
      </c>
    </row>
    <row r="576" spans="1:2">
      <c r="A576" s="85">
        <v>4020</v>
      </c>
      <c r="B576" s="97" t="s">
        <v>2915</v>
      </c>
    </row>
    <row r="577" spans="1:2">
      <c r="A577" s="85">
        <v>4021</v>
      </c>
      <c r="B577" s="97" t="s">
        <v>2916</v>
      </c>
    </row>
    <row r="578" spans="1:2">
      <c r="A578" s="85">
        <v>4022</v>
      </c>
      <c r="B578" s="97" t="s">
        <v>2917</v>
      </c>
    </row>
    <row r="579" spans="1:2">
      <c r="A579" s="85">
        <v>4023</v>
      </c>
      <c r="B579" s="97" t="s">
        <v>2918</v>
      </c>
    </row>
    <row r="580" spans="1:2">
      <c r="A580" s="85">
        <v>4024</v>
      </c>
      <c r="B580" s="97" t="s">
        <v>2919</v>
      </c>
    </row>
    <row r="581" spans="1:2">
      <c r="A581" s="85">
        <v>4025</v>
      </c>
      <c r="B581" s="97" t="s">
        <v>2920</v>
      </c>
    </row>
    <row r="582" spans="1:2">
      <c r="A582" s="85">
        <v>4026</v>
      </c>
      <c r="B582" s="97" t="s">
        <v>2921</v>
      </c>
    </row>
    <row r="583" spans="1:2">
      <c r="A583" s="85">
        <v>4027</v>
      </c>
      <c r="B583" s="97" t="s">
        <v>2922</v>
      </c>
    </row>
    <row r="584" spans="1:2">
      <c r="A584" s="85">
        <v>4028</v>
      </c>
      <c r="B584" s="97" t="s">
        <v>2923</v>
      </c>
    </row>
    <row r="585" spans="1:2">
      <c r="A585" s="85">
        <v>4029</v>
      </c>
      <c r="B585" s="97" t="s">
        <v>2924</v>
      </c>
    </row>
    <row r="586" spans="1:2">
      <c r="A586" s="85">
        <v>4030</v>
      </c>
      <c r="B586" s="97" t="s">
        <v>2925</v>
      </c>
    </row>
    <row r="587" spans="1:2">
      <c r="A587" s="85">
        <v>4031</v>
      </c>
      <c r="B587" s="97" t="s">
        <v>2926</v>
      </c>
    </row>
    <row r="588" spans="1:2">
      <c r="A588" s="85">
        <v>4032</v>
      </c>
      <c r="B588" s="97" t="s">
        <v>2927</v>
      </c>
    </row>
    <row r="589" spans="1:2">
      <c r="A589" s="85">
        <v>4033</v>
      </c>
      <c r="B589" s="97" t="s">
        <v>2928</v>
      </c>
    </row>
    <row r="590" spans="1:2">
      <c r="A590" s="85">
        <v>4034</v>
      </c>
      <c r="B590" s="97" t="s">
        <v>2929</v>
      </c>
    </row>
    <row r="591" spans="1:2">
      <c r="A591" s="85">
        <v>4035</v>
      </c>
      <c r="B591" s="97" t="s">
        <v>2930</v>
      </c>
    </row>
    <row r="592" spans="1:2">
      <c r="A592" s="85">
        <v>4036</v>
      </c>
      <c r="B592" s="97" t="s">
        <v>2931</v>
      </c>
    </row>
    <row r="593" spans="1:2">
      <c r="A593" s="85">
        <v>4037</v>
      </c>
      <c r="B593" s="97" t="s">
        <v>2932</v>
      </c>
    </row>
    <row r="594" spans="1:2">
      <c r="A594" s="85">
        <v>4038</v>
      </c>
      <c r="B594" s="97" t="s">
        <v>2933</v>
      </c>
    </row>
    <row r="595" spans="1:2">
      <c r="A595" s="85">
        <v>4039</v>
      </c>
      <c r="B595" s="97" t="s">
        <v>2934</v>
      </c>
    </row>
    <row r="596" spans="1:2">
      <c r="A596" s="85">
        <v>4040</v>
      </c>
      <c r="B596" s="97" t="s">
        <v>824</v>
      </c>
    </row>
    <row r="597" spans="1:2">
      <c r="A597" s="85">
        <v>4041</v>
      </c>
      <c r="B597" s="97" t="s">
        <v>825</v>
      </c>
    </row>
    <row r="598" spans="1:2">
      <c r="A598" s="85">
        <v>4042</v>
      </c>
      <c r="B598" s="97" t="s">
        <v>826</v>
      </c>
    </row>
    <row r="599" spans="1:2">
      <c r="A599" s="85">
        <v>4043</v>
      </c>
      <c r="B599" s="97" t="s">
        <v>827</v>
      </c>
    </row>
    <row r="600" spans="1:2">
      <c r="A600" s="85">
        <v>4044</v>
      </c>
      <c r="B600" s="97" t="s">
        <v>828</v>
      </c>
    </row>
    <row r="601" spans="1:2">
      <c r="A601" s="85">
        <v>4045</v>
      </c>
      <c r="B601" s="97" t="s">
        <v>829</v>
      </c>
    </row>
    <row r="602" spans="1:2">
      <c r="A602" s="85">
        <v>4046</v>
      </c>
      <c r="B602" s="97" t="s">
        <v>830</v>
      </c>
    </row>
    <row r="603" spans="1:2">
      <c r="A603" s="85">
        <v>4047</v>
      </c>
      <c r="B603" s="97" t="s">
        <v>831</v>
      </c>
    </row>
    <row r="604" spans="1:2">
      <c r="A604" s="85">
        <v>4048</v>
      </c>
      <c r="B604" s="97" t="s">
        <v>832</v>
      </c>
    </row>
    <row r="605" spans="1:2">
      <c r="A605" s="85">
        <v>4049</v>
      </c>
      <c r="B605" s="97" t="s">
        <v>833</v>
      </c>
    </row>
    <row r="606" spans="1:2">
      <c r="A606" s="85">
        <v>4050</v>
      </c>
      <c r="B606" s="97" t="s">
        <v>2935</v>
      </c>
    </row>
    <row r="607" spans="1:2">
      <c r="A607" s="85">
        <v>4051</v>
      </c>
      <c r="B607" s="97" t="s">
        <v>2936</v>
      </c>
    </row>
    <row r="608" spans="1:2">
      <c r="A608" s="85">
        <v>4052</v>
      </c>
      <c r="B608" s="97" t="s">
        <v>2937</v>
      </c>
    </row>
    <row r="609" spans="1:2">
      <c r="A609" s="85">
        <v>4053</v>
      </c>
      <c r="B609" s="97" t="s">
        <v>2938</v>
      </c>
    </row>
    <row r="610" spans="1:2">
      <c r="A610" s="85">
        <v>4054</v>
      </c>
      <c r="B610" s="97" t="s">
        <v>2939</v>
      </c>
    </row>
    <row r="611" spans="1:2">
      <c r="A611" s="85">
        <v>4055</v>
      </c>
      <c r="B611" s="97" t="s">
        <v>2940</v>
      </c>
    </row>
    <row r="612" spans="1:2">
      <c r="A612" s="85">
        <v>4056</v>
      </c>
      <c r="B612" s="97" t="s">
        <v>2941</v>
      </c>
    </row>
    <row r="613" spans="1:2">
      <c r="A613" s="85">
        <v>4057</v>
      </c>
      <c r="B613" s="97" t="s">
        <v>2942</v>
      </c>
    </row>
    <row r="614" spans="1:2">
      <c r="A614" s="85">
        <v>4058</v>
      </c>
      <c r="B614" s="97" t="s">
        <v>834</v>
      </c>
    </row>
    <row r="615" spans="1:2">
      <c r="A615" s="85">
        <v>4059</v>
      </c>
      <c r="B615" s="97" t="s">
        <v>835</v>
      </c>
    </row>
    <row r="616" spans="1:2">
      <c r="A616" s="85">
        <v>4060</v>
      </c>
      <c r="B616" s="97" t="s">
        <v>836</v>
      </c>
    </row>
    <row r="617" spans="1:2">
      <c r="A617" s="85">
        <v>4061</v>
      </c>
      <c r="B617" s="97" t="s">
        <v>837</v>
      </c>
    </row>
    <row r="618" spans="1:2">
      <c r="A618" s="85">
        <v>4062</v>
      </c>
      <c r="B618" s="97" t="s">
        <v>838</v>
      </c>
    </row>
    <row r="619" spans="1:2">
      <c r="A619" s="85">
        <v>4063</v>
      </c>
      <c r="B619" s="97" t="s">
        <v>839</v>
      </c>
    </row>
    <row r="620" spans="1:2">
      <c r="A620" s="85">
        <v>4064</v>
      </c>
      <c r="B620" s="97" t="s">
        <v>840</v>
      </c>
    </row>
    <row r="621" spans="1:2">
      <c r="A621" s="85">
        <v>4065</v>
      </c>
      <c r="B621" s="97" t="s">
        <v>841</v>
      </c>
    </row>
    <row r="622" spans="1:2">
      <c r="A622" s="85">
        <v>4066</v>
      </c>
      <c r="B622" s="97" t="s">
        <v>2943</v>
      </c>
    </row>
    <row r="623" spans="1:2">
      <c r="A623" s="85">
        <v>4067</v>
      </c>
      <c r="B623" s="97" t="s">
        <v>2944</v>
      </c>
    </row>
    <row r="624" spans="1:2">
      <c r="A624" s="85">
        <v>4068</v>
      </c>
      <c r="B624" s="97" t="s">
        <v>2945</v>
      </c>
    </row>
    <row r="625" spans="1:2">
      <c r="A625" s="85">
        <v>4069</v>
      </c>
      <c r="B625" s="97" t="s">
        <v>2946</v>
      </c>
    </row>
    <row r="626" spans="1:2">
      <c r="A626" s="85">
        <v>4070</v>
      </c>
      <c r="B626" s="97" t="s">
        <v>2947</v>
      </c>
    </row>
    <row r="627" spans="1:2">
      <c r="A627" s="85">
        <v>4071</v>
      </c>
      <c r="B627" s="97" t="s">
        <v>2948</v>
      </c>
    </row>
    <row r="628" spans="1:2">
      <c r="A628" s="85">
        <v>4072</v>
      </c>
      <c r="B628" s="97" t="s">
        <v>2949</v>
      </c>
    </row>
    <row r="629" spans="1:2">
      <c r="A629" s="85">
        <v>4073</v>
      </c>
      <c r="B629" s="97" t="s">
        <v>2950</v>
      </c>
    </row>
    <row r="630" spans="1:2">
      <c r="A630" s="85">
        <v>4074</v>
      </c>
      <c r="B630" s="97" t="s">
        <v>2951</v>
      </c>
    </row>
    <row r="631" spans="1:2">
      <c r="A631" s="85">
        <v>4075</v>
      </c>
      <c r="B631" s="97" t="s">
        <v>2952</v>
      </c>
    </row>
    <row r="632" spans="1:2">
      <c r="A632" s="85">
        <v>4076</v>
      </c>
      <c r="B632" s="97" t="s">
        <v>2953</v>
      </c>
    </row>
    <row r="633" spans="1:2">
      <c r="A633" s="85">
        <v>4077</v>
      </c>
      <c r="B633" s="97" t="s">
        <v>2954</v>
      </c>
    </row>
    <row r="634" spans="1:2">
      <c r="A634" s="85">
        <v>4078</v>
      </c>
      <c r="B634" s="97" t="s">
        <v>2955</v>
      </c>
    </row>
    <row r="635" spans="1:2">
      <c r="A635" s="85">
        <v>4079</v>
      </c>
      <c r="B635" s="97" t="s">
        <v>2956</v>
      </c>
    </row>
    <row r="636" spans="1:2">
      <c r="A636" s="85">
        <v>4080</v>
      </c>
      <c r="B636" s="97" t="s">
        <v>2957</v>
      </c>
    </row>
    <row r="637" spans="1:2">
      <c r="A637" s="85">
        <v>4081</v>
      </c>
      <c r="B637" s="97" t="s">
        <v>2958</v>
      </c>
    </row>
    <row r="638" spans="1:2">
      <c r="A638" s="85">
        <v>4082</v>
      </c>
      <c r="B638" s="97" t="s">
        <v>2959</v>
      </c>
    </row>
    <row r="639" spans="1:2">
      <c r="A639" s="85">
        <v>4083</v>
      </c>
      <c r="B639" s="97" t="s">
        <v>2960</v>
      </c>
    </row>
    <row r="640" spans="1:2">
      <c r="A640" s="85">
        <v>4084</v>
      </c>
      <c r="B640" s="97" t="s">
        <v>2961</v>
      </c>
    </row>
    <row r="641" spans="1:2">
      <c r="A641" s="85">
        <v>4085</v>
      </c>
      <c r="B641" s="97" t="s">
        <v>2962</v>
      </c>
    </row>
    <row r="642" spans="1:2">
      <c r="A642" s="85">
        <v>4086</v>
      </c>
      <c r="B642" s="97" t="s">
        <v>2963</v>
      </c>
    </row>
    <row r="643" spans="1:2">
      <c r="A643" s="85">
        <v>4087</v>
      </c>
      <c r="B643" s="97" t="s">
        <v>2964</v>
      </c>
    </row>
    <row r="644" spans="1:2">
      <c r="A644" s="85">
        <v>4088</v>
      </c>
      <c r="B644" s="105" t="s">
        <v>2965</v>
      </c>
    </row>
    <row r="645" spans="1:2">
      <c r="A645" s="85">
        <v>4089</v>
      </c>
      <c r="B645" s="105" t="s">
        <v>2966</v>
      </c>
    </row>
    <row r="646" spans="1:2">
      <c r="A646" s="85">
        <v>4090</v>
      </c>
      <c r="B646" s="97" t="s">
        <v>2967</v>
      </c>
    </row>
    <row r="647" spans="1:2">
      <c r="A647" s="85">
        <v>4091</v>
      </c>
      <c r="B647" s="97" t="s">
        <v>2421</v>
      </c>
    </row>
    <row r="648" spans="1:2">
      <c r="A648" s="85">
        <v>4092</v>
      </c>
      <c r="B648" s="97" t="s">
        <v>2422</v>
      </c>
    </row>
    <row r="649" spans="1:2">
      <c r="A649" s="85">
        <v>4093</v>
      </c>
      <c r="B649" s="97" t="s">
        <v>2423</v>
      </c>
    </row>
    <row r="650" spans="1:2">
      <c r="A650" s="85">
        <v>4094</v>
      </c>
      <c r="B650" s="97" t="s">
        <v>2968</v>
      </c>
    </row>
    <row r="651" spans="1:2">
      <c r="A651" s="85">
        <v>4095</v>
      </c>
      <c r="B651" s="101" t="s">
        <v>2969</v>
      </c>
    </row>
    <row r="652" spans="1:2">
      <c r="A652" s="85">
        <v>4096</v>
      </c>
      <c r="B652" s="101" t="s">
        <v>2970</v>
      </c>
    </row>
    <row r="653" spans="1:2">
      <c r="A653" s="85">
        <v>4097</v>
      </c>
      <c r="B653" s="97" t="s">
        <v>2971</v>
      </c>
    </row>
    <row r="654" spans="1:2">
      <c r="A654" s="85">
        <v>4098</v>
      </c>
      <c r="B654" s="97" t="s">
        <v>2972</v>
      </c>
    </row>
    <row r="655" spans="1:2">
      <c r="A655" s="85">
        <v>4099</v>
      </c>
      <c r="B655" s="97" t="s">
        <v>2973</v>
      </c>
    </row>
    <row r="656" spans="1:2">
      <c r="A656" s="85">
        <v>4100</v>
      </c>
      <c r="B656" s="97" t="s">
        <v>2974</v>
      </c>
    </row>
    <row r="657" spans="1:2">
      <c r="A657" s="85">
        <v>4101</v>
      </c>
      <c r="B657" s="105" t="s">
        <v>2975</v>
      </c>
    </row>
    <row r="658" spans="1:2">
      <c r="A658" s="85">
        <v>4102</v>
      </c>
      <c r="B658" s="105" t="s">
        <v>2976</v>
      </c>
    </row>
    <row r="659" spans="1:2">
      <c r="A659" s="85">
        <v>4103</v>
      </c>
      <c r="B659" s="97" t="s">
        <v>2977</v>
      </c>
    </row>
    <row r="660" spans="1:2">
      <c r="A660" s="85">
        <v>4104</v>
      </c>
      <c r="B660" s="97" t="s">
        <v>2978</v>
      </c>
    </row>
    <row r="661" spans="1:2">
      <c r="A661" s="85">
        <v>4105</v>
      </c>
      <c r="B661" s="97" t="s">
        <v>2424</v>
      </c>
    </row>
    <row r="662" spans="1:2">
      <c r="A662" s="85">
        <v>4106</v>
      </c>
      <c r="B662" s="97" t="s">
        <v>2979</v>
      </c>
    </row>
    <row r="663" spans="1:2">
      <c r="A663" s="85">
        <v>4107</v>
      </c>
      <c r="B663" s="97" t="s">
        <v>2980</v>
      </c>
    </row>
    <row r="664" spans="1:2">
      <c r="A664" s="85">
        <v>4108</v>
      </c>
      <c r="B664" s="97" t="s">
        <v>2981</v>
      </c>
    </row>
    <row r="665" spans="1:2">
      <c r="A665" s="85">
        <v>4109</v>
      </c>
      <c r="B665" s="97" t="s">
        <v>2982</v>
      </c>
    </row>
    <row r="666" spans="1:2">
      <c r="A666" s="85">
        <v>4110</v>
      </c>
      <c r="B666" s="97" t="s">
        <v>3278</v>
      </c>
    </row>
    <row r="667" spans="1:2">
      <c r="A667" s="85">
        <v>4111</v>
      </c>
      <c r="B667" s="97" t="s">
        <v>3279</v>
      </c>
    </row>
    <row r="668" spans="1:2">
      <c r="A668" s="85">
        <v>4112</v>
      </c>
      <c r="B668" s="97" t="s">
        <v>2983</v>
      </c>
    </row>
    <row r="669" spans="1:2">
      <c r="A669" s="85">
        <v>4113</v>
      </c>
      <c r="B669" s="97" t="s">
        <v>2984</v>
      </c>
    </row>
    <row r="670" spans="1:2">
      <c r="A670" s="85">
        <v>4114</v>
      </c>
      <c r="B670" s="97" t="s">
        <v>2985</v>
      </c>
    </row>
    <row r="671" spans="1:2">
      <c r="A671" s="85">
        <v>4115</v>
      </c>
      <c r="B671" s="97" t="s">
        <v>2986</v>
      </c>
    </row>
    <row r="672" spans="1:2">
      <c r="A672" s="85">
        <v>4116</v>
      </c>
      <c r="B672" s="97" t="s">
        <v>2987</v>
      </c>
    </row>
    <row r="673" spans="1:2">
      <c r="A673" s="85">
        <v>4117</v>
      </c>
      <c r="B673" s="97" t="s">
        <v>2988</v>
      </c>
    </row>
    <row r="674" spans="1:2">
      <c r="A674" s="85">
        <v>4118</v>
      </c>
      <c r="B674" s="97" t="s">
        <v>2989</v>
      </c>
    </row>
    <row r="675" spans="1:2">
      <c r="A675" s="85">
        <v>4119</v>
      </c>
      <c r="B675" s="97" t="s">
        <v>2990</v>
      </c>
    </row>
    <row r="676" spans="1:2">
      <c r="A676" s="85">
        <v>4120</v>
      </c>
      <c r="B676" s="97" t="s">
        <v>2991</v>
      </c>
    </row>
    <row r="677" spans="1:2">
      <c r="A677" s="85">
        <v>4121</v>
      </c>
      <c r="B677" s="97" t="s">
        <v>2992</v>
      </c>
    </row>
    <row r="678" spans="1:2">
      <c r="A678" s="85">
        <v>4122</v>
      </c>
      <c r="B678" s="97" t="s">
        <v>2993</v>
      </c>
    </row>
    <row r="679" spans="1:2">
      <c r="A679" s="85">
        <v>4123</v>
      </c>
      <c r="B679" s="97" t="s">
        <v>2994</v>
      </c>
    </row>
    <row r="680" spans="1:2">
      <c r="A680" s="85">
        <v>4124</v>
      </c>
      <c r="B680" s="97" t="s">
        <v>2995</v>
      </c>
    </row>
    <row r="681" spans="1:2">
      <c r="A681" s="85">
        <v>4125</v>
      </c>
      <c r="B681" s="97" t="s">
        <v>2995</v>
      </c>
    </row>
    <row r="682" spans="1:2">
      <c r="A682" s="85">
        <v>4126</v>
      </c>
      <c r="B682" s="97" t="s">
        <v>2996</v>
      </c>
    </row>
    <row r="683" spans="1:2">
      <c r="A683" s="85">
        <v>4127</v>
      </c>
      <c r="B683" s="97" t="s">
        <v>2997</v>
      </c>
    </row>
    <row r="684" spans="1:2">
      <c r="A684" s="85">
        <v>4128</v>
      </c>
      <c r="B684" s="97" t="s">
        <v>2998</v>
      </c>
    </row>
    <row r="685" spans="1:2">
      <c r="A685" s="90">
        <v>4129</v>
      </c>
      <c r="B685" s="97" t="s">
        <v>3280</v>
      </c>
    </row>
    <row r="686" spans="1:2">
      <c r="A686" s="90">
        <v>4130</v>
      </c>
      <c r="B686" s="97" t="s">
        <v>3281</v>
      </c>
    </row>
    <row r="687" spans="1:2">
      <c r="A687" s="90">
        <v>4131</v>
      </c>
      <c r="B687" s="97" t="s">
        <v>3282</v>
      </c>
    </row>
    <row r="688" spans="1:2">
      <c r="A688" s="90">
        <v>4132</v>
      </c>
      <c r="B688" s="97" t="s">
        <v>3283</v>
      </c>
    </row>
    <row r="689" spans="1:2">
      <c r="A689" s="90">
        <v>4133</v>
      </c>
      <c r="B689" s="97" t="s">
        <v>3284</v>
      </c>
    </row>
    <row r="690" spans="1:2">
      <c r="A690" s="90">
        <v>4134</v>
      </c>
      <c r="B690" s="97" t="s">
        <v>3285</v>
      </c>
    </row>
    <row r="691" spans="1:2">
      <c r="A691" s="90">
        <v>4135</v>
      </c>
      <c r="B691" s="97" t="s">
        <v>3286</v>
      </c>
    </row>
    <row r="692" spans="1:2">
      <c r="A692" s="90">
        <v>4136</v>
      </c>
      <c r="B692" s="97" t="s">
        <v>3287</v>
      </c>
    </row>
    <row r="693" spans="1:2">
      <c r="A693" s="90">
        <v>4137</v>
      </c>
      <c r="B693" s="97" t="s">
        <v>3288</v>
      </c>
    </row>
    <row r="694" spans="1:2">
      <c r="A694" s="90">
        <v>4138</v>
      </c>
      <c r="B694" s="97" t="s">
        <v>3289</v>
      </c>
    </row>
    <row r="695" spans="1:2">
      <c r="A695" s="90">
        <v>4139</v>
      </c>
      <c r="B695" s="97" t="s">
        <v>3290</v>
      </c>
    </row>
    <row r="696" spans="1:2">
      <c r="A696" s="90">
        <v>4140</v>
      </c>
      <c r="B696" s="97" t="s">
        <v>3291</v>
      </c>
    </row>
    <row r="697" spans="1:2">
      <c r="A697" s="90">
        <v>4141</v>
      </c>
      <c r="B697" s="97" t="s">
        <v>3292</v>
      </c>
    </row>
    <row r="698" spans="1:2">
      <c r="A698" s="90">
        <v>4142</v>
      </c>
      <c r="B698" s="97" t="s">
        <v>3293</v>
      </c>
    </row>
    <row r="699" spans="1:2">
      <c r="A699" s="90">
        <v>4143</v>
      </c>
      <c r="B699" s="97" t="s">
        <v>3294</v>
      </c>
    </row>
    <row r="700" spans="1:2">
      <c r="A700" s="90">
        <v>4144</v>
      </c>
      <c r="B700" s="97" t="s">
        <v>3295</v>
      </c>
    </row>
    <row r="701" spans="1:2">
      <c r="A701" s="90">
        <v>4145</v>
      </c>
      <c r="B701" s="97" t="s">
        <v>3296</v>
      </c>
    </row>
    <row r="702" spans="1:2">
      <c r="A702" s="90">
        <v>4146</v>
      </c>
      <c r="B702" s="97" t="s">
        <v>3297</v>
      </c>
    </row>
    <row r="703" spans="1:2">
      <c r="A703" s="90">
        <v>4147</v>
      </c>
      <c r="B703" s="97" t="s">
        <v>3298</v>
      </c>
    </row>
    <row r="704" spans="1:2">
      <c r="A704" s="90">
        <v>4148</v>
      </c>
      <c r="B704" s="97" t="s">
        <v>3299</v>
      </c>
    </row>
    <row r="705" spans="1:2">
      <c r="A705" s="90">
        <v>4149</v>
      </c>
      <c r="B705" s="97" t="s">
        <v>3300</v>
      </c>
    </row>
    <row r="706" spans="1:2">
      <c r="A706" s="90">
        <v>4150</v>
      </c>
      <c r="B706" s="97" t="s">
        <v>3301</v>
      </c>
    </row>
    <row r="707" spans="1:2">
      <c r="A707" s="90">
        <v>4151</v>
      </c>
      <c r="B707" s="97" t="s">
        <v>3302</v>
      </c>
    </row>
    <row r="708" spans="1:2">
      <c r="A708" s="90">
        <v>4152</v>
      </c>
      <c r="B708" s="97" t="s">
        <v>3303</v>
      </c>
    </row>
    <row r="709" spans="1:2">
      <c r="A709" s="90">
        <v>4153</v>
      </c>
      <c r="B709" s="97" t="s">
        <v>3304</v>
      </c>
    </row>
    <row r="710" spans="1:2">
      <c r="A710" s="90">
        <v>4154</v>
      </c>
      <c r="B710" s="97" t="s">
        <v>3305</v>
      </c>
    </row>
    <row r="711" spans="1:2">
      <c r="A711" s="90">
        <v>4155</v>
      </c>
      <c r="B711" s="97" t="s">
        <v>3306</v>
      </c>
    </row>
    <row r="712" spans="1:2">
      <c r="A712" s="90">
        <v>4156</v>
      </c>
      <c r="B712" s="97" t="s">
        <v>3307</v>
      </c>
    </row>
    <row r="713" spans="1:2">
      <c r="A713" s="90">
        <v>4157</v>
      </c>
      <c r="B713" s="97" t="s">
        <v>3308</v>
      </c>
    </row>
    <row r="714" spans="1:2">
      <c r="A714" s="90">
        <v>4158</v>
      </c>
      <c r="B714" s="97" t="s">
        <v>3309</v>
      </c>
    </row>
    <row r="715" spans="1:2">
      <c r="A715" s="90">
        <v>4159</v>
      </c>
      <c r="B715" s="97" t="s">
        <v>3310</v>
      </c>
    </row>
    <row r="716" spans="1:2">
      <c r="A716" s="90">
        <v>4160</v>
      </c>
      <c r="B716" s="97" t="s">
        <v>3311</v>
      </c>
    </row>
    <row r="717" spans="1:2">
      <c r="A717" s="90">
        <v>4161</v>
      </c>
      <c r="B717" s="97" t="s">
        <v>3311</v>
      </c>
    </row>
    <row r="718" spans="1:2">
      <c r="A718" s="90">
        <v>4162</v>
      </c>
      <c r="B718" s="97" t="s">
        <v>3312</v>
      </c>
    </row>
    <row r="719" spans="1:2">
      <c r="A719" s="90">
        <v>4163</v>
      </c>
      <c r="B719" s="97" t="s">
        <v>3312</v>
      </c>
    </row>
    <row r="720" spans="1:2">
      <c r="A720" s="90">
        <v>4164</v>
      </c>
      <c r="B720" s="97" t="s">
        <v>3313</v>
      </c>
    </row>
    <row r="721" spans="1:2">
      <c r="A721" s="90">
        <v>4165</v>
      </c>
      <c r="B721" s="97" t="s">
        <v>3314</v>
      </c>
    </row>
    <row r="722" spans="1:2">
      <c r="A722" s="90">
        <v>4166</v>
      </c>
      <c r="B722" s="97" t="s">
        <v>3315</v>
      </c>
    </row>
    <row r="723" spans="1:2">
      <c r="A723" s="90">
        <v>4167</v>
      </c>
      <c r="B723" s="97" t="s">
        <v>3316</v>
      </c>
    </row>
    <row r="724" spans="1:2">
      <c r="A724" s="90">
        <v>4168</v>
      </c>
      <c r="B724" s="97" t="s">
        <v>3317</v>
      </c>
    </row>
    <row r="725" spans="1:2">
      <c r="A725" s="90">
        <v>4169</v>
      </c>
      <c r="B725" s="97" t="s">
        <v>3318</v>
      </c>
    </row>
    <row r="726" spans="1:2">
      <c r="A726" s="90">
        <v>4170</v>
      </c>
      <c r="B726" s="97" t="s">
        <v>3319</v>
      </c>
    </row>
    <row r="727" spans="1:2">
      <c r="A727" s="90">
        <v>4171</v>
      </c>
      <c r="B727" s="97" t="s">
        <v>3319</v>
      </c>
    </row>
    <row r="728" spans="1:2">
      <c r="A728" s="85"/>
      <c r="B728" s="97"/>
    </row>
    <row r="729" spans="1:2">
      <c r="A729" s="85"/>
      <c r="B729" s="96" t="s">
        <v>2999</v>
      </c>
    </row>
    <row r="730" spans="1:2">
      <c r="A730" s="85">
        <v>6001</v>
      </c>
      <c r="B730" s="97" t="s">
        <v>3000</v>
      </c>
    </row>
    <row r="731" spans="1:2">
      <c r="A731" s="85"/>
      <c r="B731" s="97"/>
    </row>
    <row r="732" spans="1:2">
      <c r="A732" s="85"/>
      <c r="B732" s="96" t="s">
        <v>3001</v>
      </c>
    </row>
    <row r="733" spans="1:2">
      <c r="A733" s="85">
        <v>10000</v>
      </c>
      <c r="B733" s="97" t="s">
        <v>1017</v>
      </c>
    </row>
    <row r="734" spans="1:2">
      <c r="A734" s="85">
        <v>10100</v>
      </c>
      <c r="B734" s="97" t="s">
        <v>3002</v>
      </c>
    </row>
    <row r="735" spans="1:2">
      <c r="A735" s="85">
        <v>10110</v>
      </c>
      <c r="B735" s="97" t="s">
        <v>1018</v>
      </c>
    </row>
    <row r="736" spans="1:2">
      <c r="A736" s="85">
        <v>10111</v>
      </c>
      <c r="B736" s="97" t="s">
        <v>3003</v>
      </c>
    </row>
    <row r="737" spans="1:2">
      <c r="A737" s="85">
        <v>10120</v>
      </c>
      <c r="B737" s="97" t="s">
        <v>1019</v>
      </c>
    </row>
    <row r="738" spans="1:2">
      <c r="A738" s="85">
        <v>10200</v>
      </c>
      <c r="B738" s="97" t="s">
        <v>3004</v>
      </c>
    </row>
    <row r="739" spans="1:2">
      <c r="A739" s="85">
        <v>10201</v>
      </c>
      <c r="B739" s="97" t="s">
        <v>3005</v>
      </c>
    </row>
    <row r="740" spans="1:2">
      <c r="A740" s="85">
        <v>10202</v>
      </c>
      <c r="B740" s="97" t="s">
        <v>3004</v>
      </c>
    </row>
    <row r="741" spans="1:2">
      <c r="A741" s="85">
        <v>10210</v>
      </c>
      <c r="B741" s="97" t="s">
        <v>1020</v>
      </c>
    </row>
    <row r="742" spans="1:2">
      <c r="A742" s="85">
        <v>10211</v>
      </c>
      <c r="B742" s="97" t="s">
        <v>2425</v>
      </c>
    </row>
    <row r="743" spans="1:2">
      <c r="A743" s="85">
        <v>10220</v>
      </c>
      <c r="B743" s="97" t="s">
        <v>1021</v>
      </c>
    </row>
    <row r="744" spans="1:2">
      <c r="A744" s="85">
        <v>10300</v>
      </c>
      <c r="B744" s="97" t="s">
        <v>3006</v>
      </c>
    </row>
    <row r="745" spans="1:2">
      <c r="A745" s="85">
        <v>10301</v>
      </c>
      <c r="B745" s="97" t="s">
        <v>3007</v>
      </c>
    </row>
    <row r="746" spans="1:2">
      <c r="A746" s="85">
        <v>10310</v>
      </c>
      <c r="B746" s="97" t="s">
        <v>1022</v>
      </c>
    </row>
    <row r="747" spans="1:2">
      <c r="A747" s="85">
        <v>10320</v>
      </c>
      <c r="B747" s="97" t="s">
        <v>1023</v>
      </c>
    </row>
    <row r="748" spans="1:2">
      <c r="A748" s="85">
        <v>10400</v>
      </c>
      <c r="B748" s="97" t="s">
        <v>3008</v>
      </c>
    </row>
    <row r="749" spans="1:2">
      <c r="A749" s="85">
        <v>10401</v>
      </c>
      <c r="B749" s="97" t="s">
        <v>3008</v>
      </c>
    </row>
    <row r="750" spans="1:2">
      <c r="A750" s="85">
        <v>10402</v>
      </c>
      <c r="B750" s="97" t="s">
        <v>3009</v>
      </c>
    </row>
    <row r="751" spans="1:2">
      <c r="A751" s="85">
        <v>10410</v>
      </c>
      <c r="B751" s="97" t="s">
        <v>1024</v>
      </c>
    </row>
    <row r="752" spans="1:2">
      <c r="A752" s="85">
        <v>10411</v>
      </c>
      <c r="B752" s="97" t="s">
        <v>2426</v>
      </c>
    </row>
    <row r="753" spans="1:2">
      <c r="A753" s="85">
        <v>10412</v>
      </c>
      <c r="B753" s="97" t="s">
        <v>2427</v>
      </c>
    </row>
    <row r="754" spans="1:2">
      <c r="A754" s="85">
        <v>10420</v>
      </c>
      <c r="B754" s="97" t="s">
        <v>1025</v>
      </c>
    </row>
    <row r="755" spans="1:2">
      <c r="A755" s="85">
        <v>10500</v>
      </c>
      <c r="B755" s="97" t="s">
        <v>3010</v>
      </c>
    </row>
    <row r="756" spans="1:2">
      <c r="A756" s="85">
        <v>10501</v>
      </c>
      <c r="B756" s="97" t="s">
        <v>3010</v>
      </c>
    </row>
    <row r="757" spans="1:2">
      <c r="A757" s="85">
        <v>10502</v>
      </c>
      <c r="B757" s="97" t="s">
        <v>3011</v>
      </c>
    </row>
    <row r="758" spans="1:2">
      <c r="A758" s="85">
        <v>10503</v>
      </c>
      <c r="B758" s="97" t="s">
        <v>3012</v>
      </c>
    </row>
    <row r="759" spans="1:2">
      <c r="A759" s="85">
        <v>10510</v>
      </c>
      <c r="B759" s="97" t="s">
        <v>1026</v>
      </c>
    </row>
    <row r="760" spans="1:2">
      <c r="A760" s="85">
        <v>10511</v>
      </c>
      <c r="B760" s="97" t="s">
        <v>2428</v>
      </c>
    </row>
    <row r="761" spans="1:2">
      <c r="A761" s="85">
        <v>10520</v>
      </c>
      <c r="B761" s="97" t="s">
        <v>1027</v>
      </c>
    </row>
    <row r="762" spans="1:2">
      <c r="A762" s="85">
        <v>10600</v>
      </c>
      <c r="B762" s="97" t="s">
        <v>3013</v>
      </c>
    </row>
    <row r="763" spans="1:2">
      <c r="A763" s="85">
        <v>10601</v>
      </c>
      <c r="B763" s="97" t="s">
        <v>3013</v>
      </c>
    </row>
    <row r="764" spans="1:2">
      <c r="A764" s="85">
        <v>10602</v>
      </c>
      <c r="B764" s="97" t="s">
        <v>3014</v>
      </c>
    </row>
    <row r="765" spans="1:2">
      <c r="A765" s="85">
        <v>10603</v>
      </c>
      <c r="B765" s="97" t="s">
        <v>842</v>
      </c>
    </row>
    <row r="766" spans="1:2">
      <c r="A766" s="85">
        <v>10604</v>
      </c>
      <c r="B766" s="97" t="s">
        <v>843</v>
      </c>
    </row>
    <row r="767" spans="1:2">
      <c r="A767" s="85">
        <v>10610</v>
      </c>
      <c r="B767" s="97" t="s">
        <v>1028</v>
      </c>
    </row>
    <row r="768" spans="1:2">
      <c r="A768" s="85">
        <v>10611</v>
      </c>
      <c r="B768" s="97" t="s">
        <v>3015</v>
      </c>
    </row>
    <row r="769" spans="1:2">
      <c r="A769" s="85">
        <v>10612</v>
      </c>
      <c r="B769" s="97" t="s">
        <v>844</v>
      </c>
    </row>
    <row r="770" spans="1:2">
      <c r="A770" s="85">
        <v>10613</v>
      </c>
      <c r="B770" s="97" t="s">
        <v>845</v>
      </c>
    </row>
    <row r="771" spans="1:2">
      <c r="A771" s="85">
        <v>10614</v>
      </c>
      <c r="B771" s="97" t="s">
        <v>846</v>
      </c>
    </row>
    <row r="772" spans="1:2">
      <c r="A772" s="85">
        <v>10620</v>
      </c>
      <c r="B772" s="97" t="s">
        <v>1029</v>
      </c>
    </row>
    <row r="773" spans="1:2">
      <c r="A773" s="85">
        <v>10700</v>
      </c>
      <c r="B773" s="97" t="s">
        <v>3016</v>
      </c>
    </row>
    <row r="774" spans="1:2">
      <c r="A774" s="85">
        <v>10701</v>
      </c>
      <c r="B774" s="97" t="s">
        <v>3017</v>
      </c>
    </row>
    <row r="775" spans="1:2">
      <c r="A775" s="85">
        <v>10710</v>
      </c>
      <c r="B775" s="97" t="s">
        <v>1030</v>
      </c>
    </row>
    <row r="776" spans="1:2">
      <c r="A776" s="85">
        <v>10720</v>
      </c>
      <c r="B776" s="97" t="s">
        <v>1031</v>
      </c>
    </row>
    <row r="777" spans="1:2">
      <c r="A777" s="85">
        <v>10800</v>
      </c>
      <c r="B777" s="97" t="s">
        <v>3018</v>
      </c>
    </row>
    <row r="778" spans="1:2">
      <c r="A778" s="85">
        <v>10810</v>
      </c>
      <c r="B778" s="97" t="s">
        <v>1032</v>
      </c>
    </row>
    <row r="779" spans="1:2">
      <c r="A779" s="85">
        <v>10820</v>
      </c>
      <c r="B779" s="97" t="s">
        <v>1033</v>
      </c>
    </row>
    <row r="780" spans="1:2">
      <c r="A780" s="85">
        <v>10900</v>
      </c>
      <c r="B780" s="97" t="s">
        <v>3019</v>
      </c>
    </row>
    <row r="781" spans="1:2">
      <c r="A781" s="85">
        <v>10901</v>
      </c>
      <c r="B781" s="97" t="s">
        <v>3020</v>
      </c>
    </row>
    <row r="782" spans="1:2">
      <c r="A782" s="85">
        <v>10902</v>
      </c>
      <c r="B782" s="97" t="s">
        <v>3021</v>
      </c>
    </row>
    <row r="783" spans="1:2">
      <c r="A783" s="85">
        <v>10910</v>
      </c>
      <c r="B783" s="97" t="s">
        <v>1034</v>
      </c>
    </row>
    <row r="784" spans="1:2">
      <c r="A784" s="85">
        <v>10911</v>
      </c>
      <c r="B784" s="97" t="s">
        <v>3022</v>
      </c>
    </row>
    <row r="785" spans="1:2">
      <c r="A785" s="85">
        <v>10912</v>
      </c>
      <c r="B785" s="97" t="s">
        <v>847</v>
      </c>
    </row>
    <row r="786" spans="1:2">
      <c r="A786" s="85">
        <v>10913</v>
      </c>
      <c r="B786" s="97" t="s">
        <v>848</v>
      </c>
    </row>
    <row r="787" spans="1:2">
      <c r="A787" s="85">
        <v>10920</v>
      </c>
      <c r="B787" s="97" t="s">
        <v>1035</v>
      </c>
    </row>
    <row r="788" spans="1:2">
      <c r="A788" s="85">
        <v>11000</v>
      </c>
      <c r="B788" s="97" t="s">
        <v>3023</v>
      </c>
    </row>
    <row r="789" spans="1:2">
      <c r="A789" s="85">
        <v>11001</v>
      </c>
      <c r="B789" s="97" t="s">
        <v>3023</v>
      </c>
    </row>
    <row r="790" spans="1:2">
      <c r="A790" s="85">
        <v>11002</v>
      </c>
      <c r="B790" s="97" t="s">
        <v>3024</v>
      </c>
    </row>
    <row r="791" spans="1:2">
      <c r="A791" s="85">
        <v>11010</v>
      </c>
      <c r="B791" s="97" t="s">
        <v>1036</v>
      </c>
    </row>
    <row r="792" spans="1:2">
      <c r="A792" s="85">
        <v>11020</v>
      </c>
      <c r="B792" s="97" t="s">
        <v>1037</v>
      </c>
    </row>
    <row r="793" spans="1:2">
      <c r="A793" s="85">
        <v>11100</v>
      </c>
      <c r="B793" s="97" t="s">
        <v>3025</v>
      </c>
    </row>
    <row r="794" spans="1:2">
      <c r="A794" s="85">
        <v>11101</v>
      </c>
      <c r="B794" s="97" t="s">
        <v>3025</v>
      </c>
    </row>
    <row r="795" spans="1:2">
      <c r="A795" s="85">
        <v>11110</v>
      </c>
      <c r="B795" s="97" t="s">
        <v>1038</v>
      </c>
    </row>
    <row r="796" spans="1:2">
      <c r="A796" s="85">
        <v>11111</v>
      </c>
      <c r="B796" s="97" t="s">
        <v>3026</v>
      </c>
    </row>
    <row r="797" spans="1:2">
      <c r="A797" s="85">
        <v>11120</v>
      </c>
      <c r="B797" s="97" t="s">
        <v>1039</v>
      </c>
    </row>
    <row r="798" spans="1:2">
      <c r="A798" s="85">
        <v>11200</v>
      </c>
      <c r="B798" s="97" t="s">
        <v>3027</v>
      </c>
    </row>
    <row r="799" spans="1:2">
      <c r="A799" s="85">
        <v>11210</v>
      </c>
      <c r="B799" s="97" t="s">
        <v>1040</v>
      </c>
    </row>
    <row r="800" spans="1:2">
      <c r="A800" s="85">
        <v>11211</v>
      </c>
      <c r="B800" s="97" t="s">
        <v>3028</v>
      </c>
    </row>
    <row r="801" spans="1:2">
      <c r="A801" s="85">
        <v>11220</v>
      </c>
      <c r="B801" s="97" t="s">
        <v>1041</v>
      </c>
    </row>
    <row r="802" spans="1:2">
      <c r="A802" s="85">
        <v>11300</v>
      </c>
      <c r="B802" s="97" t="s">
        <v>3029</v>
      </c>
    </row>
    <row r="803" spans="1:2">
      <c r="A803" s="85">
        <v>11301</v>
      </c>
      <c r="B803" s="97" t="s">
        <v>3029</v>
      </c>
    </row>
    <row r="804" spans="1:2">
      <c r="A804" s="85">
        <v>11302</v>
      </c>
      <c r="B804" s="97" t="s">
        <v>3030</v>
      </c>
    </row>
    <row r="805" spans="1:2">
      <c r="A805" s="85">
        <v>11310</v>
      </c>
      <c r="B805" s="97" t="s">
        <v>1042</v>
      </c>
    </row>
    <row r="806" spans="1:2">
      <c r="A806" s="85">
        <v>11320</v>
      </c>
      <c r="B806" s="97" t="s">
        <v>1043</v>
      </c>
    </row>
    <row r="807" spans="1:2">
      <c r="A807" s="85">
        <v>11400</v>
      </c>
      <c r="B807" s="97" t="s">
        <v>3031</v>
      </c>
    </row>
    <row r="808" spans="1:2">
      <c r="A808" s="85">
        <v>11401</v>
      </c>
      <c r="B808" s="97" t="s">
        <v>3031</v>
      </c>
    </row>
    <row r="809" spans="1:2">
      <c r="A809" s="85">
        <v>11402</v>
      </c>
      <c r="B809" s="97" t="s">
        <v>849</v>
      </c>
    </row>
    <row r="810" spans="1:2">
      <c r="A810" s="85">
        <v>11403</v>
      </c>
      <c r="B810" s="97" t="s">
        <v>3032</v>
      </c>
    </row>
    <row r="811" spans="1:2">
      <c r="A811" s="85">
        <v>11410</v>
      </c>
      <c r="B811" s="97" t="s">
        <v>1044</v>
      </c>
    </row>
    <row r="812" spans="1:2">
      <c r="A812" s="85">
        <v>11411</v>
      </c>
      <c r="B812" s="97" t="s">
        <v>3033</v>
      </c>
    </row>
    <row r="813" spans="1:2">
      <c r="A813" s="85">
        <v>11420</v>
      </c>
      <c r="B813" s="97" t="s">
        <v>1045</v>
      </c>
    </row>
    <row r="814" spans="1:2">
      <c r="A814" s="85">
        <v>11500</v>
      </c>
      <c r="B814" s="97" t="s">
        <v>3034</v>
      </c>
    </row>
    <row r="815" spans="1:2">
      <c r="A815" s="85">
        <v>11501</v>
      </c>
      <c r="B815" s="97" t="s">
        <v>3034</v>
      </c>
    </row>
    <row r="816" spans="1:2">
      <c r="A816" s="85">
        <v>11502</v>
      </c>
      <c r="B816" s="97" t="s">
        <v>3035</v>
      </c>
    </row>
    <row r="817" spans="1:2">
      <c r="A817" s="85">
        <v>11510</v>
      </c>
      <c r="B817" s="97" t="s">
        <v>1046</v>
      </c>
    </row>
    <row r="818" spans="1:2">
      <c r="A818" s="85">
        <v>11520</v>
      </c>
      <c r="B818" s="97" t="s">
        <v>1047</v>
      </c>
    </row>
    <row r="819" spans="1:2">
      <c r="A819" s="85">
        <v>11600</v>
      </c>
      <c r="B819" s="97" t="s">
        <v>3036</v>
      </c>
    </row>
    <row r="820" spans="1:2">
      <c r="A820" s="85">
        <v>11610</v>
      </c>
      <c r="B820" s="97" t="s">
        <v>1048</v>
      </c>
    </row>
    <row r="821" spans="1:2">
      <c r="A821" s="85">
        <v>11611</v>
      </c>
      <c r="B821" s="97" t="s">
        <v>3037</v>
      </c>
    </row>
    <row r="822" spans="1:2">
      <c r="A822" s="85">
        <v>11620</v>
      </c>
      <c r="B822" s="97" t="s">
        <v>1049</v>
      </c>
    </row>
    <row r="823" spans="1:2">
      <c r="A823" s="85">
        <v>11700</v>
      </c>
      <c r="B823" s="97" t="s">
        <v>3038</v>
      </c>
    </row>
    <row r="824" spans="1:2">
      <c r="A824" s="85">
        <v>11701</v>
      </c>
      <c r="B824" s="97" t="s">
        <v>3038</v>
      </c>
    </row>
    <row r="825" spans="1:2">
      <c r="A825" s="85">
        <v>11702</v>
      </c>
      <c r="B825" s="97" t="s">
        <v>3039</v>
      </c>
    </row>
    <row r="826" spans="1:2">
      <c r="A826" s="85">
        <v>11710</v>
      </c>
      <c r="B826" s="97" t="s">
        <v>1050</v>
      </c>
    </row>
    <row r="827" spans="1:2">
      <c r="A827" s="85">
        <v>11720</v>
      </c>
      <c r="B827" s="97" t="s">
        <v>1051</v>
      </c>
    </row>
    <row r="828" spans="1:2">
      <c r="A828" s="85">
        <v>11800</v>
      </c>
      <c r="B828" s="97" t="s">
        <v>3040</v>
      </c>
    </row>
    <row r="829" spans="1:2">
      <c r="A829" s="85">
        <v>11801</v>
      </c>
      <c r="B829" s="97" t="s">
        <v>3040</v>
      </c>
    </row>
    <row r="830" spans="1:2">
      <c r="A830" s="85">
        <v>11802</v>
      </c>
      <c r="B830" s="97" t="s">
        <v>3041</v>
      </c>
    </row>
    <row r="831" spans="1:2">
      <c r="A831" s="85">
        <v>11810</v>
      </c>
      <c r="B831" s="97" t="s">
        <v>1052</v>
      </c>
    </row>
    <row r="832" spans="1:2">
      <c r="A832" s="85">
        <v>11820</v>
      </c>
      <c r="B832" s="97" t="s">
        <v>1053</v>
      </c>
    </row>
    <row r="833" spans="1:2">
      <c r="A833" s="85">
        <v>11900</v>
      </c>
      <c r="B833" s="97" t="s">
        <v>3042</v>
      </c>
    </row>
    <row r="834" spans="1:2">
      <c r="A834" s="85">
        <v>11901</v>
      </c>
      <c r="B834" s="97" t="s">
        <v>3042</v>
      </c>
    </row>
    <row r="835" spans="1:2">
      <c r="A835" s="85">
        <v>11902</v>
      </c>
      <c r="B835" s="97" t="s">
        <v>3043</v>
      </c>
    </row>
    <row r="836" spans="1:2">
      <c r="A836" s="85">
        <v>11910</v>
      </c>
      <c r="B836" s="97" t="s">
        <v>1054</v>
      </c>
    </row>
    <row r="837" spans="1:2">
      <c r="A837" s="85">
        <v>11911</v>
      </c>
      <c r="B837" s="97" t="s">
        <v>3044</v>
      </c>
    </row>
    <row r="838" spans="1:2">
      <c r="A838" s="85">
        <v>11920</v>
      </c>
      <c r="B838" s="97" t="s">
        <v>1055</v>
      </c>
    </row>
    <row r="839" spans="1:2">
      <c r="A839" s="85">
        <v>12000</v>
      </c>
      <c r="B839" s="97" t="s">
        <v>3045</v>
      </c>
    </row>
    <row r="840" spans="1:2">
      <c r="A840" s="85">
        <v>12001</v>
      </c>
      <c r="B840" s="97" t="s">
        <v>3045</v>
      </c>
    </row>
    <row r="841" spans="1:2">
      <c r="A841" s="85">
        <v>12002</v>
      </c>
      <c r="B841" s="97" t="s">
        <v>3046</v>
      </c>
    </row>
    <row r="842" spans="1:2">
      <c r="A842" s="85">
        <v>12010</v>
      </c>
      <c r="B842" s="97" t="s">
        <v>1056</v>
      </c>
    </row>
    <row r="843" spans="1:2">
      <c r="A843" s="85">
        <v>12020</v>
      </c>
      <c r="B843" s="97" t="s">
        <v>1057</v>
      </c>
    </row>
    <row r="844" spans="1:2">
      <c r="A844" s="85">
        <v>12100</v>
      </c>
      <c r="B844" s="97" t="s">
        <v>3047</v>
      </c>
    </row>
    <row r="845" spans="1:2">
      <c r="A845" s="85">
        <v>12101</v>
      </c>
      <c r="B845" s="97" t="s">
        <v>3047</v>
      </c>
    </row>
    <row r="846" spans="1:2">
      <c r="A846" s="85">
        <v>12102</v>
      </c>
      <c r="B846" s="97" t="s">
        <v>3048</v>
      </c>
    </row>
    <row r="847" spans="1:2">
      <c r="A847" s="85">
        <v>12110</v>
      </c>
      <c r="B847" s="97" t="s">
        <v>1058</v>
      </c>
    </row>
    <row r="848" spans="1:2">
      <c r="A848" s="85">
        <v>12111</v>
      </c>
      <c r="B848" s="97" t="s">
        <v>3049</v>
      </c>
    </row>
    <row r="849" spans="1:2">
      <c r="A849" s="85">
        <v>12120</v>
      </c>
      <c r="B849" s="97" t="s">
        <v>1059</v>
      </c>
    </row>
    <row r="850" spans="1:2">
      <c r="A850" s="85">
        <v>12200</v>
      </c>
      <c r="B850" s="97" t="s">
        <v>3050</v>
      </c>
    </row>
    <row r="851" spans="1:2">
      <c r="A851" s="85">
        <v>12201</v>
      </c>
      <c r="B851" s="97" t="s">
        <v>3050</v>
      </c>
    </row>
    <row r="852" spans="1:2">
      <c r="A852" s="85">
        <v>12202</v>
      </c>
      <c r="B852" s="97" t="s">
        <v>3051</v>
      </c>
    </row>
    <row r="853" spans="1:2">
      <c r="A853" s="85">
        <v>12210</v>
      </c>
      <c r="B853" s="97" t="s">
        <v>1060</v>
      </c>
    </row>
    <row r="854" spans="1:2">
      <c r="A854" s="85">
        <v>12211</v>
      </c>
      <c r="B854" s="97" t="s">
        <v>3052</v>
      </c>
    </row>
    <row r="855" spans="1:2">
      <c r="A855" s="85">
        <v>12220</v>
      </c>
      <c r="B855" s="97" t="s">
        <v>1061</v>
      </c>
    </row>
    <row r="856" spans="1:2">
      <c r="A856" s="85">
        <v>12300</v>
      </c>
      <c r="B856" s="97" t="s">
        <v>3053</v>
      </c>
    </row>
    <row r="857" spans="1:2">
      <c r="A857" s="85">
        <v>12301</v>
      </c>
      <c r="B857" s="97" t="s">
        <v>3053</v>
      </c>
    </row>
    <row r="858" spans="1:2">
      <c r="A858" s="85">
        <v>12302</v>
      </c>
      <c r="B858" s="97" t="s">
        <v>3054</v>
      </c>
    </row>
    <row r="859" spans="1:2">
      <c r="A859" s="85">
        <v>12310</v>
      </c>
      <c r="B859" s="97" t="s">
        <v>3320</v>
      </c>
    </row>
    <row r="860" spans="1:2">
      <c r="A860" s="85">
        <v>12311</v>
      </c>
      <c r="B860" s="97" t="s">
        <v>3321</v>
      </c>
    </row>
    <row r="861" spans="1:2">
      <c r="A861" s="85">
        <v>12312</v>
      </c>
      <c r="B861" s="97" t="s">
        <v>3322</v>
      </c>
    </row>
    <row r="862" spans="1:2">
      <c r="A862" s="85">
        <v>12320</v>
      </c>
      <c r="B862" s="97" t="s">
        <v>3323</v>
      </c>
    </row>
    <row r="863" spans="1:2">
      <c r="A863" s="85">
        <v>12400</v>
      </c>
      <c r="B863" s="97" t="s">
        <v>3055</v>
      </c>
    </row>
    <row r="864" spans="1:2">
      <c r="A864" s="85">
        <v>12401</v>
      </c>
      <c r="B864" s="97" t="s">
        <v>3055</v>
      </c>
    </row>
    <row r="865" spans="1:2">
      <c r="A865" s="85">
        <v>12402</v>
      </c>
      <c r="B865" s="97" t="s">
        <v>3056</v>
      </c>
    </row>
    <row r="866" spans="1:2">
      <c r="A866" s="85">
        <v>12410</v>
      </c>
      <c r="B866" s="97" t="s">
        <v>3057</v>
      </c>
    </row>
    <row r="867" spans="1:2">
      <c r="A867" s="85">
        <v>12420</v>
      </c>
      <c r="B867" s="97" t="s">
        <v>3058</v>
      </c>
    </row>
    <row r="868" spans="1:2">
      <c r="A868" s="85">
        <v>12501</v>
      </c>
      <c r="B868" s="97" t="s">
        <v>3059</v>
      </c>
    </row>
    <row r="869" spans="1:2">
      <c r="A869" s="85">
        <v>12502</v>
      </c>
      <c r="B869" s="97" t="s">
        <v>3060</v>
      </c>
    </row>
    <row r="870" spans="1:2">
      <c r="A870" s="85">
        <v>12510</v>
      </c>
      <c r="B870" s="97" t="s">
        <v>3324</v>
      </c>
    </row>
    <row r="871" spans="1:2">
      <c r="A871" s="85">
        <v>12520</v>
      </c>
      <c r="B871" s="97" t="s">
        <v>3325</v>
      </c>
    </row>
    <row r="872" spans="1:2">
      <c r="A872" s="85">
        <v>12600</v>
      </c>
      <c r="B872" s="97" t="s">
        <v>3061</v>
      </c>
    </row>
    <row r="873" spans="1:2">
      <c r="A873" s="85">
        <v>12601</v>
      </c>
      <c r="B873" s="97" t="s">
        <v>3061</v>
      </c>
    </row>
    <row r="874" spans="1:2">
      <c r="A874" s="85">
        <v>12602</v>
      </c>
      <c r="B874" s="97" t="s">
        <v>3062</v>
      </c>
    </row>
    <row r="875" spans="1:2">
      <c r="A875" s="85">
        <v>12603</v>
      </c>
      <c r="B875" s="97" t="s">
        <v>3063</v>
      </c>
    </row>
    <row r="876" spans="1:2">
      <c r="A876" s="85">
        <v>12610</v>
      </c>
      <c r="B876" s="97" t="s">
        <v>3326</v>
      </c>
    </row>
    <row r="877" spans="1:2">
      <c r="A877" s="85">
        <v>12620</v>
      </c>
      <c r="B877" s="97" t="s">
        <v>3327</v>
      </c>
    </row>
    <row r="878" spans="1:2">
      <c r="A878" s="85">
        <v>12700</v>
      </c>
      <c r="B878" s="97" t="s">
        <v>3064</v>
      </c>
    </row>
    <row r="879" spans="1:2">
      <c r="A879" s="85">
        <v>12701</v>
      </c>
      <c r="B879" s="97" t="s">
        <v>3064</v>
      </c>
    </row>
    <row r="880" spans="1:2">
      <c r="A880" s="85">
        <v>12702</v>
      </c>
      <c r="B880" s="97" t="s">
        <v>3065</v>
      </c>
    </row>
    <row r="881" spans="1:2">
      <c r="A881" s="85">
        <v>12710</v>
      </c>
      <c r="B881" s="97" t="s">
        <v>3066</v>
      </c>
    </row>
    <row r="882" spans="1:2">
      <c r="A882" s="85">
        <v>12720</v>
      </c>
      <c r="B882" s="97" t="s">
        <v>3067</v>
      </c>
    </row>
    <row r="883" spans="1:2">
      <c r="A883" s="85">
        <v>12801</v>
      </c>
      <c r="B883" s="97" t="s">
        <v>3068</v>
      </c>
    </row>
    <row r="884" spans="1:2">
      <c r="A884" s="85">
        <v>12802</v>
      </c>
      <c r="B884" s="97" t="s">
        <v>3069</v>
      </c>
    </row>
    <row r="885" spans="1:2">
      <c r="A885" s="85">
        <v>12810</v>
      </c>
      <c r="B885" s="97" t="s">
        <v>3328</v>
      </c>
    </row>
    <row r="886" spans="1:2">
      <c r="A886" s="85">
        <v>12820</v>
      </c>
      <c r="B886" s="97" t="s">
        <v>3329</v>
      </c>
    </row>
    <row r="887" spans="1:2">
      <c r="A887" s="85">
        <v>12900</v>
      </c>
      <c r="B887" s="97" t="s">
        <v>3070</v>
      </c>
    </row>
    <row r="888" spans="1:2">
      <c r="A888" s="85">
        <v>12901</v>
      </c>
      <c r="B888" s="97" t="s">
        <v>3070</v>
      </c>
    </row>
    <row r="889" spans="1:2">
      <c r="A889" s="85">
        <v>12902</v>
      </c>
      <c r="B889" s="97" t="s">
        <v>3071</v>
      </c>
    </row>
    <row r="890" spans="1:2">
      <c r="A890" s="85">
        <v>12910</v>
      </c>
      <c r="B890" s="97" t="s">
        <v>3072</v>
      </c>
    </row>
    <row r="891" spans="1:2">
      <c r="A891" s="85">
        <v>12911</v>
      </c>
      <c r="B891" s="97" t="s">
        <v>3073</v>
      </c>
    </row>
    <row r="892" spans="1:2">
      <c r="A892" s="85">
        <v>12912</v>
      </c>
      <c r="B892" s="97" t="s">
        <v>3074</v>
      </c>
    </row>
    <row r="893" spans="1:2">
      <c r="A893" s="85">
        <v>12920</v>
      </c>
      <c r="B893" s="97" t="s">
        <v>3075</v>
      </c>
    </row>
    <row r="894" spans="1:2">
      <c r="A894" s="85">
        <v>13000</v>
      </c>
      <c r="B894" s="97" t="s">
        <v>3076</v>
      </c>
    </row>
    <row r="895" spans="1:2">
      <c r="A895" s="85">
        <v>13001</v>
      </c>
      <c r="B895" s="97" t="s">
        <v>3076</v>
      </c>
    </row>
    <row r="896" spans="1:2">
      <c r="A896" s="85">
        <v>13002</v>
      </c>
      <c r="B896" s="97" t="s">
        <v>3077</v>
      </c>
    </row>
    <row r="897" spans="1:2">
      <c r="A897" s="85">
        <v>13003</v>
      </c>
      <c r="B897" s="97" t="s">
        <v>3078</v>
      </c>
    </row>
    <row r="898" spans="1:2">
      <c r="A898" s="85">
        <v>13010</v>
      </c>
      <c r="B898" s="97" t="s">
        <v>3330</v>
      </c>
    </row>
    <row r="899" spans="1:2">
      <c r="A899" s="85">
        <v>13020</v>
      </c>
      <c r="B899" s="97" t="s">
        <v>3331</v>
      </c>
    </row>
    <row r="900" spans="1:2">
      <c r="A900" s="87">
        <v>13100</v>
      </c>
      <c r="B900" s="100" t="s">
        <v>3079</v>
      </c>
    </row>
    <row r="901" spans="1:2">
      <c r="A901" s="87">
        <v>13101</v>
      </c>
      <c r="B901" s="100" t="s">
        <v>3080</v>
      </c>
    </row>
    <row r="902" spans="1:2">
      <c r="A902" s="87">
        <v>13110</v>
      </c>
      <c r="B902" s="100" t="s">
        <v>2429</v>
      </c>
    </row>
    <row r="903" spans="1:2">
      <c r="A903" s="87">
        <v>13120</v>
      </c>
      <c r="B903" s="100" t="s">
        <v>3081</v>
      </c>
    </row>
    <row r="904" spans="1:2">
      <c r="A904" s="87">
        <v>13200</v>
      </c>
      <c r="B904" s="100" t="s">
        <v>3079</v>
      </c>
    </row>
    <row r="905" spans="1:2">
      <c r="A905" s="87">
        <v>13201</v>
      </c>
      <c r="B905" s="100" t="s">
        <v>3080</v>
      </c>
    </row>
    <row r="906" spans="1:2">
      <c r="A906" s="87">
        <v>13210</v>
      </c>
      <c r="B906" s="100" t="s">
        <v>2429</v>
      </c>
    </row>
    <row r="907" spans="1:2">
      <c r="A907" s="87">
        <v>13220</v>
      </c>
      <c r="B907" s="100" t="s">
        <v>3081</v>
      </c>
    </row>
    <row r="908" spans="1:2">
      <c r="A908" s="87">
        <v>13300</v>
      </c>
      <c r="B908" s="100" t="s">
        <v>3079</v>
      </c>
    </row>
    <row r="909" spans="1:2">
      <c r="A909" s="87">
        <v>13301</v>
      </c>
      <c r="B909" s="100" t="s">
        <v>3080</v>
      </c>
    </row>
    <row r="910" spans="1:2">
      <c r="A910" s="87">
        <v>13310</v>
      </c>
      <c r="B910" s="100" t="s">
        <v>2429</v>
      </c>
    </row>
    <row r="911" spans="1:2">
      <c r="A911" s="87">
        <v>13320</v>
      </c>
      <c r="B911" s="100" t="s">
        <v>3081</v>
      </c>
    </row>
    <row r="912" spans="1:2">
      <c r="A912" s="85">
        <v>13400</v>
      </c>
      <c r="B912" s="97" t="s">
        <v>3082</v>
      </c>
    </row>
    <row r="913" spans="1:2">
      <c r="A913" s="85">
        <v>13401</v>
      </c>
      <c r="B913" s="97" t="s">
        <v>3082</v>
      </c>
    </row>
    <row r="914" spans="1:2">
      <c r="A914" s="85">
        <v>13410</v>
      </c>
      <c r="B914" s="97" t="s">
        <v>3332</v>
      </c>
    </row>
    <row r="915" spans="1:2">
      <c r="A915" s="85">
        <v>13420</v>
      </c>
      <c r="B915" s="97" t="s">
        <v>3333</v>
      </c>
    </row>
    <row r="916" spans="1:2">
      <c r="A916" s="85">
        <v>13421</v>
      </c>
      <c r="B916" s="97" t="s">
        <v>3333</v>
      </c>
    </row>
    <row r="917" spans="1:2">
      <c r="A917" s="90">
        <v>13500</v>
      </c>
      <c r="B917" s="106" t="s">
        <v>3334</v>
      </c>
    </row>
    <row r="918" spans="1:2">
      <c r="A918" s="90">
        <v>13501</v>
      </c>
      <c r="B918" s="106" t="s">
        <v>3335</v>
      </c>
    </row>
    <row r="919" spans="1:2">
      <c r="A919" s="90">
        <v>1013501</v>
      </c>
      <c r="B919" s="106" t="s">
        <v>3335</v>
      </c>
    </row>
    <row r="920" spans="1:2">
      <c r="A920" s="90">
        <v>1113501</v>
      </c>
      <c r="B920" s="106" t="s">
        <v>3335</v>
      </c>
    </row>
    <row r="921" spans="1:2">
      <c r="A921" s="90">
        <v>1213501</v>
      </c>
      <c r="B921" s="106" t="s">
        <v>3335</v>
      </c>
    </row>
    <row r="922" spans="1:2">
      <c r="A922" s="90">
        <v>13502</v>
      </c>
      <c r="B922" s="106" t="s">
        <v>3336</v>
      </c>
    </row>
    <row r="923" spans="1:2">
      <c r="A923" s="90">
        <v>1013502</v>
      </c>
      <c r="B923" s="106" t="s">
        <v>3336</v>
      </c>
    </row>
    <row r="924" spans="1:2">
      <c r="A924" s="90">
        <v>1113502</v>
      </c>
      <c r="B924" s="106" t="s">
        <v>3336</v>
      </c>
    </row>
    <row r="925" spans="1:2">
      <c r="A925" s="90">
        <v>1213502</v>
      </c>
      <c r="B925" s="106" t="s">
        <v>3336</v>
      </c>
    </row>
    <row r="926" spans="1:2">
      <c r="A926" s="90">
        <v>13510</v>
      </c>
      <c r="B926" s="106" t="s">
        <v>3337</v>
      </c>
    </row>
    <row r="927" spans="1:2">
      <c r="A927" s="90">
        <v>1013510</v>
      </c>
      <c r="B927" s="106" t="s">
        <v>3337</v>
      </c>
    </row>
    <row r="928" spans="1:2">
      <c r="A928" s="90">
        <v>1113510</v>
      </c>
      <c r="B928" s="106" t="s">
        <v>3337</v>
      </c>
    </row>
    <row r="929" spans="1:2">
      <c r="A929" s="90">
        <v>1213510</v>
      </c>
      <c r="B929" s="106" t="s">
        <v>3337</v>
      </c>
    </row>
    <row r="930" spans="1:2">
      <c r="A930" s="90">
        <v>13511</v>
      </c>
      <c r="B930" s="106" t="s">
        <v>3338</v>
      </c>
    </row>
    <row r="931" spans="1:2">
      <c r="A931" s="90">
        <v>1013511</v>
      </c>
      <c r="B931" s="106" t="s">
        <v>3338</v>
      </c>
    </row>
    <row r="932" spans="1:2">
      <c r="A932" s="90">
        <v>1113511</v>
      </c>
      <c r="B932" s="106" t="s">
        <v>3338</v>
      </c>
    </row>
    <row r="933" spans="1:2">
      <c r="A933" s="90">
        <v>1213511</v>
      </c>
      <c r="B933" s="106" t="s">
        <v>3338</v>
      </c>
    </row>
    <row r="934" spans="1:2">
      <c r="A934" s="90">
        <v>13520</v>
      </c>
      <c r="B934" s="106" t="s">
        <v>3339</v>
      </c>
    </row>
    <row r="935" spans="1:2">
      <c r="A935" s="90">
        <v>1013520</v>
      </c>
      <c r="B935" s="106" t="s">
        <v>3339</v>
      </c>
    </row>
    <row r="936" spans="1:2">
      <c r="A936" s="90">
        <v>1113520</v>
      </c>
      <c r="B936" s="106" t="s">
        <v>3339</v>
      </c>
    </row>
    <row r="937" spans="1:2">
      <c r="A937" s="90">
        <v>1213520</v>
      </c>
      <c r="B937" s="106" t="s">
        <v>3339</v>
      </c>
    </row>
    <row r="938" spans="1:2">
      <c r="A938" s="85">
        <v>13600</v>
      </c>
      <c r="B938" s="97" t="s">
        <v>3083</v>
      </c>
    </row>
    <row r="939" spans="1:2">
      <c r="A939" s="85">
        <v>13601</v>
      </c>
      <c r="B939" s="97" t="s">
        <v>3083</v>
      </c>
    </row>
    <row r="940" spans="1:2">
      <c r="A940" s="85">
        <v>13602</v>
      </c>
      <c r="B940" s="97" t="s">
        <v>3084</v>
      </c>
    </row>
    <row r="941" spans="1:2">
      <c r="A941" s="85">
        <v>13610</v>
      </c>
      <c r="B941" s="97" t="s">
        <v>3340</v>
      </c>
    </row>
    <row r="942" spans="1:2">
      <c r="A942" s="85">
        <v>13620</v>
      </c>
      <c r="B942" s="97" t="s">
        <v>3341</v>
      </c>
    </row>
    <row r="943" spans="1:2">
      <c r="A943" s="87">
        <v>13700</v>
      </c>
      <c r="B943" s="100" t="s">
        <v>3079</v>
      </c>
    </row>
    <row r="944" spans="1:2">
      <c r="A944" s="87">
        <v>13701</v>
      </c>
      <c r="B944" s="100" t="s">
        <v>3080</v>
      </c>
    </row>
    <row r="945" spans="1:2">
      <c r="A945" s="87">
        <v>13710</v>
      </c>
      <c r="B945" s="100" t="s">
        <v>2429</v>
      </c>
    </row>
    <row r="946" spans="1:2">
      <c r="A946" s="87">
        <v>13720</v>
      </c>
      <c r="B946" s="100" t="s">
        <v>3081</v>
      </c>
    </row>
    <row r="947" spans="1:2">
      <c r="A947" s="85">
        <v>13800</v>
      </c>
      <c r="B947" s="97" t="s">
        <v>3085</v>
      </c>
    </row>
    <row r="948" spans="1:2">
      <c r="A948" s="85">
        <v>13801</v>
      </c>
      <c r="B948" s="97" t="s">
        <v>3085</v>
      </c>
    </row>
    <row r="949" spans="1:2">
      <c r="A949" s="85">
        <v>13802</v>
      </c>
      <c r="B949" s="97" t="s">
        <v>3086</v>
      </c>
    </row>
    <row r="950" spans="1:2">
      <c r="A950" s="85">
        <v>13803</v>
      </c>
      <c r="B950" s="97" t="s">
        <v>3087</v>
      </c>
    </row>
    <row r="951" spans="1:2">
      <c r="A951" s="85">
        <v>13810</v>
      </c>
      <c r="B951" s="97" t="s">
        <v>3342</v>
      </c>
    </row>
    <row r="952" spans="1:2">
      <c r="A952" s="85">
        <v>13820</v>
      </c>
      <c r="B952" s="97" t="s">
        <v>3343</v>
      </c>
    </row>
    <row r="953" spans="1:2">
      <c r="A953" s="85">
        <v>13900</v>
      </c>
      <c r="B953" s="97" t="s">
        <v>3088</v>
      </c>
    </row>
    <row r="954" spans="1:2">
      <c r="A954" s="85">
        <v>13901</v>
      </c>
      <c r="B954" s="97" t="s">
        <v>3088</v>
      </c>
    </row>
    <row r="955" spans="1:2">
      <c r="A955" s="85">
        <v>13902</v>
      </c>
      <c r="B955" s="97" t="s">
        <v>3089</v>
      </c>
    </row>
    <row r="956" spans="1:2">
      <c r="A956" s="85">
        <v>13910</v>
      </c>
      <c r="B956" s="97" t="s">
        <v>3344</v>
      </c>
    </row>
    <row r="957" spans="1:2">
      <c r="A957" s="85">
        <v>13911</v>
      </c>
      <c r="B957" s="97" t="s">
        <v>3345</v>
      </c>
    </row>
    <row r="958" spans="1:2">
      <c r="A958" s="85">
        <v>13920</v>
      </c>
      <c r="B958" s="97" t="s">
        <v>3346</v>
      </c>
    </row>
    <row r="959" spans="1:2">
      <c r="A959" s="87">
        <v>14000</v>
      </c>
      <c r="B959" s="100" t="s">
        <v>3079</v>
      </c>
    </row>
    <row r="960" spans="1:2">
      <c r="A960" s="87">
        <v>14001</v>
      </c>
      <c r="B960" s="100" t="s">
        <v>3080</v>
      </c>
    </row>
    <row r="961" spans="1:2">
      <c r="A961" s="87">
        <v>14010</v>
      </c>
      <c r="B961" s="100" t="s">
        <v>2429</v>
      </c>
    </row>
    <row r="962" spans="1:2">
      <c r="A962" s="87">
        <v>14020</v>
      </c>
      <c r="B962" s="100" t="s">
        <v>3081</v>
      </c>
    </row>
    <row r="963" spans="1:2">
      <c r="A963" s="87">
        <v>14100</v>
      </c>
      <c r="B963" s="100" t="s">
        <v>3079</v>
      </c>
    </row>
    <row r="964" spans="1:2">
      <c r="A964" s="87">
        <v>14101</v>
      </c>
      <c r="B964" s="100" t="s">
        <v>3080</v>
      </c>
    </row>
    <row r="965" spans="1:2">
      <c r="A965" s="87">
        <v>14110</v>
      </c>
      <c r="B965" s="100" t="s">
        <v>2429</v>
      </c>
    </row>
    <row r="966" spans="1:2">
      <c r="A966" s="87">
        <v>14120</v>
      </c>
      <c r="B966" s="100" t="s">
        <v>3081</v>
      </c>
    </row>
    <row r="967" spans="1:2">
      <c r="A967" s="90">
        <v>14200</v>
      </c>
      <c r="B967" s="106" t="s">
        <v>3347</v>
      </c>
    </row>
    <row r="968" spans="1:2">
      <c r="A968" s="90">
        <v>14201</v>
      </c>
      <c r="B968" s="106" t="s">
        <v>3348</v>
      </c>
    </row>
    <row r="969" spans="1:2">
      <c r="A969" s="90">
        <v>1014201</v>
      </c>
      <c r="B969" s="106" t="s">
        <v>3348</v>
      </c>
    </row>
    <row r="970" spans="1:2">
      <c r="A970" s="90">
        <v>1114201</v>
      </c>
      <c r="B970" s="106" t="s">
        <v>3348</v>
      </c>
    </row>
    <row r="971" spans="1:2">
      <c r="A971" s="90">
        <v>1214201</v>
      </c>
      <c r="B971" s="106" t="s">
        <v>3348</v>
      </c>
    </row>
    <row r="972" spans="1:2">
      <c r="A972" s="90">
        <v>14202</v>
      </c>
      <c r="B972" s="106" t="s">
        <v>3349</v>
      </c>
    </row>
    <row r="973" spans="1:2">
      <c r="A973" s="90">
        <v>1014202</v>
      </c>
      <c r="B973" s="106" t="s">
        <v>3349</v>
      </c>
    </row>
    <row r="974" spans="1:2">
      <c r="A974" s="90">
        <v>1114202</v>
      </c>
      <c r="B974" s="106" t="s">
        <v>3349</v>
      </c>
    </row>
    <row r="975" spans="1:2">
      <c r="A975" s="90">
        <v>1214202</v>
      </c>
      <c r="B975" s="106" t="s">
        <v>3349</v>
      </c>
    </row>
    <row r="976" spans="1:2">
      <c r="A976" s="90">
        <v>14210</v>
      </c>
      <c r="B976" s="106" t="s">
        <v>3350</v>
      </c>
    </row>
    <row r="977" spans="1:2">
      <c r="A977" s="90">
        <v>1014210</v>
      </c>
      <c r="B977" s="106" t="s">
        <v>3350</v>
      </c>
    </row>
    <row r="978" spans="1:2">
      <c r="A978" s="90">
        <v>1114210</v>
      </c>
      <c r="B978" s="106" t="s">
        <v>3350</v>
      </c>
    </row>
    <row r="979" spans="1:2">
      <c r="A979" s="90">
        <v>1214210</v>
      </c>
      <c r="B979" s="106" t="s">
        <v>3350</v>
      </c>
    </row>
    <row r="980" spans="1:2">
      <c r="A980" s="90">
        <v>14220</v>
      </c>
      <c r="B980" s="106" t="s">
        <v>3351</v>
      </c>
    </row>
    <row r="981" spans="1:2">
      <c r="A981" s="90">
        <v>1014220</v>
      </c>
      <c r="B981" s="106" t="s">
        <v>3351</v>
      </c>
    </row>
    <row r="982" spans="1:2">
      <c r="A982" s="90">
        <v>1114220</v>
      </c>
      <c r="B982" s="106" t="s">
        <v>3351</v>
      </c>
    </row>
    <row r="983" spans="1:2">
      <c r="A983" s="90">
        <v>1214220</v>
      </c>
      <c r="B983" s="106" t="s">
        <v>3351</v>
      </c>
    </row>
    <row r="984" spans="1:2">
      <c r="A984" s="85">
        <v>14300</v>
      </c>
      <c r="B984" s="97" t="s">
        <v>2807</v>
      </c>
    </row>
    <row r="985" spans="1:2">
      <c r="A985" s="85">
        <v>14301</v>
      </c>
      <c r="B985" s="97" t="s">
        <v>2807</v>
      </c>
    </row>
    <row r="986" spans="1:2">
      <c r="A986" s="85">
        <v>14302</v>
      </c>
      <c r="B986" s="97" t="s">
        <v>3090</v>
      </c>
    </row>
    <row r="987" spans="1:2">
      <c r="A987" s="85">
        <v>14310</v>
      </c>
      <c r="B987" s="97" t="s">
        <v>3352</v>
      </c>
    </row>
    <row r="988" spans="1:2">
      <c r="A988" s="85">
        <v>14320</v>
      </c>
      <c r="B988" s="97" t="s">
        <v>3353</v>
      </c>
    </row>
    <row r="989" spans="1:2">
      <c r="A989" s="87">
        <v>14400</v>
      </c>
      <c r="B989" s="100" t="s">
        <v>3079</v>
      </c>
    </row>
    <row r="990" spans="1:2">
      <c r="A990" s="87">
        <v>14401</v>
      </c>
      <c r="B990" s="100" t="s">
        <v>3080</v>
      </c>
    </row>
    <row r="991" spans="1:2">
      <c r="A991" s="87">
        <v>14410</v>
      </c>
      <c r="B991" s="100" t="s">
        <v>2429</v>
      </c>
    </row>
    <row r="992" spans="1:2">
      <c r="A992" s="87">
        <v>14420</v>
      </c>
      <c r="B992" s="100" t="s">
        <v>3081</v>
      </c>
    </row>
    <row r="993" spans="1:2">
      <c r="A993" s="85">
        <v>14500</v>
      </c>
      <c r="B993" s="97" t="s">
        <v>3091</v>
      </c>
    </row>
    <row r="994" spans="1:2">
      <c r="A994" s="85">
        <v>14501</v>
      </c>
      <c r="B994" s="97" t="s">
        <v>3091</v>
      </c>
    </row>
    <row r="995" spans="1:2">
      <c r="A995" s="85">
        <v>14502</v>
      </c>
      <c r="B995" s="97" t="s">
        <v>3092</v>
      </c>
    </row>
    <row r="996" spans="1:2">
      <c r="A996" s="85">
        <v>14510</v>
      </c>
      <c r="B996" s="97" t="s">
        <v>3093</v>
      </c>
    </row>
    <row r="997" spans="1:2">
      <c r="A997" s="85">
        <v>14520</v>
      </c>
      <c r="B997" s="97" t="s">
        <v>3094</v>
      </c>
    </row>
    <row r="998" spans="1:2">
      <c r="A998" s="85">
        <v>14600</v>
      </c>
      <c r="B998" s="97" t="s">
        <v>3095</v>
      </c>
    </row>
    <row r="999" spans="1:2">
      <c r="A999" s="85">
        <v>14601</v>
      </c>
      <c r="B999" s="97" t="s">
        <v>3095</v>
      </c>
    </row>
    <row r="1000" spans="1:2">
      <c r="A1000" s="85">
        <v>14602</v>
      </c>
      <c r="B1000" s="97" t="s">
        <v>3096</v>
      </c>
    </row>
    <row r="1001" spans="1:2">
      <c r="A1001" s="85">
        <v>14603</v>
      </c>
      <c r="B1001" s="97" t="s">
        <v>3097</v>
      </c>
    </row>
    <row r="1002" spans="1:2">
      <c r="A1002" s="85">
        <v>14610</v>
      </c>
      <c r="B1002" s="97" t="s">
        <v>3354</v>
      </c>
    </row>
    <row r="1003" spans="1:2">
      <c r="A1003" s="85">
        <v>14620</v>
      </c>
      <c r="B1003" s="97" t="s">
        <v>3355</v>
      </c>
    </row>
    <row r="1004" spans="1:2">
      <c r="A1004" s="87">
        <v>14700</v>
      </c>
      <c r="B1004" s="100" t="s">
        <v>3079</v>
      </c>
    </row>
    <row r="1005" spans="1:2">
      <c r="A1005" s="87">
        <v>14701</v>
      </c>
      <c r="B1005" s="100" t="s">
        <v>3080</v>
      </c>
    </row>
    <row r="1006" spans="1:2">
      <c r="A1006" s="87">
        <v>14710</v>
      </c>
      <c r="B1006" s="100" t="s">
        <v>2429</v>
      </c>
    </row>
    <row r="1007" spans="1:2">
      <c r="A1007" s="87">
        <v>14720</v>
      </c>
      <c r="B1007" s="100" t="s">
        <v>3081</v>
      </c>
    </row>
    <row r="1008" spans="1:2">
      <c r="A1008" s="85"/>
      <c r="B1008" s="97"/>
    </row>
    <row r="1009" spans="1:2">
      <c r="A1009" s="85"/>
      <c r="B1009" s="97"/>
    </row>
    <row r="1010" spans="1:2">
      <c r="A1010" s="86"/>
      <c r="B1010" s="96" t="s">
        <v>3098</v>
      </c>
    </row>
    <row r="1011" spans="1:2">
      <c r="A1011" s="85">
        <v>21700</v>
      </c>
      <c r="B1011" s="97" t="s">
        <v>3099</v>
      </c>
    </row>
    <row r="1012" spans="1:2">
      <c r="A1012" s="85">
        <v>21710</v>
      </c>
      <c r="B1012" s="97" t="s">
        <v>3100</v>
      </c>
    </row>
    <row r="1013" spans="1:2">
      <c r="A1013" s="85">
        <v>21720</v>
      </c>
      <c r="B1013" s="97" t="s">
        <v>3101</v>
      </c>
    </row>
    <row r="1014" spans="1:2">
      <c r="A1014" s="85"/>
      <c r="B1014" s="97"/>
    </row>
    <row r="1015" spans="1:2">
      <c r="A1015" s="86"/>
      <c r="B1015" s="96" t="s">
        <v>3102</v>
      </c>
    </row>
    <row r="1016" spans="1:2">
      <c r="A1016" s="85">
        <v>30100</v>
      </c>
      <c r="B1016" s="97" t="s">
        <v>3103</v>
      </c>
    </row>
    <row r="1017" spans="1:2">
      <c r="A1017" s="85">
        <v>30101</v>
      </c>
      <c r="B1017" s="97" t="s">
        <v>3104</v>
      </c>
    </row>
    <row r="1018" spans="1:2">
      <c r="A1018" s="85">
        <v>30102</v>
      </c>
      <c r="B1018" s="97" t="s">
        <v>3104</v>
      </c>
    </row>
    <row r="1019" spans="1:2">
      <c r="A1019" s="85">
        <v>30110</v>
      </c>
      <c r="B1019" s="97" t="s">
        <v>1239</v>
      </c>
    </row>
    <row r="1020" spans="1:2">
      <c r="A1020" s="85">
        <v>30120</v>
      </c>
      <c r="B1020" s="97" t="s">
        <v>3105</v>
      </c>
    </row>
    <row r="1021" spans="1:2">
      <c r="A1021" s="85">
        <v>30200</v>
      </c>
      <c r="B1021" s="97" t="s">
        <v>3106</v>
      </c>
    </row>
    <row r="1022" spans="1:2">
      <c r="A1022" s="85">
        <v>30210</v>
      </c>
      <c r="B1022" s="97" t="s">
        <v>1240</v>
      </c>
    </row>
    <row r="1023" spans="1:2">
      <c r="A1023" s="85">
        <v>30211</v>
      </c>
      <c r="B1023" s="97" t="s">
        <v>3107</v>
      </c>
    </row>
    <row r="1024" spans="1:2">
      <c r="A1024" s="85">
        <v>30220</v>
      </c>
      <c r="B1024" s="97" t="s">
        <v>1241</v>
      </c>
    </row>
    <row r="1025" spans="1:2">
      <c r="A1025" s="85">
        <v>30300</v>
      </c>
      <c r="B1025" s="97" t="s">
        <v>3108</v>
      </c>
    </row>
    <row r="1026" spans="1:2">
      <c r="A1026" s="85">
        <v>30301</v>
      </c>
      <c r="B1026" s="97" t="s">
        <v>3109</v>
      </c>
    </row>
    <row r="1027" spans="1:2">
      <c r="A1027" s="85">
        <v>30302</v>
      </c>
      <c r="B1027" s="97" t="s">
        <v>3110</v>
      </c>
    </row>
    <row r="1028" spans="1:2">
      <c r="A1028" s="85">
        <v>30303</v>
      </c>
      <c r="B1028" s="97" t="s">
        <v>3111</v>
      </c>
    </row>
    <row r="1029" spans="1:2">
      <c r="A1029" s="85">
        <v>30310</v>
      </c>
      <c r="B1029" s="97" t="s">
        <v>3112</v>
      </c>
    </row>
    <row r="1030" spans="1:2">
      <c r="A1030" s="85">
        <v>30320</v>
      </c>
      <c r="B1030" s="97" t="s">
        <v>3113</v>
      </c>
    </row>
    <row r="1031" spans="1:2">
      <c r="A1031" s="85">
        <v>30400</v>
      </c>
      <c r="B1031" s="97" t="s">
        <v>3114</v>
      </c>
    </row>
    <row r="1032" spans="1:2">
      <c r="A1032" s="85">
        <v>30410</v>
      </c>
      <c r="B1032" s="97" t="s">
        <v>1242</v>
      </c>
    </row>
    <row r="1033" spans="1:2">
      <c r="A1033" s="85">
        <v>30411</v>
      </c>
      <c r="B1033" s="97" t="s">
        <v>3115</v>
      </c>
    </row>
    <row r="1034" spans="1:2">
      <c r="A1034" s="85">
        <v>30420</v>
      </c>
      <c r="B1034" s="97" t="s">
        <v>1243</v>
      </c>
    </row>
    <row r="1035" spans="1:2">
      <c r="A1035" s="85">
        <v>30500</v>
      </c>
      <c r="B1035" s="97" t="s">
        <v>3116</v>
      </c>
    </row>
    <row r="1036" spans="1:2">
      <c r="A1036" s="85">
        <v>30510</v>
      </c>
      <c r="B1036" s="97" t="s">
        <v>3117</v>
      </c>
    </row>
    <row r="1037" spans="1:2">
      <c r="A1037" s="85">
        <v>30520</v>
      </c>
      <c r="B1037" s="97" t="s">
        <v>2430</v>
      </c>
    </row>
    <row r="1038" spans="1:2">
      <c r="A1038" s="85">
        <v>30600</v>
      </c>
      <c r="B1038" s="97" t="s">
        <v>3118</v>
      </c>
    </row>
    <row r="1039" spans="1:2">
      <c r="A1039" s="85">
        <v>30601</v>
      </c>
      <c r="B1039" s="97" t="s">
        <v>3118</v>
      </c>
    </row>
    <row r="1040" spans="1:2">
      <c r="A1040" s="85">
        <v>30602</v>
      </c>
      <c r="B1040" s="97" t="s">
        <v>3118</v>
      </c>
    </row>
    <row r="1041" spans="1:2">
      <c r="A1041" s="85">
        <v>30610</v>
      </c>
      <c r="B1041" s="97" t="s">
        <v>1244</v>
      </c>
    </row>
    <row r="1042" spans="1:2">
      <c r="A1042" s="85">
        <v>30620</v>
      </c>
      <c r="B1042" s="97" t="s">
        <v>1245</v>
      </c>
    </row>
    <row r="1043" spans="1:2">
      <c r="A1043" s="85">
        <v>30700</v>
      </c>
      <c r="B1043" s="97" t="s">
        <v>3119</v>
      </c>
    </row>
    <row r="1044" spans="1:2">
      <c r="A1044" s="85">
        <v>30710</v>
      </c>
      <c r="B1044" s="97" t="s">
        <v>1246</v>
      </c>
    </row>
    <row r="1045" spans="1:2">
      <c r="A1045" s="85">
        <v>30720</v>
      </c>
      <c r="B1045" s="97" t="s">
        <v>1247</v>
      </c>
    </row>
    <row r="1046" spans="1:2">
      <c r="A1046" s="85">
        <v>30800</v>
      </c>
      <c r="B1046" s="97" t="s">
        <v>3120</v>
      </c>
    </row>
    <row r="1047" spans="1:2">
      <c r="A1047" s="85">
        <v>30801</v>
      </c>
      <c r="B1047" s="97" t="s">
        <v>3120</v>
      </c>
    </row>
    <row r="1048" spans="1:2">
      <c r="A1048" s="85">
        <v>30802</v>
      </c>
      <c r="B1048" s="97" t="s">
        <v>3121</v>
      </c>
    </row>
    <row r="1049" spans="1:2">
      <c r="A1049" s="85">
        <v>30810</v>
      </c>
      <c r="B1049" s="97" t="s">
        <v>3122</v>
      </c>
    </row>
    <row r="1050" spans="1:2">
      <c r="A1050" s="85">
        <v>30820</v>
      </c>
      <c r="B1050" s="97" t="s">
        <v>3123</v>
      </c>
    </row>
    <row r="1051" spans="1:2">
      <c r="A1051" s="85">
        <v>30900</v>
      </c>
      <c r="B1051" s="97" t="s">
        <v>3124</v>
      </c>
    </row>
    <row r="1052" spans="1:2">
      <c r="A1052" s="85">
        <v>30901</v>
      </c>
      <c r="B1052" s="97" t="s">
        <v>3124</v>
      </c>
    </row>
    <row r="1053" spans="1:2">
      <c r="A1053" s="85">
        <v>30910</v>
      </c>
      <c r="B1053" s="97" t="s">
        <v>1248</v>
      </c>
    </row>
    <row r="1054" spans="1:2">
      <c r="A1054" s="85">
        <v>30911</v>
      </c>
      <c r="B1054" s="97" t="s">
        <v>3125</v>
      </c>
    </row>
    <row r="1055" spans="1:2">
      <c r="A1055" s="85">
        <v>30912</v>
      </c>
      <c r="B1055" s="97" t="s">
        <v>3126</v>
      </c>
    </row>
    <row r="1056" spans="1:2">
      <c r="A1056" s="85">
        <v>30913</v>
      </c>
      <c r="B1056" s="97" t="s">
        <v>3127</v>
      </c>
    </row>
    <row r="1057" spans="1:2">
      <c r="A1057" s="85">
        <v>30914</v>
      </c>
      <c r="B1057" s="97" t="s">
        <v>3128</v>
      </c>
    </row>
    <row r="1058" spans="1:2">
      <c r="A1058" s="85">
        <v>30920</v>
      </c>
      <c r="B1058" s="97" t="s">
        <v>1249</v>
      </c>
    </row>
    <row r="1059" spans="1:2">
      <c r="A1059" s="85">
        <v>31000</v>
      </c>
      <c r="B1059" s="97" t="s">
        <v>3129</v>
      </c>
    </row>
    <row r="1060" spans="1:2">
      <c r="A1060" s="85">
        <v>31001</v>
      </c>
      <c r="B1060" s="97" t="s">
        <v>3129</v>
      </c>
    </row>
    <row r="1061" spans="1:2">
      <c r="A1061" s="85">
        <v>31002</v>
      </c>
      <c r="B1061" s="97" t="s">
        <v>3130</v>
      </c>
    </row>
    <row r="1062" spans="1:2">
      <c r="A1062" s="85">
        <v>31010</v>
      </c>
      <c r="B1062" s="97" t="s">
        <v>1250</v>
      </c>
    </row>
    <row r="1063" spans="1:2">
      <c r="A1063" s="85">
        <v>31020</v>
      </c>
      <c r="B1063" s="97" t="s">
        <v>1251</v>
      </c>
    </row>
    <row r="1064" spans="1:2">
      <c r="A1064" s="85">
        <v>31100</v>
      </c>
      <c r="B1064" s="97" t="s">
        <v>3131</v>
      </c>
    </row>
    <row r="1065" spans="1:2">
      <c r="A1065" s="85">
        <v>31101</v>
      </c>
      <c r="B1065" s="97" t="s">
        <v>3131</v>
      </c>
    </row>
    <row r="1066" spans="1:2">
      <c r="A1066" s="85">
        <v>31102</v>
      </c>
      <c r="B1066" s="97" t="s">
        <v>3132</v>
      </c>
    </row>
    <row r="1067" spans="1:2">
      <c r="A1067" s="85">
        <v>31110</v>
      </c>
      <c r="B1067" s="97" t="s">
        <v>3133</v>
      </c>
    </row>
    <row r="1068" spans="1:2">
      <c r="A1068" s="85">
        <v>31120</v>
      </c>
      <c r="B1068" s="97" t="s">
        <v>3134</v>
      </c>
    </row>
    <row r="1069" spans="1:2">
      <c r="A1069" s="85">
        <v>31200</v>
      </c>
      <c r="B1069" s="97" t="s">
        <v>3135</v>
      </c>
    </row>
    <row r="1070" spans="1:2">
      <c r="A1070" s="85">
        <v>31201</v>
      </c>
      <c r="B1070" s="97" t="s">
        <v>3135</v>
      </c>
    </row>
    <row r="1071" spans="1:2">
      <c r="A1071" s="85">
        <v>31202</v>
      </c>
      <c r="B1071" s="97" t="s">
        <v>3135</v>
      </c>
    </row>
    <row r="1072" spans="1:2">
      <c r="A1072" s="85">
        <v>31210</v>
      </c>
      <c r="B1072" s="97" t="s">
        <v>3136</v>
      </c>
    </row>
    <row r="1073" spans="1:2">
      <c r="A1073" s="85">
        <v>31211</v>
      </c>
      <c r="B1073" s="97" t="s">
        <v>3137</v>
      </c>
    </row>
    <row r="1074" spans="1:2">
      <c r="A1074" s="85">
        <v>31220</v>
      </c>
      <c r="B1074" s="97" t="s">
        <v>1252</v>
      </c>
    </row>
    <row r="1075" spans="1:2">
      <c r="A1075" s="85">
        <v>31300</v>
      </c>
      <c r="B1075" s="97" t="s">
        <v>3138</v>
      </c>
    </row>
    <row r="1076" spans="1:2">
      <c r="A1076" s="85">
        <v>31301</v>
      </c>
      <c r="B1076" s="97" t="s">
        <v>3138</v>
      </c>
    </row>
    <row r="1077" spans="1:2">
      <c r="A1077" s="85">
        <v>31302</v>
      </c>
      <c r="B1077" s="97" t="s">
        <v>3138</v>
      </c>
    </row>
    <row r="1078" spans="1:2">
      <c r="A1078" s="85">
        <v>31310</v>
      </c>
      <c r="B1078" s="97" t="s">
        <v>1253</v>
      </c>
    </row>
    <row r="1079" spans="1:2">
      <c r="A1079" s="85">
        <v>31320</v>
      </c>
      <c r="B1079" s="97" t="s">
        <v>3139</v>
      </c>
    </row>
    <row r="1080" spans="1:2">
      <c r="A1080" s="85">
        <v>31400</v>
      </c>
      <c r="B1080" s="97" t="s">
        <v>3140</v>
      </c>
    </row>
    <row r="1081" spans="1:2">
      <c r="A1081" s="85">
        <v>31401</v>
      </c>
      <c r="B1081" s="97" t="s">
        <v>3140</v>
      </c>
    </row>
    <row r="1082" spans="1:2">
      <c r="A1082" s="85">
        <v>31410</v>
      </c>
      <c r="B1082" s="97" t="s">
        <v>1254</v>
      </c>
    </row>
    <row r="1083" spans="1:2">
      <c r="A1083" s="85">
        <v>31420</v>
      </c>
      <c r="B1083" s="97" t="s">
        <v>1255</v>
      </c>
    </row>
    <row r="1084" spans="1:2">
      <c r="A1084" s="85">
        <v>31500</v>
      </c>
      <c r="B1084" s="97" t="s">
        <v>3141</v>
      </c>
    </row>
    <row r="1085" spans="1:2">
      <c r="A1085" s="85">
        <v>31501</v>
      </c>
      <c r="B1085" s="97" t="s">
        <v>3141</v>
      </c>
    </row>
    <row r="1086" spans="1:2">
      <c r="A1086" s="85">
        <v>31502</v>
      </c>
      <c r="B1086" s="97" t="s">
        <v>3142</v>
      </c>
    </row>
    <row r="1087" spans="1:2">
      <c r="A1087" s="85">
        <v>31510</v>
      </c>
      <c r="B1087" s="97" t="s">
        <v>1256</v>
      </c>
    </row>
    <row r="1088" spans="1:2">
      <c r="A1088" s="85">
        <v>31520</v>
      </c>
      <c r="B1088" s="97" t="s">
        <v>1257</v>
      </c>
    </row>
    <row r="1089" spans="1:2">
      <c r="A1089" s="85">
        <v>31600</v>
      </c>
      <c r="B1089" s="97" t="s">
        <v>3143</v>
      </c>
    </row>
    <row r="1090" spans="1:2">
      <c r="A1090" s="85">
        <v>31601</v>
      </c>
      <c r="B1090" s="97" t="s">
        <v>3143</v>
      </c>
    </row>
    <row r="1091" spans="1:2">
      <c r="A1091" s="85">
        <v>31602</v>
      </c>
      <c r="B1091" s="97" t="s">
        <v>3144</v>
      </c>
    </row>
    <row r="1092" spans="1:2">
      <c r="A1092" s="85">
        <v>31610</v>
      </c>
      <c r="B1092" s="97" t="s">
        <v>3145</v>
      </c>
    </row>
    <row r="1093" spans="1:2">
      <c r="A1093" s="85">
        <v>31620</v>
      </c>
      <c r="B1093" s="97" t="s">
        <v>1258</v>
      </c>
    </row>
    <row r="1094" spans="1:2">
      <c r="A1094" s="85">
        <v>31700</v>
      </c>
      <c r="B1094" s="97" t="s">
        <v>3146</v>
      </c>
    </row>
    <row r="1095" spans="1:2">
      <c r="A1095" s="85">
        <v>31701</v>
      </c>
      <c r="B1095" s="97" t="s">
        <v>3147</v>
      </c>
    </row>
    <row r="1096" spans="1:2">
      <c r="A1096" s="85">
        <v>31710</v>
      </c>
      <c r="B1096" s="97" t="s">
        <v>1259</v>
      </c>
    </row>
    <row r="1097" spans="1:2">
      <c r="A1097" s="85">
        <v>31711</v>
      </c>
      <c r="B1097" s="97" t="s">
        <v>3148</v>
      </c>
    </row>
    <row r="1098" spans="1:2">
      <c r="A1098" s="85">
        <v>31720</v>
      </c>
      <c r="B1098" s="97" t="s">
        <v>3149</v>
      </c>
    </row>
    <row r="1099" spans="1:2">
      <c r="A1099" s="85">
        <v>31800</v>
      </c>
      <c r="B1099" s="97" t="s">
        <v>3150</v>
      </c>
    </row>
    <row r="1100" spans="1:2">
      <c r="A1100" s="85">
        <v>31801</v>
      </c>
      <c r="B1100" s="97" t="s">
        <v>3150</v>
      </c>
    </row>
    <row r="1101" spans="1:2">
      <c r="A1101" s="85">
        <v>31802</v>
      </c>
      <c r="B1101" s="97" t="s">
        <v>3150</v>
      </c>
    </row>
    <row r="1102" spans="1:2">
      <c r="A1102" s="85">
        <v>31803</v>
      </c>
      <c r="B1102" s="97" t="s">
        <v>3150</v>
      </c>
    </row>
    <row r="1103" spans="1:2">
      <c r="A1103" s="85">
        <v>31810</v>
      </c>
      <c r="B1103" s="97" t="s">
        <v>3151</v>
      </c>
    </row>
    <row r="1104" spans="1:2">
      <c r="A1104" s="85">
        <v>31811</v>
      </c>
      <c r="B1104" s="97" t="s">
        <v>3152</v>
      </c>
    </row>
    <row r="1105" spans="1:2">
      <c r="A1105" s="85">
        <v>31820</v>
      </c>
      <c r="B1105" s="97" t="s">
        <v>1260</v>
      </c>
    </row>
    <row r="1106" spans="1:2">
      <c r="A1106" s="85">
        <v>31900</v>
      </c>
      <c r="B1106" s="97" t="s">
        <v>3153</v>
      </c>
    </row>
    <row r="1107" spans="1:2">
      <c r="A1107" s="85">
        <v>31901</v>
      </c>
      <c r="B1107" s="97" t="s">
        <v>3153</v>
      </c>
    </row>
    <row r="1108" spans="1:2">
      <c r="A1108" s="85">
        <v>31910</v>
      </c>
      <c r="B1108" s="97" t="s">
        <v>3154</v>
      </c>
    </row>
    <row r="1109" spans="1:2">
      <c r="A1109" s="85">
        <v>31920</v>
      </c>
      <c r="B1109" s="97" t="s">
        <v>1261</v>
      </c>
    </row>
    <row r="1110" spans="1:2">
      <c r="A1110" s="85">
        <v>32000</v>
      </c>
      <c r="B1110" s="97" t="s">
        <v>3155</v>
      </c>
    </row>
    <row r="1111" spans="1:2">
      <c r="A1111" s="85">
        <v>32001</v>
      </c>
      <c r="B1111" s="97" t="s">
        <v>3155</v>
      </c>
    </row>
    <row r="1112" spans="1:2">
      <c r="A1112" s="85">
        <v>32002</v>
      </c>
      <c r="B1112" s="97" t="s">
        <v>3156</v>
      </c>
    </row>
    <row r="1113" spans="1:2">
      <c r="A1113" s="85">
        <v>32003</v>
      </c>
      <c r="B1113" s="97" t="s">
        <v>3157</v>
      </c>
    </row>
    <row r="1114" spans="1:2">
      <c r="A1114" s="85">
        <v>32010</v>
      </c>
      <c r="B1114" s="97" t="s">
        <v>3158</v>
      </c>
    </row>
    <row r="1115" spans="1:2">
      <c r="A1115" s="85">
        <v>32020</v>
      </c>
      <c r="B1115" s="97" t="s">
        <v>1262</v>
      </c>
    </row>
    <row r="1116" spans="1:2">
      <c r="A1116" s="85">
        <v>32100</v>
      </c>
      <c r="B1116" s="97" t="s">
        <v>3159</v>
      </c>
    </row>
    <row r="1117" spans="1:2">
      <c r="A1117" s="85">
        <v>32101</v>
      </c>
      <c r="B1117" s="97" t="s">
        <v>3159</v>
      </c>
    </row>
    <row r="1118" spans="1:2">
      <c r="A1118" s="85">
        <v>32102</v>
      </c>
      <c r="B1118" s="97" t="s">
        <v>3160</v>
      </c>
    </row>
    <row r="1119" spans="1:2">
      <c r="A1119" s="85">
        <v>32110</v>
      </c>
      <c r="B1119" s="97" t="s">
        <v>1263</v>
      </c>
    </row>
    <row r="1120" spans="1:2">
      <c r="A1120" s="85">
        <v>32111</v>
      </c>
      <c r="B1120" s="97" t="s">
        <v>3161</v>
      </c>
    </row>
    <row r="1121" spans="1:2">
      <c r="A1121" s="85">
        <v>32120</v>
      </c>
      <c r="B1121" s="97" t="s">
        <v>1264</v>
      </c>
    </row>
    <row r="1122" spans="1:2">
      <c r="A1122" s="85">
        <v>32200</v>
      </c>
      <c r="B1122" s="97" t="s">
        <v>3162</v>
      </c>
    </row>
    <row r="1123" spans="1:2">
      <c r="A1123" s="85">
        <v>32201</v>
      </c>
      <c r="B1123" s="97" t="s">
        <v>3162</v>
      </c>
    </row>
    <row r="1124" spans="1:2">
      <c r="A1124" s="85">
        <v>32210</v>
      </c>
      <c r="B1124" s="97" t="s">
        <v>1265</v>
      </c>
    </row>
    <row r="1125" spans="1:2">
      <c r="A1125" s="85">
        <v>32211</v>
      </c>
      <c r="B1125" s="97" t="s">
        <v>3163</v>
      </c>
    </row>
    <row r="1126" spans="1:2">
      <c r="A1126" s="85">
        <v>32220</v>
      </c>
      <c r="B1126" s="97" t="s">
        <v>3164</v>
      </c>
    </row>
    <row r="1127" spans="1:2">
      <c r="A1127" s="85">
        <v>32300</v>
      </c>
      <c r="B1127" s="97" t="s">
        <v>3165</v>
      </c>
    </row>
    <row r="1128" spans="1:2">
      <c r="A1128" s="85">
        <v>32301</v>
      </c>
      <c r="B1128" s="97" t="s">
        <v>3165</v>
      </c>
    </row>
    <row r="1129" spans="1:2">
      <c r="A1129" s="85">
        <v>32310</v>
      </c>
      <c r="B1129" s="97" t="s">
        <v>1266</v>
      </c>
    </row>
    <row r="1130" spans="1:2">
      <c r="A1130" s="85">
        <v>32320</v>
      </c>
      <c r="B1130" s="97" t="s">
        <v>1267</v>
      </c>
    </row>
    <row r="1131" spans="1:2">
      <c r="A1131" s="85">
        <v>32321</v>
      </c>
      <c r="B1131" s="97" t="s">
        <v>1267</v>
      </c>
    </row>
    <row r="1132" spans="1:2">
      <c r="A1132" s="85"/>
      <c r="B1132" s="97"/>
    </row>
    <row r="1133" spans="1:2">
      <c r="A1133" s="86"/>
      <c r="B1133" s="96" t="s">
        <v>3166</v>
      </c>
    </row>
    <row r="1134" spans="1:2">
      <c r="A1134" s="85">
        <v>40100</v>
      </c>
      <c r="B1134" s="97" t="s">
        <v>2682</v>
      </c>
    </row>
    <row r="1135" spans="1:2">
      <c r="A1135" s="85">
        <v>40101</v>
      </c>
      <c r="B1135" s="97" t="s">
        <v>2683</v>
      </c>
    </row>
    <row r="1136" spans="1:2">
      <c r="A1136" s="86">
        <v>40110</v>
      </c>
      <c r="B1136" s="97" t="s">
        <v>3167</v>
      </c>
    </row>
    <row r="1137" spans="1:2">
      <c r="A1137" s="86">
        <v>40120</v>
      </c>
      <c r="B1137" s="97" t="s">
        <v>3168</v>
      </c>
    </row>
    <row r="1138" spans="1:2">
      <c r="A1138" s="85">
        <v>40200</v>
      </c>
      <c r="B1138" s="97" t="s">
        <v>3169</v>
      </c>
    </row>
    <row r="1139" spans="1:2">
      <c r="A1139" s="85">
        <v>40210</v>
      </c>
      <c r="B1139" s="97" t="s">
        <v>3170</v>
      </c>
    </row>
    <row r="1140" spans="1:2">
      <c r="A1140" s="85">
        <v>40220</v>
      </c>
      <c r="B1140" s="97" t="s">
        <v>3171</v>
      </c>
    </row>
    <row r="1141" spans="1:2">
      <c r="A1141" s="85">
        <v>40300</v>
      </c>
      <c r="B1141" s="97" t="s">
        <v>3172</v>
      </c>
    </row>
    <row r="1142" spans="1:2">
      <c r="A1142" s="85">
        <v>40301</v>
      </c>
      <c r="B1142" s="97" t="s">
        <v>3173</v>
      </c>
    </row>
    <row r="1143" spans="1:2">
      <c r="A1143" s="85">
        <v>40310</v>
      </c>
      <c r="B1143" s="97" t="s">
        <v>3174</v>
      </c>
    </row>
    <row r="1144" spans="1:2">
      <c r="A1144" s="85">
        <v>40311</v>
      </c>
      <c r="B1144" s="97" t="s">
        <v>3175</v>
      </c>
    </row>
    <row r="1145" spans="1:2">
      <c r="A1145" s="85">
        <v>40320</v>
      </c>
      <c r="B1145" s="97" t="s">
        <v>3176</v>
      </c>
    </row>
    <row r="1146" spans="1:2">
      <c r="A1146" s="85">
        <v>40400</v>
      </c>
      <c r="B1146" s="97" t="s">
        <v>3177</v>
      </c>
    </row>
    <row r="1147" spans="1:2">
      <c r="A1147" s="85">
        <v>40410</v>
      </c>
      <c r="B1147" s="97" t="s">
        <v>3178</v>
      </c>
    </row>
    <row r="1148" spans="1:2">
      <c r="A1148" s="85">
        <v>40411</v>
      </c>
      <c r="B1148" s="97" t="s">
        <v>3179</v>
      </c>
    </row>
    <row r="1149" spans="1:2">
      <c r="A1149" s="85">
        <v>40420</v>
      </c>
      <c r="B1149" s="97" t="s">
        <v>3180</v>
      </c>
    </row>
    <row r="1150" spans="1:2">
      <c r="A1150" s="85">
        <v>40500</v>
      </c>
      <c r="B1150" s="97" t="s">
        <v>2725</v>
      </c>
    </row>
    <row r="1151" spans="1:2">
      <c r="A1151" s="85">
        <v>40501</v>
      </c>
      <c r="B1151" s="97" t="s">
        <v>2726</v>
      </c>
    </row>
    <row r="1152" spans="1:2">
      <c r="A1152" s="85">
        <v>40510</v>
      </c>
      <c r="B1152" s="97" t="s">
        <v>3181</v>
      </c>
    </row>
    <row r="1153" spans="1:2">
      <c r="A1153" s="85">
        <v>40511</v>
      </c>
      <c r="B1153" s="97" t="s">
        <v>3181</v>
      </c>
    </row>
    <row r="1154" spans="1:2">
      <c r="A1154" s="85">
        <v>40520</v>
      </c>
      <c r="B1154" s="97" t="s">
        <v>3182</v>
      </c>
    </row>
    <row r="1155" spans="1:2">
      <c r="A1155" s="85">
        <v>40600</v>
      </c>
      <c r="B1155" s="97" t="s">
        <v>3183</v>
      </c>
    </row>
    <row r="1156" spans="1:2">
      <c r="A1156" s="85">
        <v>40610</v>
      </c>
      <c r="B1156" s="97" t="s">
        <v>3184</v>
      </c>
    </row>
    <row r="1157" spans="1:2">
      <c r="A1157" s="85">
        <v>40611</v>
      </c>
      <c r="B1157" s="97" t="s">
        <v>3185</v>
      </c>
    </row>
    <row r="1158" spans="1:2">
      <c r="A1158" s="85">
        <v>40620</v>
      </c>
      <c r="B1158" s="97" t="s">
        <v>3186</v>
      </c>
    </row>
    <row r="1159" spans="1:2">
      <c r="A1159" s="85">
        <v>40700</v>
      </c>
      <c r="B1159" s="97" t="s">
        <v>3187</v>
      </c>
    </row>
    <row r="1160" spans="1:2">
      <c r="A1160" s="85">
        <v>40710</v>
      </c>
      <c r="B1160" s="97" t="s">
        <v>3188</v>
      </c>
    </row>
    <row r="1161" spans="1:2">
      <c r="A1161" s="85">
        <v>40720</v>
      </c>
      <c r="B1161" s="97" t="s">
        <v>3189</v>
      </c>
    </row>
    <row r="1162" spans="1:2">
      <c r="A1162" s="85">
        <v>40800</v>
      </c>
      <c r="B1162" s="97" t="s">
        <v>3190</v>
      </c>
    </row>
    <row r="1163" spans="1:2">
      <c r="A1163" s="85">
        <v>40801</v>
      </c>
      <c r="B1163" s="97" t="s">
        <v>3191</v>
      </c>
    </row>
    <row r="1164" spans="1:2">
      <c r="A1164" s="85">
        <v>40810</v>
      </c>
      <c r="B1164" s="97" t="s">
        <v>3192</v>
      </c>
    </row>
    <row r="1165" spans="1:2">
      <c r="A1165" s="85">
        <v>40820</v>
      </c>
      <c r="B1165" s="97" t="s">
        <v>3193</v>
      </c>
    </row>
    <row r="1166" spans="1:2">
      <c r="A1166" s="85">
        <v>40900</v>
      </c>
      <c r="B1166" s="97" t="s">
        <v>3194</v>
      </c>
    </row>
    <row r="1167" spans="1:2">
      <c r="A1167" s="85">
        <v>40910</v>
      </c>
      <c r="B1167" s="97" t="s">
        <v>3195</v>
      </c>
    </row>
    <row r="1168" spans="1:2">
      <c r="A1168" s="85">
        <v>40920</v>
      </c>
      <c r="B1168" s="97" t="s">
        <v>3196</v>
      </c>
    </row>
    <row r="1169" spans="1:2">
      <c r="A1169" s="85"/>
    </row>
    <row r="1170" spans="1:2">
      <c r="A1170" s="85"/>
      <c r="B1170" s="96" t="s">
        <v>3197</v>
      </c>
    </row>
    <row r="1172" spans="1:2">
      <c r="A1172" s="92" t="s">
        <v>2444</v>
      </c>
      <c r="B1172" s="107" t="s">
        <v>850</v>
      </c>
    </row>
    <row r="1173" spans="1:2">
      <c r="A1173" s="92" t="s">
        <v>641</v>
      </c>
      <c r="B1173" s="107" t="s">
        <v>1062</v>
      </c>
    </row>
    <row r="1174" spans="1:2">
      <c r="A1174" s="92" t="s">
        <v>642</v>
      </c>
      <c r="B1174" s="107" t="s">
        <v>851</v>
      </c>
    </row>
    <row r="1175" spans="1:2">
      <c r="A1175" s="92" t="s">
        <v>643</v>
      </c>
      <c r="B1175" s="107" t="s">
        <v>852</v>
      </c>
    </row>
    <row r="1176" spans="1:2">
      <c r="A1176" s="92" t="s">
        <v>644</v>
      </c>
      <c r="B1176" s="107" t="s">
        <v>853</v>
      </c>
    </row>
    <row r="1177" spans="1:2">
      <c r="A1177" s="92" t="s">
        <v>645</v>
      </c>
      <c r="B1177" s="107" t="s">
        <v>854</v>
      </c>
    </row>
    <row r="1178" spans="1:2">
      <c r="A1178" s="92" t="s">
        <v>646</v>
      </c>
      <c r="B1178" s="107" t="s">
        <v>855</v>
      </c>
    </row>
    <row r="1179" spans="1:2">
      <c r="A1179" s="92" t="s">
        <v>647</v>
      </c>
      <c r="B1179" s="107" t="s">
        <v>856</v>
      </c>
    </row>
    <row r="1180" spans="1:2">
      <c r="A1180" s="92" t="s">
        <v>648</v>
      </c>
      <c r="B1180" s="107" t="s">
        <v>857</v>
      </c>
    </row>
    <row r="1181" spans="1:2">
      <c r="A1181" s="92" t="s">
        <v>649</v>
      </c>
      <c r="B1181" s="107" t="s">
        <v>858</v>
      </c>
    </row>
    <row r="1182" spans="1:2">
      <c r="A1182" s="92"/>
      <c r="B1182" s="107"/>
    </row>
    <row r="1183" spans="1:2">
      <c r="A1183" s="93">
        <v>100101</v>
      </c>
      <c r="B1183" s="108" t="s">
        <v>1063</v>
      </c>
    </row>
    <row r="1184" spans="1:2">
      <c r="A1184" s="93">
        <v>100102</v>
      </c>
      <c r="B1184" s="108" t="s">
        <v>1064</v>
      </c>
    </row>
    <row r="1185" spans="1:2">
      <c r="A1185" s="93">
        <v>100103</v>
      </c>
      <c r="B1185" s="108" t="s">
        <v>1065</v>
      </c>
    </row>
    <row r="1186" spans="1:2">
      <c r="A1186" s="93">
        <v>100104</v>
      </c>
      <c r="B1186" s="108" t="s">
        <v>1066</v>
      </c>
    </row>
    <row r="1187" spans="1:2">
      <c r="A1187" s="93">
        <v>100105</v>
      </c>
      <c r="B1187" s="108" t="s">
        <v>1067</v>
      </c>
    </row>
    <row r="1188" spans="1:2">
      <c r="A1188" s="93">
        <v>100106</v>
      </c>
      <c r="B1188" s="108" t="s">
        <v>1068</v>
      </c>
    </row>
    <row r="1189" spans="1:2">
      <c r="A1189" s="93">
        <v>100107</v>
      </c>
      <c r="B1189" s="108" t="s">
        <v>1069</v>
      </c>
    </row>
    <row r="1190" spans="1:2">
      <c r="A1190" s="93">
        <v>100108</v>
      </c>
      <c r="B1190" s="108" t="s">
        <v>1070</v>
      </c>
    </row>
    <row r="1191" spans="1:2">
      <c r="A1191" s="93">
        <v>100109</v>
      </c>
      <c r="B1191" s="108" t="s">
        <v>1071</v>
      </c>
    </row>
    <row r="1192" spans="1:2">
      <c r="A1192" s="93">
        <v>100110</v>
      </c>
      <c r="B1192" s="108" t="s">
        <v>1072</v>
      </c>
    </row>
    <row r="1193" spans="1:2">
      <c r="A1193" s="93"/>
      <c r="B1193" s="99"/>
    </row>
    <row r="1194" spans="1:2">
      <c r="A1194" s="92" t="s">
        <v>2445</v>
      </c>
      <c r="B1194" s="99" t="s">
        <v>1073</v>
      </c>
    </row>
    <row r="1195" spans="1:2">
      <c r="A1195" s="92" t="s">
        <v>650</v>
      </c>
      <c r="B1195" s="99" t="s">
        <v>1074</v>
      </c>
    </row>
    <row r="1196" spans="1:2">
      <c r="A1196" s="92" t="s">
        <v>651</v>
      </c>
      <c r="B1196" s="99" t="s">
        <v>1075</v>
      </c>
    </row>
    <row r="1197" spans="1:2">
      <c r="A1197" s="92" t="s">
        <v>652</v>
      </c>
      <c r="B1197" s="99" t="s">
        <v>1076</v>
      </c>
    </row>
    <row r="1198" spans="1:2">
      <c r="A1198" s="92" t="s">
        <v>653</v>
      </c>
      <c r="B1198" s="99" t="s">
        <v>1077</v>
      </c>
    </row>
    <row r="1199" spans="1:2">
      <c r="A1199" s="92" t="s">
        <v>654</v>
      </c>
      <c r="B1199" s="99" t="s">
        <v>1078</v>
      </c>
    </row>
    <row r="1200" spans="1:2">
      <c r="A1200" s="92" t="s">
        <v>655</v>
      </c>
      <c r="B1200" s="99" t="s">
        <v>1079</v>
      </c>
    </row>
    <row r="1201" spans="1:2">
      <c r="A1201" s="92" t="s">
        <v>656</v>
      </c>
      <c r="B1201" s="99" t="s">
        <v>1080</v>
      </c>
    </row>
    <row r="1202" spans="1:2">
      <c r="A1202" s="92" t="s">
        <v>657</v>
      </c>
      <c r="B1202" s="99" t="s">
        <v>1081</v>
      </c>
    </row>
    <row r="1203" spans="1:2">
      <c r="A1203" s="92" t="s">
        <v>658</v>
      </c>
      <c r="B1203" s="99" t="s">
        <v>1082</v>
      </c>
    </row>
    <row r="1204" spans="1:2">
      <c r="A1204" s="92"/>
      <c r="B1204" s="99"/>
    </row>
    <row r="1205" spans="1:2">
      <c r="A1205" s="92" t="s">
        <v>2446</v>
      </c>
      <c r="B1205" s="108" t="s">
        <v>1083</v>
      </c>
    </row>
    <row r="1206" spans="1:2">
      <c r="A1206" s="92" t="s">
        <v>659</v>
      </c>
      <c r="B1206" s="108" t="s">
        <v>1084</v>
      </c>
    </row>
    <row r="1207" spans="1:2">
      <c r="A1207" s="92" t="s">
        <v>660</v>
      </c>
      <c r="B1207" s="108" t="s">
        <v>1085</v>
      </c>
    </row>
    <row r="1208" spans="1:2">
      <c r="A1208" s="92" t="s">
        <v>661</v>
      </c>
      <c r="B1208" s="108" t="s">
        <v>1086</v>
      </c>
    </row>
    <row r="1209" spans="1:2">
      <c r="A1209" s="92" t="s">
        <v>662</v>
      </c>
      <c r="B1209" s="108" t="s">
        <v>1087</v>
      </c>
    </row>
    <row r="1210" spans="1:2">
      <c r="A1210" s="92" t="s">
        <v>663</v>
      </c>
      <c r="B1210" s="108" t="s">
        <v>1088</v>
      </c>
    </row>
    <row r="1211" spans="1:2">
      <c r="A1211" s="92" t="s">
        <v>664</v>
      </c>
      <c r="B1211" s="108" t="s">
        <v>1089</v>
      </c>
    </row>
    <row r="1212" spans="1:2">
      <c r="A1212" s="92" t="s">
        <v>665</v>
      </c>
      <c r="B1212" s="108" t="s">
        <v>1090</v>
      </c>
    </row>
    <row r="1213" spans="1:2">
      <c r="A1213" s="92" t="s">
        <v>666</v>
      </c>
      <c r="B1213" s="108" t="s">
        <v>1091</v>
      </c>
    </row>
    <row r="1214" spans="1:2">
      <c r="A1214" s="92" t="s">
        <v>667</v>
      </c>
      <c r="B1214" s="108" t="s">
        <v>1092</v>
      </c>
    </row>
    <row r="1215" spans="1:2">
      <c r="A1215" s="92"/>
      <c r="B1215" s="99"/>
    </row>
    <row r="1216" spans="1:2">
      <c r="A1216" s="92" t="s">
        <v>2447</v>
      </c>
      <c r="B1216" s="99" t="s">
        <v>859</v>
      </c>
    </row>
    <row r="1217" spans="1:2">
      <c r="A1217" s="92" t="s">
        <v>668</v>
      </c>
      <c r="B1217" s="99" t="s">
        <v>860</v>
      </c>
    </row>
    <row r="1218" spans="1:2">
      <c r="A1218" s="92" t="s">
        <v>669</v>
      </c>
      <c r="B1218" s="99" t="s">
        <v>861</v>
      </c>
    </row>
    <row r="1219" spans="1:2">
      <c r="A1219" s="92" t="s">
        <v>670</v>
      </c>
      <c r="B1219" s="99" t="s">
        <v>862</v>
      </c>
    </row>
    <row r="1220" spans="1:2">
      <c r="A1220" s="92" t="s">
        <v>671</v>
      </c>
      <c r="B1220" s="99" t="s">
        <v>863</v>
      </c>
    </row>
    <row r="1221" spans="1:2">
      <c r="A1221" s="92" t="s">
        <v>672</v>
      </c>
      <c r="B1221" s="99" t="s">
        <v>864</v>
      </c>
    </row>
    <row r="1222" spans="1:2">
      <c r="A1222" s="92" t="s">
        <v>673</v>
      </c>
      <c r="B1222" s="99" t="s">
        <v>865</v>
      </c>
    </row>
    <row r="1223" spans="1:2">
      <c r="A1223" s="92" t="s">
        <v>674</v>
      </c>
      <c r="B1223" s="99" t="s">
        <v>866</v>
      </c>
    </row>
    <row r="1224" spans="1:2">
      <c r="A1224" s="92" t="s">
        <v>675</v>
      </c>
      <c r="B1224" s="99" t="s">
        <v>867</v>
      </c>
    </row>
    <row r="1225" spans="1:2">
      <c r="A1225" s="92" t="s">
        <v>676</v>
      </c>
      <c r="B1225" s="99" t="s">
        <v>868</v>
      </c>
    </row>
    <row r="1226" spans="1:2">
      <c r="A1226" s="92"/>
      <c r="B1226" s="99"/>
    </row>
    <row r="1227" spans="1:2">
      <c r="A1227" s="92" t="s">
        <v>2448</v>
      </c>
      <c r="B1227" s="99" t="s">
        <v>1093</v>
      </c>
    </row>
    <row r="1228" spans="1:2">
      <c r="A1228" s="92" t="s">
        <v>677</v>
      </c>
      <c r="B1228" s="99" t="s">
        <v>1094</v>
      </c>
    </row>
    <row r="1229" spans="1:2">
      <c r="A1229" s="92" t="s">
        <v>678</v>
      </c>
      <c r="B1229" s="99" t="s">
        <v>1095</v>
      </c>
    </row>
    <row r="1230" spans="1:2">
      <c r="A1230" s="92" t="s">
        <v>679</v>
      </c>
      <c r="B1230" s="99" t="s">
        <v>1096</v>
      </c>
    </row>
    <row r="1231" spans="1:2">
      <c r="A1231" s="92" t="s">
        <v>680</v>
      </c>
      <c r="B1231" s="99" t="s">
        <v>1097</v>
      </c>
    </row>
    <row r="1232" spans="1:2">
      <c r="A1232" s="92" t="s">
        <v>681</v>
      </c>
      <c r="B1232" s="99" t="s">
        <v>1098</v>
      </c>
    </row>
    <row r="1233" spans="1:2">
      <c r="A1233" s="92" t="s">
        <v>682</v>
      </c>
      <c r="B1233" s="99" t="s">
        <v>1099</v>
      </c>
    </row>
    <row r="1234" spans="1:2">
      <c r="A1234" s="92" t="s">
        <v>683</v>
      </c>
      <c r="B1234" s="99" t="s">
        <v>1100</v>
      </c>
    </row>
    <row r="1235" spans="1:2">
      <c r="A1235" s="92" t="s">
        <v>684</v>
      </c>
      <c r="B1235" s="99" t="s">
        <v>1101</v>
      </c>
    </row>
    <row r="1236" spans="1:2">
      <c r="A1236" s="92" t="s">
        <v>685</v>
      </c>
      <c r="B1236" s="99" t="s">
        <v>1102</v>
      </c>
    </row>
    <row r="1237" spans="1:2">
      <c r="A1237" s="92"/>
      <c r="B1237" s="99"/>
    </row>
    <row r="1238" spans="1:2">
      <c r="A1238" s="92" t="s">
        <v>2449</v>
      </c>
      <c r="B1238" s="99" t="s">
        <v>1103</v>
      </c>
    </row>
    <row r="1239" spans="1:2">
      <c r="A1239" s="92"/>
      <c r="B1239" s="99"/>
    </row>
    <row r="1240" spans="1:2">
      <c r="A1240" s="92" t="s">
        <v>2450</v>
      </c>
      <c r="B1240" s="99" t="s">
        <v>1104</v>
      </c>
    </row>
    <row r="1241" spans="1:2">
      <c r="A1241" s="92" t="s">
        <v>686</v>
      </c>
      <c r="B1241" s="99" t="s">
        <v>1105</v>
      </c>
    </row>
    <row r="1242" spans="1:2">
      <c r="A1242" s="92" t="s">
        <v>687</v>
      </c>
      <c r="B1242" s="99" t="s">
        <v>1106</v>
      </c>
    </row>
    <row r="1243" spans="1:2">
      <c r="A1243" s="92" t="s">
        <v>688</v>
      </c>
      <c r="B1243" s="99" t="s">
        <v>1107</v>
      </c>
    </row>
    <row r="1244" spans="1:2">
      <c r="A1244" s="92" t="s">
        <v>689</v>
      </c>
      <c r="B1244" s="99" t="s">
        <v>1108</v>
      </c>
    </row>
    <row r="1245" spans="1:2">
      <c r="A1245" s="92" t="s">
        <v>690</v>
      </c>
      <c r="B1245" s="99" t="s">
        <v>1109</v>
      </c>
    </row>
    <row r="1246" spans="1:2">
      <c r="A1246" s="92" t="s">
        <v>691</v>
      </c>
      <c r="B1246" s="99" t="s">
        <v>1110</v>
      </c>
    </row>
    <row r="1247" spans="1:2">
      <c r="A1247" s="92" t="s">
        <v>692</v>
      </c>
      <c r="B1247" s="99" t="s">
        <v>1111</v>
      </c>
    </row>
    <row r="1248" spans="1:2">
      <c r="A1248" s="92" t="s">
        <v>693</v>
      </c>
      <c r="B1248" s="99" t="s">
        <v>1112</v>
      </c>
    </row>
    <row r="1249" spans="1:2">
      <c r="A1249" s="92" t="s">
        <v>694</v>
      </c>
      <c r="B1249" s="99" t="s">
        <v>1113</v>
      </c>
    </row>
    <row r="1250" spans="1:2">
      <c r="A1250" s="92"/>
      <c r="B1250" s="99"/>
    </row>
    <row r="1251" spans="1:2">
      <c r="A1251" s="92" t="s">
        <v>2451</v>
      </c>
      <c r="B1251" s="99" t="s">
        <v>869</v>
      </c>
    </row>
    <row r="1252" spans="1:2">
      <c r="A1252" s="92" t="s">
        <v>695</v>
      </c>
      <c r="B1252" s="99" t="s">
        <v>870</v>
      </c>
    </row>
    <row r="1253" spans="1:2">
      <c r="A1253" s="92" t="s">
        <v>696</v>
      </c>
      <c r="B1253" s="99" t="s">
        <v>871</v>
      </c>
    </row>
    <row r="1254" spans="1:2">
      <c r="A1254" s="92" t="s">
        <v>697</v>
      </c>
      <c r="B1254" s="99" t="s">
        <v>872</v>
      </c>
    </row>
    <row r="1255" spans="1:2">
      <c r="A1255" s="92" t="s">
        <v>698</v>
      </c>
      <c r="B1255" s="99" t="s">
        <v>873</v>
      </c>
    </row>
    <row r="1256" spans="1:2">
      <c r="A1256" s="92" t="s">
        <v>699</v>
      </c>
      <c r="B1256" s="99" t="s">
        <v>874</v>
      </c>
    </row>
    <row r="1257" spans="1:2">
      <c r="A1257" s="92" t="s">
        <v>700</v>
      </c>
      <c r="B1257" s="99" t="s">
        <v>875</v>
      </c>
    </row>
    <row r="1258" spans="1:2">
      <c r="A1258" s="92" t="s">
        <v>701</v>
      </c>
      <c r="B1258" s="99" t="s">
        <v>876</v>
      </c>
    </row>
    <row r="1259" spans="1:2">
      <c r="A1259" s="92" t="s">
        <v>702</v>
      </c>
      <c r="B1259" s="99" t="s">
        <v>877</v>
      </c>
    </row>
    <row r="1260" spans="1:2">
      <c r="A1260" s="92" t="s">
        <v>703</v>
      </c>
      <c r="B1260" s="99" t="s">
        <v>878</v>
      </c>
    </row>
    <row r="1261" spans="1:2">
      <c r="A1261" s="92"/>
      <c r="B1261" s="99"/>
    </row>
    <row r="1262" spans="1:2">
      <c r="A1262" s="92" t="s">
        <v>2452</v>
      </c>
      <c r="B1262" s="99" t="s">
        <v>879</v>
      </c>
    </row>
    <row r="1263" spans="1:2">
      <c r="A1263" s="92" t="s">
        <v>704</v>
      </c>
      <c r="B1263" s="99" t="s">
        <v>880</v>
      </c>
    </row>
    <row r="1264" spans="1:2">
      <c r="A1264" s="92" t="s">
        <v>705</v>
      </c>
      <c r="B1264" s="99" t="s">
        <v>881</v>
      </c>
    </row>
    <row r="1265" spans="1:2">
      <c r="A1265" s="92" t="s">
        <v>706</v>
      </c>
      <c r="B1265" s="99" t="s">
        <v>882</v>
      </c>
    </row>
    <row r="1266" spans="1:2">
      <c r="A1266" s="92" t="s">
        <v>707</v>
      </c>
      <c r="B1266" s="99" t="s">
        <v>883</v>
      </c>
    </row>
    <row r="1267" spans="1:2">
      <c r="A1267" s="92" t="s">
        <v>708</v>
      </c>
      <c r="B1267" s="99" t="s">
        <v>884</v>
      </c>
    </row>
    <row r="1268" spans="1:2">
      <c r="A1268" s="92" t="s">
        <v>709</v>
      </c>
      <c r="B1268" s="99" t="s">
        <v>885</v>
      </c>
    </row>
    <row r="1269" spans="1:2">
      <c r="A1269" s="92" t="s">
        <v>710</v>
      </c>
      <c r="B1269" s="99" t="s">
        <v>886</v>
      </c>
    </row>
    <row r="1270" spans="1:2">
      <c r="A1270" s="92" t="s">
        <v>711</v>
      </c>
      <c r="B1270" s="99" t="s">
        <v>887</v>
      </c>
    </row>
    <row r="1271" spans="1:2">
      <c r="A1271" s="92" t="s">
        <v>712</v>
      </c>
      <c r="B1271" s="99" t="s">
        <v>888</v>
      </c>
    </row>
    <row r="1272" spans="1:2">
      <c r="A1272" s="92"/>
      <c r="B1272" s="99"/>
    </row>
    <row r="1273" spans="1:2">
      <c r="A1273" s="92" t="s">
        <v>2453</v>
      </c>
      <c r="B1273" s="99" t="s">
        <v>1114</v>
      </c>
    </row>
    <row r="1274" spans="1:2">
      <c r="A1274" s="92" t="s">
        <v>713</v>
      </c>
      <c r="B1274" s="99" t="s">
        <v>1115</v>
      </c>
    </row>
    <row r="1275" spans="1:2">
      <c r="A1275" s="92" t="s">
        <v>714</v>
      </c>
      <c r="B1275" s="99" t="s">
        <v>1116</v>
      </c>
    </row>
    <row r="1276" spans="1:2">
      <c r="A1276" s="92" t="s">
        <v>715</v>
      </c>
      <c r="B1276" s="99" t="s">
        <v>1117</v>
      </c>
    </row>
    <row r="1277" spans="1:2">
      <c r="A1277" s="92" t="s">
        <v>716</v>
      </c>
      <c r="B1277" s="99" t="s">
        <v>1118</v>
      </c>
    </row>
    <row r="1278" spans="1:2">
      <c r="A1278" s="92" t="s">
        <v>717</v>
      </c>
      <c r="B1278" s="99" t="s">
        <v>1119</v>
      </c>
    </row>
    <row r="1279" spans="1:2">
      <c r="A1279" s="92" t="s">
        <v>718</v>
      </c>
      <c r="B1279" s="99" t="s">
        <v>1120</v>
      </c>
    </row>
    <row r="1280" spans="1:2">
      <c r="A1280" s="92" t="s">
        <v>719</v>
      </c>
      <c r="B1280" s="99" t="s">
        <v>1121</v>
      </c>
    </row>
    <row r="1281" spans="1:2">
      <c r="A1281" s="92" t="s">
        <v>720</v>
      </c>
      <c r="B1281" s="99" t="s">
        <v>1122</v>
      </c>
    </row>
    <row r="1282" spans="1:2">
      <c r="A1282" s="92" t="s">
        <v>721</v>
      </c>
      <c r="B1282" s="99" t="s">
        <v>1123</v>
      </c>
    </row>
    <row r="1283" spans="1:2">
      <c r="A1283" s="92"/>
      <c r="B1283" s="99"/>
    </row>
    <row r="1284" spans="1:2">
      <c r="A1284" s="92" t="s">
        <v>2454</v>
      </c>
      <c r="B1284" s="99" t="s">
        <v>889</v>
      </c>
    </row>
    <row r="1285" spans="1:2">
      <c r="A1285" s="92" t="s">
        <v>722</v>
      </c>
      <c r="B1285" s="99" t="s">
        <v>890</v>
      </c>
    </row>
    <row r="1286" spans="1:2">
      <c r="A1286" s="92" t="s">
        <v>723</v>
      </c>
      <c r="B1286" s="99" t="s">
        <v>891</v>
      </c>
    </row>
    <row r="1287" spans="1:2">
      <c r="A1287" s="92" t="s">
        <v>724</v>
      </c>
      <c r="B1287" s="99" t="s">
        <v>892</v>
      </c>
    </row>
    <row r="1288" spans="1:2">
      <c r="A1288" s="92" t="s">
        <v>725</v>
      </c>
      <c r="B1288" s="99" t="s">
        <v>893</v>
      </c>
    </row>
    <row r="1289" spans="1:2">
      <c r="A1289" s="92" t="s">
        <v>726</v>
      </c>
      <c r="B1289" s="99" t="s">
        <v>894</v>
      </c>
    </row>
    <row r="1290" spans="1:2">
      <c r="A1290" s="92" t="s">
        <v>727</v>
      </c>
      <c r="B1290" s="99" t="s">
        <v>895</v>
      </c>
    </row>
    <row r="1291" spans="1:2">
      <c r="A1291" s="92" t="s">
        <v>728</v>
      </c>
      <c r="B1291" s="99" t="s">
        <v>896</v>
      </c>
    </row>
    <row r="1292" spans="1:2">
      <c r="A1292" s="92" t="s">
        <v>729</v>
      </c>
      <c r="B1292" s="99" t="s">
        <v>897</v>
      </c>
    </row>
    <row r="1293" spans="1:2">
      <c r="A1293" s="92" t="s">
        <v>730</v>
      </c>
      <c r="B1293" s="99" t="s">
        <v>898</v>
      </c>
    </row>
    <row r="1294" spans="1:2">
      <c r="A1294" s="92"/>
      <c r="B1294" s="99"/>
    </row>
    <row r="1295" spans="1:2">
      <c r="A1295" s="92" t="s">
        <v>2455</v>
      </c>
      <c r="B1295" s="99" t="s">
        <v>1124</v>
      </c>
    </row>
    <row r="1296" spans="1:2">
      <c r="A1296" s="92" t="s">
        <v>731</v>
      </c>
      <c r="B1296" s="99" t="s">
        <v>1125</v>
      </c>
    </row>
    <row r="1297" spans="1:2">
      <c r="A1297" s="92" t="s">
        <v>732</v>
      </c>
      <c r="B1297" s="99" t="s">
        <v>1126</v>
      </c>
    </row>
    <row r="1298" spans="1:2">
      <c r="A1298" s="92" t="s">
        <v>733</v>
      </c>
      <c r="B1298" s="99" t="s">
        <v>1127</v>
      </c>
    </row>
    <row r="1299" spans="1:2">
      <c r="A1299" s="92" t="s">
        <v>734</v>
      </c>
      <c r="B1299" s="99" t="s">
        <v>1128</v>
      </c>
    </row>
    <row r="1300" spans="1:2">
      <c r="A1300" s="92" t="s">
        <v>735</v>
      </c>
      <c r="B1300" s="99" t="s">
        <v>1129</v>
      </c>
    </row>
    <row r="1301" spans="1:2">
      <c r="A1301" s="92" t="s">
        <v>736</v>
      </c>
      <c r="B1301" s="99" t="s">
        <v>1130</v>
      </c>
    </row>
    <row r="1302" spans="1:2">
      <c r="A1302" s="92" t="s">
        <v>737</v>
      </c>
      <c r="B1302" s="99" t="s">
        <v>1131</v>
      </c>
    </row>
    <row r="1303" spans="1:2">
      <c r="A1303" s="92" t="s">
        <v>738</v>
      </c>
      <c r="B1303" s="99" t="s">
        <v>1132</v>
      </c>
    </row>
    <row r="1304" spans="1:2">
      <c r="A1304" s="92" t="s">
        <v>739</v>
      </c>
      <c r="B1304" s="99" t="s">
        <v>1133</v>
      </c>
    </row>
    <row r="1305" spans="1:2">
      <c r="A1305" s="92"/>
      <c r="B1305" s="99"/>
    </row>
    <row r="1306" spans="1:2">
      <c r="A1306" s="92" t="s">
        <v>2456</v>
      </c>
      <c r="B1306" s="99" t="s">
        <v>899</v>
      </c>
    </row>
    <row r="1307" spans="1:2">
      <c r="A1307" s="92" t="s">
        <v>740</v>
      </c>
      <c r="B1307" s="99" t="s">
        <v>900</v>
      </c>
    </row>
    <row r="1308" spans="1:2">
      <c r="A1308" s="92" t="s">
        <v>741</v>
      </c>
      <c r="B1308" s="99" t="s">
        <v>901</v>
      </c>
    </row>
    <row r="1309" spans="1:2">
      <c r="A1309" s="92" t="s">
        <v>742</v>
      </c>
      <c r="B1309" s="99" t="s">
        <v>902</v>
      </c>
    </row>
    <row r="1310" spans="1:2">
      <c r="A1310" s="92" t="s">
        <v>743</v>
      </c>
      <c r="B1310" s="99" t="s">
        <v>903</v>
      </c>
    </row>
    <row r="1311" spans="1:2">
      <c r="A1311" s="92" t="s">
        <v>744</v>
      </c>
      <c r="B1311" s="99" t="s">
        <v>904</v>
      </c>
    </row>
    <row r="1312" spans="1:2">
      <c r="A1312" s="92" t="s">
        <v>745</v>
      </c>
      <c r="B1312" s="99" t="s">
        <v>905</v>
      </c>
    </row>
    <row r="1313" spans="1:2">
      <c r="A1313" s="92" t="s">
        <v>746</v>
      </c>
      <c r="B1313" s="99" t="s">
        <v>906</v>
      </c>
    </row>
    <row r="1314" spans="1:2">
      <c r="A1314" s="92" t="s">
        <v>747</v>
      </c>
      <c r="B1314" s="99" t="s">
        <v>907</v>
      </c>
    </row>
    <row r="1315" spans="1:2">
      <c r="A1315" s="92" t="s">
        <v>748</v>
      </c>
      <c r="B1315" s="99" t="s">
        <v>908</v>
      </c>
    </row>
    <row r="1316" spans="1:2">
      <c r="A1316" s="92"/>
      <c r="B1316" s="99"/>
    </row>
    <row r="1317" spans="1:2">
      <c r="A1317" s="92" t="s">
        <v>2457</v>
      </c>
      <c r="B1317" s="99" t="s">
        <v>909</v>
      </c>
    </row>
    <row r="1318" spans="1:2">
      <c r="A1318" s="92" t="s">
        <v>749</v>
      </c>
      <c r="B1318" s="99" t="s">
        <v>910</v>
      </c>
    </row>
    <row r="1319" spans="1:2">
      <c r="A1319" s="92" t="s">
        <v>750</v>
      </c>
      <c r="B1319" s="99" t="s">
        <v>911</v>
      </c>
    </row>
    <row r="1320" spans="1:2">
      <c r="A1320" s="92" t="s">
        <v>751</v>
      </c>
      <c r="B1320" s="99" t="s">
        <v>912</v>
      </c>
    </row>
    <row r="1321" spans="1:2">
      <c r="A1321" s="92" t="s">
        <v>752</v>
      </c>
      <c r="B1321" s="99" t="s">
        <v>913</v>
      </c>
    </row>
    <row r="1322" spans="1:2">
      <c r="A1322" s="92" t="s">
        <v>753</v>
      </c>
      <c r="B1322" s="99" t="s">
        <v>914</v>
      </c>
    </row>
    <row r="1323" spans="1:2">
      <c r="A1323" s="92" t="s">
        <v>754</v>
      </c>
      <c r="B1323" s="99" t="s">
        <v>915</v>
      </c>
    </row>
    <row r="1324" spans="1:2">
      <c r="A1324" s="92" t="s">
        <v>755</v>
      </c>
      <c r="B1324" s="99" t="s">
        <v>916</v>
      </c>
    </row>
    <row r="1325" spans="1:2">
      <c r="A1325" s="92" t="s">
        <v>756</v>
      </c>
      <c r="B1325" s="99" t="s">
        <v>917</v>
      </c>
    </row>
    <row r="1326" spans="1:2">
      <c r="A1326" s="92" t="s">
        <v>757</v>
      </c>
      <c r="B1326" s="99" t="s">
        <v>918</v>
      </c>
    </row>
    <row r="1327" spans="1:2">
      <c r="A1327" s="92"/>
      <c r="B1327" s="99"/>
    </row>
    <row r="1328" spans="1:2">
      <c r="A1328" s="92" t="s">
        <v>2458</v>
      </c>
      <c r="B1328" s="99" t="s">
        <v>1134</v>
      </c>
    </row>
    <row r="1329" spans="1:2">
      <c r="A1329" s="92" t="s">
        <v>758</v>
      </c>
      <c r="B1329" s="99" t="s">
        <v>1135</v>
      </c>
    </row>
    <row r="1330" spans="1:2">
      <c r="A1330" s="92" t="s">
        <v>759</v>
      </c>
      <c r="B1330" s="99" t="s">
        <v>1136</v>
      </c>
    </row>
    <row r="1331" spans="1:2">
      <c r="A1331" s="92" t="s">
        <v>760</v>
      </c>
      <c r="B1331" s="99" t="s">
        <v>1137</v>
      </c>
    </row>
    <row r="1332" spans="1:2">
      <c r="A1332" s="92" t="s">
        <v>761</v>
      </c>
      <c r="B1332" s="99" t="s">
        <v>1138</v>
      </c>
    </row>
    <row r="1333" spans="1:2">
      <c r="A1333" s="92" t="s">
        <v>762</v>
      </c>
      <c r="B1333" s="99" t="s">
        <v>1139</v>
      </c>
    </row>
    <row r="1334" spans="1:2">
      <c r="A1334" s="92" t="s">
        <v>763</v>
      </c>
      <c r="B1334" s="99" t="s">
        <v>1140</v>
      </c>
    </row>
    <row r="1335" spans="1:2">
      <c r="A1335" s="92" t="s">
        <v>764</v>
      </c>
      <c r="B1335" s="99" t="s">
        <v>1141</v>
      </c>
    </row>
    <row r="1336" spans="1:2">
      <c r="A1336" s="92" t="s">
        <v>765</v>
      </c>
      <c r="B1336" s="99" t="s">
        <v>1142</v>
      </c>
    </row>
    <row r="1337" spans="1:2">
      <c r="A1337" s="92" t="s">
        <v>766</v>
      </c>
      <c r="B1337" s="99" t="s">
        <v>1143</v>
      </c>
    </row>
    <row r="1338" spans="1:2">
      <c r="A1338" s="92"/>
      <c r="B1338" s="99"/>
    </row>
    <row r="1339" spans="1:2">
      <c r="A1339" s="92" t="s">
        <v>2459</v>
      </c>
      <c r="B1339" s="99" t="s">
        <v>919</v>
      </c>
    </row>
    <row r="1340" spans="1:2">
      <c r="A1340" s="92" t="s">
        <v>767</v>
      </c>
      <c r="B1340" s="99" t="s">
        <v>920</v>
      </c>
    </row>
    <row r="1341" spans="1:2">
      <c r="A1341" s="92" t="s">
        <v>768</v>
      </c>
      <c r="B1341" s="99" t="s">
        <v>921</v>
      </c>
    </row>
    <row r="1342" spans="1:2">
      <c r="A1342" s="92" t="s">
        <v>769</v>
      </c>
      <c r="B1342" s="99" t="s">
        <v>922</v>
      </c>
    </row>
    <row r="1343" spans="1:2">
      <c r="A1343" s="92" t="s">
        <v>770</v>
      </c>
      <c r="B1343" s="99" t="s">
        <v>923</v>
      </c>
    </row>
    <row r="1344" spans="1:2">
      <c r="A1344" s="92" t="s">
        <v>771</v>
      </c>
      <c r="B1344" s="99" t="s">
        <v>924</v>
      </c>
    </row>
    <row r="1345" spans="1:2">
      <c r="A1345" s="92" t="s">
        <v>772</v>
      </c>
      <c r="B1345" s="99" t="s">
        <v>925</v>
      </c>
    </row>
    <row r="1346" spans="1:2">
      <c r="A1346" s="92" t="s">
        <v>773</v>
      </c>
      <c r="B1346" s="99" t="s">
        <v>926</v>
      </c>
    </row>
    <row r="1347" spans="1:2">
      <c r="A1347" s="92" t="s">
        <v>774</v>
      </c>
      <c r="B1347" s="99" t="s">
        <v>927</v>
      </c>
    </row>
    <row r="1348" spans="1:2">
      <c r="A1348" s="92" t="s">
        <v>775</v>
      </c>
      <c r="B1348" s="99" t="s">
        <v>928</v>
      </c>
    </row>
    <row r="1349" spans="1:2">
      <c r="A1349" s="92"/>
      <c r="B1349" s="99"/>
    </row>
    <row r="1350" spans="1:2">
      <c r="A1350" s="92" t="s">
        <v>2460</v>
      </c>
      <c r="B1350" s="99" t="s">
        <v>929</v>
      </c>
    </row>
    <row r="1351" spans="1:2">
      <c r="A1351" s="92" t="s">
        <v>776</v>
      </c>
      <c r="B1351" s="99" t="s">
        <v>930</v>
      </c>
    </row>
    <row r="1352" spans="1:2">
      <c r="A1352" s="92" t="s">
        <v>777</v>
      </c>
      <c r="B1352" s="99" t="s">
        <v>931</v>
      </c>
    </row>
    <row r="1353" spans="1:2">
      <c r="A1353" s="92" t="s">
        <v>778</v>
      </c>
      <c r="B1353" s="99" t="s">
        <v>932</v>
      </c>
    </row>
    <row r="1354" spans="1:2">
      <c r="A1354" s="92" t="s">
        <v>779</v>
      </c>
      <c r="B1354" s="99" t="s">
        <v>933</v>
      </c>
    </row>
    <row r="1355" spans="1:2">
      <c r="A1355" s="92" t="s">
        <v>780</v>
      </c>
      <c r="B1355" s="99" t="s">
        <v>934</v>
      </c>
    </row>
    <row r="1356" spans="1:2">
      <c r="A1356" s="92" t="s">
        <v>781</v>
      </c>
      <c r="B1356" s="99" t="s">
        <v>935</v>
      </c>
    </row>
    <row r="1357" spans="1:2">
      <c r="A1357" s="92" t="s">
        <v>782</v>
      </c>
      <c r="B1357" s="99" t="s">
        <v>936</v>
      </c>
    </row>
    <row r="1358" spans="1:2">
      <c r="A1358" s="92" t="s">
        <v>783</v>
      </c>
      <c r="B1358" s="99" t="s">
        <v>937</v>
      </c>
    </row>
    <row r="1359" spans="1:2">
      <c r="A1359" s="92" t="s">
        <v>784</v>
      </c>
      <c r="B1359" s="99" t="s">
        <v>938</v>
      </c>
    </row>
    <row r="1360" spans="1:2">
      <c r="A1360" s="92"/>
      <c r="B1360" s="99"/>
    </row>
    <row r="1361" spans="1:2">
      <c r="A1361" s="92" t="s">
        <v>2461</v>
      </c>
      <c r="B1361" s="99" t="s">
        <v>939</v>
      </c>
    </row>
    <row r="1362" spans="1:2">
      <c r="A1362" s="92" t="s">
        <v>785</v>
      </c>
      <c r="B1362" s="99" t="s">
        <v>940</v>
      </c>
    </row>
    <row r="1363" spans="1:2">
      <c r="A1363" s="92" t="s">
        <v>786</v>
      </c>
      <c r="B1363" s="99" t="s">
        <v>941</v>
      </c>
    </row>
    <row r="1364" spans="1:2">
      <c r="A1364" s="92" t="s">
        <v>787</v>
      </c>
      <c r="B1364" s="99" t="s">
        <v>942</v>
      </c>
    </row>
    <row r="1365" spans="1:2">
      <c r="A1365" s="92" t="s">
        <v>788</v>
      </c>
      <c r="B1365" s="99" t="s">
        <v>943</v>
      </c>
    </row>
    <row r="1366" spans="1:2">
      <c r="A1366" s="92" t="s">
        <v>789</v>
      </c>
      <c r="B1366" s="99" t="s">
        <v>944</v>
      </c>
    </row>
    <row r="1367" spans="1:2">
      <c r="A1367" s="92" t="s">
        <v>790</v>
      </c>
      <c r="B1367" s="99" t="s">
        <v>945</v>
      </c>
    </row>
    <row r="1368" spans="1:2">
      <c r="A1368" s="92" t="s">
        <v>791</v>
      </c>
      <c r="B1368" s="99" t="s">
        <v>946</v>
      </c>
    </row>
    <row r="1369" spans="1:2">
      <c r="A1369" s="92" t="s">
        <v>792</v>
      </c>
      <c r="B1369" s="99" t="s">
        <v>947</v>
      </c>
    </row>
    <row r="1370" spans="1:2">
      <c r="A1370" s="92" t="s">
        <v>793</v>
      </c>
      <c r="B1370" s="99" t="s">
        <v>948</v>
      </c>
    </row>
    <row r="1371" spans="1:2">
      <c r="A1371" s="92"/>
      <c r="B1371" s="99"/>
    </row>
    <row r="1372" spans="1:2">
      <c r="A1372" s="92" t="s">
        <v>794</v>
      </c>
      <c r="B1372" s="99" t="s">
        <v>1144</v>
      </c>
    </row>
    <row r="1373" spans="1:2">
      <c r="A1373" s="92" t="s">
        <v>795</v>
      </c>
      <c r="B1373" s="99" t="s">
        <v>1145</v>
      </c>
    </row>
    <row r="1374" spans="1:2">
      <c r="A1374" s="92" t="s">
        <v>796</v>
      </c>
      <c r="B1374" s="99" t="s">
        <v>1146</v>
      </c>
    </row>
    <row r="1375" spans="1:2">
      <c r="A1375" s="92" t="s">
        <v>797</v>
      </c>
      <c r="B1375" s="99" t="s">
        <v>1147</v>
      </c>
    </row>
    <row r="1376" spans="1:2">
      <c r="A1376" s="92" t="s">
        <v>798</v>
      </c>
      <c r="B1376" s="99" t="s">
        <v>1148</v>
      </c>
    </row>
    <row r="1377" spans="1:2">
      <c r="A1377" s="92" t="s">
        <v>799</v>
      </c>
      <c r="B1377" s="99" t="s">
        <v>1149</v>
      </c>
    </row>
    <row r="1378" spans="1:2">
      <c r="A1378" s="92" t="s">
        <v>800</v>
      </c>
      <c r="B1378" s="99" t="s">
        <v>1150</v>
      </c>
    </row>
    <row r="1379" spans="1:2">
      <c r="A1379" s="92" t="s">
        <v>801</v>
      </c>
      <c r="B1379" s="99" t="s">
        <v>1151</v>
      </c>
    </row>
    <row r="1380" spans="1:2">
      <c r="A1380" s="92" t="s">
        <v>802</v>
      </c>
      <c r="B1380" s="99" t="s">
        <v>1152</v>
      </c>
    </row>
    <row r="1381" spans="1:2">
      <c r="A1381" s="92" t="s">
        <v>803</v>
      </c>
      <c r="B1381" s="99" t="s">
        <v>1153</v>
      </c>
    </row>
    <row r="1383" spans="1:2">
      <c r="A1383" s="85"/>
      <c r="B1383" s="96" t="s">
        <v>3198</v>
      </c>
    </row>
    <row r="1384" spans="1:2">
      <c r="A1384" s="94"/>
      <c r="B1384" s="108"/>
    </row>
    <row r="1385" spans="1:2">
      <c r="A1385" s="86">
        <v>241111</v>
      </c>
      <c r="B1385" s="108" t="s">
        <v>3199</v>
      </c>
    </row>
    <row r="1386" spans="1:2">
      <c r="A1386" s="86">
        <v>241112</v>
      </c>
      <c r="B1386" s="108" t="s">
        <v>3200</v>
      </c>
    </row>
    <row r="1387" spans="1:2">
      <c r="A1387" s="86">
        <v>241113</v>
      </c>
      <c r="B1387" s="108" t="s">
        <v>3201</v>
      </c>
    </row>
    <row r="1388" spans="1:2">
      <c r="A1388" s="86">
        <v>241114</v>
      </c>
      <c r="B1388" s="108" t="s">
        <v>3202</v>
      </c>
    </row>
    <row r="1389" spans="1:2">
      <c r="A1389" s="94"/>
      <c r="B1389" s="108"/>
    </row>
    <row r="1390" spans="1:2">
      <c r="A1390" s="86">
        <v>250001</v>
      </c>
      <c r="B1390" s="108" t="s">
        <v>1154</v>
      </c>
    </row>
    <row r="1391" spans="1:2">
      <c r="A1391" s="86">
        <v>250002</v>
      </c>
      <c r="B1391" s="108" t="s">
        <v>1154</v>
      </c>
    </row>
    <row r="1392" spans="1:2">
      <c r="A1392" s="86">
        <v>250003</v>
      </c>
      <c r="B1392" s="108" t="s">
        <v>1154</v>
      </c>
    </row>
    <row r="1393" spans="1:2">
      <c r="A1393" s="86">
        <v>250004</v>
      </c>
      <c r="B1393" s="108" t="s">
        <v>1154</v>
      </c>
    </row>
    <row r="1394" spans="1:2">
      <c r="A1394" s="86">
        <v>250005</v>
      </c>
      <c r="B1394" s="108" t="s">
        <v>1154</v>
      </c>
    </row>
    <row r="1395" spans="1:2">
      <c r="A1395" s="86">
        <v>250006</v>
      </c>
      <c r="B1395" s="108" t="s">
        <v>1154</v>
      </c>
    </row>
    <row r="1396" spans="1:2">
      <c r="A1396" s="86">
        <v>250007</v>
      </c>
      <c r="B1396" s="108" t="s">
        <v>1154</v>
      </c>
    </row>
    <row r="1397" spans="1:2">
      <c r="A1397" s="86">
        <v>250008</v>
      </c>
      <c r="B1397" s="108" t="s">
        <v>1154</v>
      </c>
    </row>
    <row r="1398" spans="1:2">
      <c r="A1398" s="86">
        <v>250009</v>
      </c>
      <c r="B1398" s="108" t="s">
        <v>1154</v>
      </c>
    </row>
    <row r="1399" spans="1:2">
      <c r="A1399" s="86">
        <v>250010</v>
      </c>
      <c r="B1399" s="108" t="s">
        <v>1154</v>
      </c>
    </row>
    <row r="1400" spans="1:2">
      <c r="A1400" s="86"/>
      <c r="B1400" s="108"/>
    </row>
    <row r="1401" spans="1:2">
      <c r="A1401" s="86">
        <v>250101</v>
      </c>
      <c r="B1401" s="108" t="s">
        <v>1155</v>
      </c>
    </row>
    <row r="1402" spans="1:2">
      <c r="A1402" s="86">
        <v>250102</v>
      </c>
      <c r="B1402" s="108" t="s">
        <v>1155</v>
      </c>
    </row>
    <row r="1403" spans="1:2">
      <c r="A1403" s="86">
        <v>250103</v>
      </c>
      <c r="B1403" s="108" t="s">
        <v>1155</v>
      </c>
    </row>
    <row r="1404" spans="1:2">
      <c r="A1404" s="86">
        <v>250104</v>
      </c>
      <c r="B1404" s="108" t="s">
        <v>1155</v>
      </c>
    </row>
    <row r="1405" spans="1:2">
      <c r="A1405" s="86">
        <v>250105</v>
      </c>
      <c r="B1405" s="108" t="s">
        <v>1155</v>
      </c>
    </row>
    <row r="1406" spans="1:2">
      <c r="A1406" s="86">
        <v>250106</v>
      </c>
      <c r="B1406" s="108" t="s">
        <v>1155</v>
      </c>
    </row>
    <row r="1407" spans="1:2">
      <c r="A1407" s="86">
        <v>250107</v>
      </c>
      <c r="B1407" s="108" t="s">
        <v>1155</v>
      </c>
    </row>
    <row r="1408" spans="1:2">
      <c r="A1408" s="86">
        <v>250108</v>
      </c>
      <c r="B1408" s="108" t="s">
        <v>1155</v>
      </c>
    </row>
    <row r="1409" spans="1:2">
      <c r="A1409" s="86">
        <v>250109</v>
      </c>
      <c r="B1409" s="108" t="s">
        <v>1155</v>
      </c>
    </row>
    <row r="1410" spans="1:2">
      <c r="A1410" s="86">
        <v>250110</v>
      </c>
      <c r="B1410" s="108" t="s">
        <v>1155</v>
      </c>
    </row>
    <row r="1411" spans="1:2">
      <c r="A1411" s="94"/>
      <c r="B1411" s="108"/>
    </row>
    <row r="1412" spans="1:2">
      <c r="A1412" s="86">
        <v>250201</v>
      </c>
      <c r="B1412" s="108" t="s">
        <v>1156</v>
      </c>
    </row>
    <row r="1413" spans="1:2">
      <c r="A1413" s="86">
        <v>250202</v>
      </c>
      <c r="B1413" s="108" t="s">
        <v>1156</v>
      </c>
    </row>
    <row r="1414" spans="1:2">
      <c r="A1414" s="86">
        <v>250203</v>
      </c>
      <c r="B1414" s="108" t="s">
        <v>1156</v>
      </c>
    </row>
    <row r="1415" spans="1:2">
      <c r="A1415" s="86">
        <v>250204</v>
      </c>
      <c r="B1415" s="108" t="s">
        <v>1156</v>
      </c>
    </row>
    <row r="1416" spans="1:2">
      <c r="A1416" s="86">
        <v>250205</v>
      </c>
      <c r="B1416" s="108" t="s">
        <v>1156</v>
      </c>
    </row>
    <row r="1417" spans="1:2">
      <c r="A1417" s="86">
        <v>250206</v>
      </c>
      <c r="B1417" s="108" t="s">
        <v>1156</v>
      </c>
    </row>
    <row r="1418" spans="1:2">
      <c r="A1418" s="86">
        <v>250207</v>
      </c>
      <c r="B1418" s="108" t="s">
        <v>1156</v>
      </c>
    </row>
    <row r="1419" spans="1:2">
      <c r="A1419" s="86">
        <v>250208</v>
      </c>
      <c r="B1419" s="108" t="s">
        <v>1156</v>
      </c>
    </row>
    <row r="1420" spans="1:2">
      <c r="A1420" s="86">
        <v>250209</v>
      </c>
      <c r="B1420" s="108" t="s">
        <v>1156</v>
      </c>
    </row>
    <row r="1421" spans="1:2">
      <c r="A1421" s="86">
        <v>250210</v>
      </c>
      <c r="B1421" s="108" t="s">
        <v>1156</v>
      </c>
    </row>
    <row r="1422" spans="1:2">
      <c r="A1422" s="94"/>
      <c r="B1422" s="108"/>
    </row>
    <row r="1423" spans="1:2">
      <c r="A1423" s="86">
        <v>250301</v>
      </c>
      <c r="B1423" s="108" t="s">
        <v>1157</v>
      </c>
    </row>
    <row r="1424" spans="1:2">
      <c r="A1424" s="86">
        <v>250302</v>
      </c>
      <c r="B1424" s="108" t="s">
        <v>1157</v>
      </c>
    </row>
    <row r="1425" spans="1:2">
      <c r="A1425" s="86">
        <v>250303</v>
      </c>
      <c r="B1425" s="108" t="s">
        <v>1157</v>
      </c>
    </row>
    <row r="1426" spans="1:2">
      <c r="A1426" s="86">
        <v>250304</v>
      </c>
      <c r="B1426" s="108" t="s">
        <v>1157</v>
      </c>
    </row>
    <row r="1427" spans="1:2">
      <c r="A1427" s="86">
        <v>250305</v>
      </c>
      <c r="B1427" s="108" t="s">
        <v>1157</v>
      </c>
    </row>
    <row r="1428" spans="1:2">
      <c r="A1428" s="86">
        <v>250306</v>
      </c>
      <c r="B1428" s="108" t="s">
        <v>1157</v>
      </c>
    </row>
    <row r="1429" spans="1:2">
      <c r="A1429" s="86">
        <v>250307</v>
      </c>
      <c r="B1429" s="108" t="s">
        <v>1157</v>
      </c>
    </row>
    <row r="1430" spans="1:2">
      <c r="A1430" s="86">
        <v>250308</v>
      </c>
      <c r="B1430" s="108" t="s">
        <v>1157</v>
      </c>
    </row>
    <row r="1431" spans="1:2">
      <c r="A1431" s="86">
        <v>250309</v>
      </c>
      <c r="B1431" s="108" t="s">
        <v>1157</v>
      </c>
    </row>
    <row r="1432" spans="1:2">
      <c r="A1432" s="86">
        <v>250310</v>
      </c>
      <c r="B1432" s="108" t="s">
        <v>1157</v>
      </c>
    </row>
    <row r="1433" spans="1:2">
      <c r="A1433" s="94"/>
      <c r="B1433" s="109"/>
    </row>
    <row r="1434" spans="1:2">
      <c r="A1434" s="86">
        <v>250401</v>
      </c>
      <c r="B1434" s="108" t="s">
        <v>1158</v>
      </c>
    </row>
    <row r="1435" spans="1:2">
      <c r="A1435" s="86">
        <v>250402</v>
      </c>
      <c r="B1435" s="108" t="s">
        <v>1158</v>
      </c>
    </row>
    <row r="1436" spans="1:2">
      <c r="A1436" s="86">
        <v>250403</v>
      </c>
      <c r="B1436" s="108" t="s">
        <v>1158</v>
      </c>
    </row>
    <row r="1437" spans="1:2">
      <c r="A1437" s="86">
        <v>250404</v>
      </c>
      <c r="B1437" s="108" t="s">
        <v>1158</v>
      </c>
    </row>
    <row r="1438" spans="1:2">
      <c r="A1438" s="86">
        <v>250405</v>
      </c>
      <c r="B1438" s="108" t="s">
        <v>1158</v>
      </c>
    </row>
    <row r="1439" spans="1:2">
      <c r="A1439" s="86">
        <v>250406</v>
      </c>
      <c r="B1439" s="108" t="s">
        <v>1158</v>
      </c>
    </row>
    <row r="1440" spans="1:2">
      <c r="A1440" s="86">
        <v>250407</v>
      </c>
      <c r="B1440" s="108" t="s">
        <v>1158</v>
      </c>
    </row>
    <row r="1441" spans="1:2">
      <c r="A1441" s="86">
        <v>250408</v>
      </c>
      <c r="B1441" s="108" t="s">
        <v>1158</v>
      </c>
    </row>
    <row r="1442" spans="1:2">
      <c r="A1442" s="86">
        <v>250409</v>
      </c>
      <c r="B1442" s="108" t="s">
        <v>1158</v>
      </c>
    </row>
    <row r="1443" spans="1:2">
      <c r="A1443" s="86">
        <v>250410</v>
      </c>
      <c r="B1443" s="108" t="s">
        <v>1158</v>
      </c>
    </row>
    <row r="1444" spans="1:2">
      <c r="A1444" s="94"/>
      <c r="B1444" s="109"/>
    </row>
    <row r="1445" spans="1:2">
      <c r="A1445" s="86">
        <v>250501</v>
      </c>
      <c r="B1445" s="108" t="s">
        <v>1159</v>
      </c>
    </row>
    <row r="1446" spans="1:2">
      <c r="A1446" s="86">
        <v>250502</v>
      </c>
      <c r="B1446" s="108" t="s">
        <v>1159</v>
      </c>
    </row>
    <row r="1447" spans="1:2">
      <c r="A1447" s="86">
        <v>250503</v>
      </c>
      <c r="B1447" s="108" t="s">
        <v>1159</v>
      </c>
    </row>
    <row r="1448" spans="1:2">
      <c r="A1448" s="86">
        <v>250504</v>
      </c>
      <c r="B1448" s="108" t="s">
        <v>1159</v>
      </c>
    </row>
    <row r="1449" spans="1:2">
      <c r="A1449" s="86">
        <v>250505</v>
      </c>
      <c r="B1449" s="108" t="s">
        <v>1159</v>
      </c>
    </row>
    <row r="1450" spans="1:2">
      <c r="A1450" s="86">
        <v>250506</v>
      </c>
      <c r="B1450" s="108" t="s">
        <v>1159</v>
      </c>
    </row>
    <row r="1451" spans="1:2">
      <c r="A1451" s="86">
        <v>250507</v>
      </c>
      <c r="B1451" s="108" t="s">
        <v>1159</v>
      </c>
    </row>
    <row r="1452" spans="1:2">
      <c r="A1452" s="86">
        <v>250508</v>
      </c>
      <c r="B1452" s="108" t="s">
        <v>1159</v>
      </c>
    </row>
    <row r="1453" spans="1:2">
      <c r="A1453" s="86">
        <v>250509</v>
      </c>
      <c r="B1453" s="108" t="s">
        <v>1159</v>
      </c>
    </row>
    <row r="1454" spans="1:2">
      <c r="A1454" s="86">
        <v>250510</v>
      </c>
      <c r="B1454" s="108" t="s">
        <v>1159</v>
      </c>
    </row>
    <row r="1455" spans="1:2">
      <c r="A1455" s="94"/>
      <c r="B1455" s="109"/>
    </row>
    <row r="1456" spans="1:2">
      <c r="A1456" s="86">
        <v>250601</v>
      </c>
      <c r="B1456" s="108" t="s">
        <v>1160</v>
      </c>
    </row>
    <row r="1457" spans="1:2">
      <c r="A1457" s="86">
        <v>250602</v>
      </c>
      <c r="B1457" s="108" t="s">
        <v>1160</v>
      </c>
    </row>
    <row r="1458" spans="1:2">
      <c r="A1458" s="86">
        <v>250603</v>
      </c>
      <c r="B1458" s="108" t="s">
        <v>1160</v>
      </c>
    </row>
    <row r="1459" spans="1:2">
      <c r="A1459" s="86">
        <v>250604</v>
      </c>
      <c r="B1459" s="108" t="s">
        <v>1160</v>
      </c>
    </row>
    <row r="1460" spans="1:2">
      <c r="A1460" s="86">
        <v>250605</v>
      </c>
      <c r="B1460" s="108" t="s">
        <v>1160</v>
      </c>
    </row>
    <row r="1461" spans="1:2">
      <c r="A1461" s="86">
        <v>250606</v>
      </c>
      <c r="B1461" s="108" t="s">
        <v>1160</v>
      </c>
    </row>
    <row r="1462" spans="1:2">
      <c r="A1462" s="86">
        <v>250607</v>
      </c>
      <c r="B1462" s="108" t="s">
        <v>1160</v>
      </c>
    </row>
    <row r="1463" spans="1:2">
      <c r="A1463" s="86">
        <v>250608</v>
      </c>
      <c r="B1463" s="108" t="s">
        <v>1160</v>
      </c>
    </row>
    <row r="1464" spans="1:2">
      <c r="A1464" s="86">
        <v>250609</v>
      </c>
      <c r="B1464" s="108" t="s">
        <v>1160</v>
      </c>
    </row>
    <row r="1465" spans="1:2">
      <c r="A1465" s="86">
        <v>250610</v>
      </c>
      <c r="B1465" s="108" t="s">
        <v>1160</v>
      </c>
    </row>
    <row r="1466" spans="1:2">
      <c r="A1466" s="94"/>
      <c r="B1466" s="109"/>
    </row>
    <row r="1467" spans="1:2">
      <c r="A1467" s="86">
        <v>250701</v>
      </c>
      <c r="B1467" s="108" t="s">
        <v>1161</v>
      </c>
    </row>
    <row r="1468" spans="1:2">
      <c r="A1468" s="86">
        <v>250702</v>
      </c>
      <c r="B1468" s="108" t="s">
        <v>1161</v>
      </c>
    </row>
    <row r="1469" spans="1:2">
      <c r="A1469" s="86">
        <v>250703</v>
      </c>
      <c r="B1469" s="108" t="s">
        <v>1161</v>
      </c>
    </row>
    <row r="1470" spans="1:2">
      <c r="A1470" s="86">
        <v>250704</v>
      </c>
      <c r="B1470" s="108" t="s">
        <v>1161</v>
      </c>
    </row>
    <row r="1471" spans="1:2">
      <c r="A1471" s="86">
        <v>250705</v>
      </c>
      <c r="B1471" s="108" t="s">
        <v>1161</v>
      </c>
    </row>
    <row r="1472" spans="1:2">
      <c r="A1472" s="86">
        <v>250706</v>
      </c>
      <c r="B1472" s="108" t="s">
        <v>1161</v>
      </c>
    </row>
    <row r="1473" spans="1:2">
      <c r="A1473" s="86">
        <v>250707</v>
      </c>
      <c r="B1473" s="108" t="s">
        <v>1161</v>
      </c>
    </row>
    <row r="1474" spans="1:2">
      <c r="A1474" s="86">
        <v>250708</v>
      </c>
      <c r="B1474" s="108" t="s">
        <v>1161</v>
      </c>
    </row>
    <row r="1475" spans="1:2">
      <c r="A1475" s="86">
        <v>250709</v>
      </c>
      <c r="B1475" s="108" t="s">
        <v>1161</v>
      </c>
    </row>
    <row r="1476" spans="1:2">
      <c r="A1476" s="86">
        <v>250710</v>
      </c>
      <c r="B1476" s="108" t="s">
        <v>1161</v>
      </c>
    </row>
    <row r="1477" spans="1:2">
      <c r="A1477" s="94"/>
      <c r="B1477" s="109"/>
    </row>
    <row r="1478" spans="1:2">
      <c r="A1478" s="86">
        <v>250801</v>
      </c>
      <c r="B1478" s="108" t="s">
        <v>1162</v>
      </c>
    </row>
    <row r="1479" spans="1:2">
      <c r="A1479" s="86">
        <v>250802</v>
      </c>
      <c r="B1479" s="108" t="s">
        <v>1162</v>
      </c>
    </row>
    <row r="1480" spans="1:2">
      <c r="A1480" s="86">
        <v>250803</v>
      </c>
      <c r="B1480" s="108" t="s">
        <v>1162</v>
      </c>
    </row>
    <row r="1481" spans="1:2">
      <c r="A1481" s="86">
        <v>250804</v>
      </c>
      <c r="B1481" s="108" t="s">
        <v>1162</v>
      </c>
    </row>
    <row r="1482" spans="1:2">
      <c r="A1482" s="86">
        <v>250805</v>
      </c>
      <c r="B1482" s="108" t="s">
        <v>1162</v>
      </c>
    </row>
    <row r="1483" spans="1:2">
      <c r="A1483" s="94"/>
      <c r="B1483" s="109"/>
    </row>
    <row r="1484" spans="1:2">
      <c r="A1484" s="86">
        <v>250901</v>
      </c>
      <c r="B1484" s="108" t="s">
        <v>1163</v>
      </c>
    </row>
    <row r="1485" spans="1:2">
      <c r="A1485" s="86">
        <v>250902</v>
      </c>
      <c r="B1485" s="108" t="s">
        <v>1163</v>
      </c>
    </row>
    <row r="1486" spans="1:2">
      <c r="A1486" s="86">
        <v>250903</v>
      </c>
      <c r="B1486" s="108" t="s">
        <v>1163</v>
      </c>
    </row>
    <row r="1487" spans="1:2">
      <c r="A1487" s="86">
        <v>250904</v>
      </c>
      <c r="B1487" s="108" t="s">
        <v>1163</v>
      </c>
    </row>
    <row r="1488" spans="1:2">
      <c r="A1488" s="86">
        <v>250905</v>
      </c>
      <c r="B1488" s="108" t="s">
        <v>1163</v>
      </c>
    </row>
    <row r="1489" spans="1:2">
      <c r="A1489" s="86">
        <v>250906</v>
      </c>
      <c r="B1489" s="108" t="s">
        <v>1163</v>
      </c>
    </row>
    <row r="1490" spans="1:2">
      <c r="A1490" s="86">
        <v>250907</v>
      </c>
      <c r="B1490" s="108" t="s">
        <v>1163</v>
      </c>
    </row>
    <row r="1491" spans="1:2">
      <c r="A1491" s="86">
        <v>250908</v>
      </c>
      <c r="B1491" s="108" t="s">
        <v>1163</v>
      </c>
    </row>
    <row r="1492" spans="1:2">
      <c r="A1492" s="86">
        <v>250909</v>
      </c>
      <c r="B1492" s="108" t="s">
        <v>1163</v>
      </c>
    </row>
    <row r="1493" spans="1:2">
      <c r="A1493" s="86">
        <v>250910</v>
      </c>
      <c r="B1493" s="108" t="s">
        <v>1163</v>
      </c>
    </row>
    <row r="1494" spans="1:2">
      <c r="A1494" s="94"/>
      <c r="B1494" s="109"/>
    </row>
    <row r="1495" spans="1:2">
      <c r="A1495" s="86">
        <v>251001</v>
      </c>
      <c r="B1495" s="108" t="s">
        <v>1164</v>
      </c>
    </row>
    <row r="1496" spans="1:2">
      <c r="A1496" s="86">
        <v>251002</v>
      </c>
      <c r="B1496" s="108" t="s">
        <v>1164</v>
      </c>
    </row>
    <row r="1497" spans="1:2">
      <c r="A1497" s="86">
        <v>251003</v>
      </c>
      <c r="B1497" s="108" t="s">
        <v>1164</v>
      </c>
    </row>
    <row r="1498" spans="1:2">
      <c r="A1498" s="86">
        <v>251004</v>
      </c>
      <c r="B1498" s="108" t="s">
        <v>1164</v>
      </c>
    </row>
    <row r="1499" spans="1:2">
      <c r="A1499" s="86">
        <v>251005</v>
      </c>
      <c r="B1499" s="108" t="s">
        <v>1164</v>
      </c>
    </row>
    <row r="1500" spans="1:2">
      <c r="A1500" s="86">
        <v>251006</v>
      </c>
      <c r="B1500" s="108" t="s">
        <v>1164</v>
      </c>
    </row>
    <row r="1501" spans="1:2">
      <c r="A1501" s="86">
        <v>251007</v>
      </c>
      <c r="B1501" s="108" t="s">
        <v>1164</v>
      </c>
    </row>
    <row r="1502" spans="1:2">
      <c r="A1502" s="86">
        <v>251008</v>
      </c>
      <c r="B1502" s="108" t="s">
        <v>1164</v>
      </c>
    </row>
    <row r="1503" spans="1:2">
      <c r="A1503" s="86">
        <v>251009</v>
      </c>
      <c r="B1503" s="108" t="s">
        <v>1164</v>
      </c>
    </row>
    <row r="1504" spans="1:2">
      <c r="A1504" s="86">
        <v>251010</v>
      </c>
      <c r="B1504" s="108" t="s">
        <v>1164</v>
      </c>
    </row>
    <row r="1505" spans="1:2">
      <c r="A1505" s="86">
        <v>251031</v>
      </c>
      <c r="B1505" s="108" t="s">
        <v>3203</v>
      </c>
    </row>
    <row r="1506" spans="1:2">
      <c r="A1506" s="86">
        <v>251032</v>
      </c>
      <c r="B1506" s="108" t="s">
        <v>3203</v>
      </c>
    </row>
    <row r="1507" spans="1:2">
      <c r="A1507" s="86">
        <v>251033</v>
      </c>
      <c r="B1507" s="108" t="s">
        <v>3203</v>
      </c>
    </row>
    <row r="1508" spans="1:2">
      <c r="A1508" s="86">
        <v>251034</v>
      </c>
      <c r="B1508" s="108" t="s">
        <v>3203</v>
      </c>
    </row>
    <row r="1509" spans="1:2">
      <c r="A1509" s="86">
        <v>251035</v>
      </c>
      <c r="B1509" s="108" t="s">
        <v>3203</v>
      </c>
    </row>
    <row r="1510" spans="1:2">
      <c r="A1510" s="86">
        <v>251036</v>
      </c>
      <c r="B1510" s="108" t="s">
        <v>3203</v>
      </c>
    </row>
    <row r="1511" spans="1:2">
      <c r="A1511" s="86">
        <v>251037</v>
      </c>
      <c r="B1511" s="108" t="s">
        <v>3203</v>
      </c>
    </row>
    <row r="1512" spans="1:2">
      <c r="A1512" s="86">
        <v>251038</v>
      </c>
      <c r="B1512" s="108" t="s">
        <v>3203</v>
      </c>
    </row>
    <row r="1513" spans="1:2">
      <c r="A1513" s="86">
        <v>251039</v>
      </c>
      <c r="B1513" s="108" t="s">
        <v>3203</v>
      </c>
    </row>
    <row r="1514" spans="1:2">
      <c r="A1514" s="86">
        <v>251040</v>
      </c>
      <c r="B1514" s="108" t="s">
        <v>3203</v>
      </c>
    </row>
    <row r="1515" spans="1:2">
      <c r="A1515" s="94"/>
      <c r="B1515" s="109"/>
    </row>
    <row r="1516" spans="1:2">
      <c r="A1516" s="86">
        <v>251101</v>
      </c>
      <c r="B1516" s="108" t="s">
        <v>1165</v>
      </c>
    </row>
    <row r="1517" spans="1:2">
      <c r="A1517" s="86">
        <v>251102</v>
      </c>
      <c r="B1517" s="108" t="s">
        <v>1165</v>
      </c>
    </row>
    <row r="1518" spans="1:2">
      <c r="A1518" s="86">
        <v>251103</v>
      </c>
      <c r="B1518" s="108" t="s">
        <v>1165</v>
      </c>
    </row>
    <row r="1519" spans="1:2">
      <c r="A1519" s="86">
        <v>251104</v>
      </c>
      <c r="B1519" s="108" t="s">
        <v>1165</v>
      </c>
    </row>
    <row r="1520" spans="1:2">
      <c r="A1520" s="86">
        <v>251105</v>
      </c>
      <c r="B1520" s="108" t="s">
        <v>1165</v>
      </c>
    </row>
    <row r="1521" spans="1:2">
      <c r="A1521" s="86">
        <v>251106</v>
      </c>
      <c r="B1521" s="108" t="s">
        <v>1165</v>
      </c>
    </row>
    <row r="1522" spans="1:2">
      <c r="A1522" s="86">
        <v>251107</v>
      </c>
      <c r="B1522" s="108" t="s">
        <v>1165</v>
      </c>
    </row>
    <row r="1523" spans="1:2">
      <c r="A1523" s="86">
        <v>251108</v>
      </c>
      <c r="B1523" s="108" t="s">
        <v>1165</v>
      </c>
    </row>
    <row r="1524" spans="1:2">
      <c r="A1524" s="86">
        <v>251109</v>
      </c>
      <c r="B1524" s="108" t="s">
        <v>1165</v>
      </c>
    </row>
    <row r="1525" spans="1:2">
      <c r="A1525" s="86">
        <v>251110</v>
      </c>
      <c r="B1525" s="108" t="s">
        <v>1165</v>
      </c>
    </row>
    <row r="1526" spans="1:2">
      <c r="A1526" s="94"/>
      <c r="B1526" s="108"/>
    </row>
    <row r="1527" spans="1:2">
      <c r="A1527" s="86">
        <v>251201</v>
      </c>
      <c r="B1527" s="108" t="s">
        <v>1166</v>
      </c>
    </row>
    <row r="1528" spans="1:2">
      <c r="A1528" s="86">
        <v>251202</v>
      </c>
      <c r="B1528" s="108" t="s">
        <v>1166</v>
      </c>
    </row>
    <row r="1529" spans="1:2">
      <c r="A1529" s="86">
        <v>251203</v>
      </c>
      <c r="B1529" s="108" t="s">
        <v>1166</v>
      </c>
    </row>
    <row r="1530" spans="1:2">
      <c r="A1530" s="86">
        <v>251204</v>
      </c>
      <c r="B1530" s="108" t="s">
        <v>1166</v>
      </c>
    </row>
    <row r="1531" spans="1:2">
      <c r="A1531" s="86">
        <v>251231</v>
      </c>
      <c r="B1531" s="108" t="s">
        <v>3204</v>
      </c>
    </row>
    <row r="1532" spans="1:2">
      <c r="A1532" s="86">
        <v>251232</v>
      </c>
      <c r="B1532" s="108" t="s">
        <v>3204</v>
      </c>
    </row>
    <row r="1533" spans="1:2">
      <c r="A1533" s="86">
        <v>251233</v>
      </c>
      <c r="B1533" s="108" t="s">
        <v>3204</v>
      </c>
    </row>
    <row r="1534" spans="1:2">
      <c r="A1534" s="86">
        <v>251234</v>
      </c>
      <c r="B1534" s="108" t="s">
        <v>3204</v>
      </c>
    </row>
    <row r="1535" spans="1:2">
      <c r="A1535" s="94"/>
      <c r="B1535" s="109"/>
    </row>
    <row r="1536" spans="1:2">
      <c r="A1536" s="86">
        <v>251301</v>
      </c>
      <c r="B1536" s="108" t="s">
        <v>1167</v>
      </c>
    </row>
    <row r="1537" spans="1:2">
      <c r="A1537" s="86">
        <v>251302</v>
      </c>
      <c r="B1537" s="108" t="s">
        <v>1167</v>
      </c>
    </row>
    <row r="1538" spans="1:2">
      <c r="A1538" s="86">
        <v>251303</v>
      </c>
      <c r="B1538" s="108" t="s">
        <v>1167</v>
      </c>
    </row>
    <row r="1539" spans="1:2">
      <c r="A1539" s="86">
        <v>251304</v>
      </c>
      <c r="B1539" s="108" t="s">
        <v>1167</v>
      </c>
    </row>
    <row r="1540" spans="1:2">
      <c r="A1540" s="86">
        <v>251305</v>
      </c>
      <c r="B1540" s="108" t="s">
        <v>1167</v>
      </c>
    </row>
    <row r="1541" spans="1:2">
      <c r="A1541" s="86">
        <v>251306</v>
      </c>
      <c r="B1541" s="108" t="s">
        <v>1167</v>
      </c>
    </row>
    <row r="1542" spans="1:2">
      <c r="A1542" s="86">
        <v>251307</v>
      </c>
      <c r="B1542" s="108" t="s">
        <v>1167</v>
      </c>
    </row>
    <row r="1543" spans="1:2">
      <c r="A1543" s="86">
        <v>251308</v>
      </c>
      <c r="B1543" s="108" t="s">
        <v>1167</v>
      </c>
    </row>
    <row r="1544" spans="1:2">
      <c r="A1544" s="86">
        <v>251309</v>
      </c>
      <c r="B1544" s="108" t="s">
        <v>1167</v>
      </c>
    </row>
    <row r="1545" spans="1:2">
      <c r="A1545" s="86">
        <v>251310</v>
      </c>
      <c r="B1545" s="108" t="s">
        <v>1167</v>
      </c>
    </row>
    <row r="1546" spans="1:2">
      <c r="A1546" s="94"/>
      <c r="B1546" s="109"/>
    </row>
    <row r="1547" spans="1:2">
      <c r="A1547" s="86">
        <v>251401</v>
      </c>
      <c r="B1547" s="108" t="s">
        <v>1168</v>
      </c>
    </row>
    <row r="1548" spans="1:2">
      <c r="A1548" s="86">
        <v>251402</v>
      </c>
      <c r="B1548" s="108" t="s">
        <v>1168</v>
      </c>
    </row>
    <row r="1549" spans="1:2">
      <c r="A1549" s="86">
        <v>251403</v>
      </c>
      <c r="B1549" s="108" t="s">
        <v>1168</v>
      </c>
    </row>
    <row r="1550" spans="1:2">
      <c r="A1550" s="86">
        <v>251404</v>
      </c>
      <c r="B1550" s="108" t="s">
        <v>1168</v>
      </c>
    </row>
    <row r="1551" spans="1:2">
      <c r="A1551" s="86">
        <v>251405</v>
      </c>
      <c r="B1551" s="108" t="s">
        <v>1168</v>
      </c>
    </row>
    <row r="1552" spans="1:2">
      <c r="A1552" s="86">
        <v>251406</v>
      </c>
      <c r="B1552" s="108" t="s">
        <v>1168</v>
      </c>
    </row>
    <row r="1553" spans="1:2">
      <c r="A1553" s="86">
        <v>251407</v>
      </c>
      <c r="B1553" s="108" t="s">
        <v>1168</v>
      </c>
    </row>
    <row r="1554" spans="1:2">
      <c r="A1554" s="86">
        <v>251408</v>
      </c>
      <c r="B1554" s="108" t="s">
        <v>1168</v>
      </c>
    </row>
    <row r="1555" spans="1:2">
      <c r="A1555" s="86">
        <v>251409</v>
      </c>
      <c r="B1555" s="108" t="s">
        <v>1168</v>
      </c>
    </row>
    <row r="1556" spans="1:2">
      <c r="A1556" s="86">
        <v>251410</v>
      </c>
      <c r="B1556" s="108" t="s">
        <v>1168</v>
      </c>
    </row>
    <row r="1557" spans="1:2">
      <c r="A1557" s="94"/>
      <c r="B1557" s="109"/>
    </row>
    <row r="1558" spans="1:2">
      <c r="A1558" s="86">
        <v>251501</v>
      </c>
      <c r="B1558" s="108" t="s">
        <v>1169</v>
      </c>
    </row>
    <row r="1559" spans="1:2">
      <c r="A1559" s="86">
        <v>251502</v>
      </c>
      <c r="B1559" s="108" t="s">
        <v>1169</v>
      </c>
    </row>
    <row r="1560" spans="1:2">
      <c r="A1560" s="86">
        <v>251503</v>
      </c>
      <c r="B1560" s="108" t="s">
        <v>1169</v>
      </c>
    </row>
    <row r="1561" spans="1:2">
      <c r="A1561" s="86">
        <v>251504</v>
      </c>
      <c r="B1561" s="108" t="s">
        <v>1169</v>
      </c>
    </row>
    <row r="1562" spans="1:2">
      <c r="A1562" s="86">
        <v>251505</v>
      </c>
      <c r="B1562" s="108" t="s">
        <v>1169</v>
      </c>
    </row>
    <row r="1563" spans="1:2">
      <c r="A1563" s="86">
        <v>251506</v>
      </c>
      <c r="B1563" s="108" t="s">
        <v>1169</v>
      </c>
    </row>
    <row r="1564" spans="1:2">
      <c r="A1564" s="86">
        <v>251507</v>
      </c>
      <c r="B1564" s="108" t="s">
        <v>1169</v>
      </c>
    </row>
    <row r="1565" spans="1:2">
      <c r="A1565" s="86">
        <v>251508</v>
      </c>
      <c r="B1565" s="108" t="s">
        <v>1169</v>
      </c>
    </row>
    <row r="1566" spans="1:2">
      <c r="A1566" s="86">
        <v>251509</v>
      </c>
      <c r="B1566" s="108" t="s">
        <v>1169</v>
      </c>
    </row>
    <row r="1567" spans="1:2">
      <c r="A1567" s="86">
        <v>251510</v>
      </c>
      <c r="B1567" s="108" t="s">
        <v>1169</v>
      </c>
    </row>
    <row r="1568" spans="1:2">
      <c r="A1568" s="94"/>
      <c r="B1568" s="108"/>
    </row>
    <row r="1569" spans="1:2">
      <c r="A1569" s="86">
        <v>251601</v>
      </c>
      <c r="B1569" s="108" t="s">
        <v>1170</v>
      </c>
    </row>
    <row r="1570" spans="1:2">
      <c r="A1570" s="86">
        <v>251602</v>
      </c>
      <c r="B1570" s="108" t="s">
        <v>1170</v>
      </c>
    </row>
    <row r="1571" spans="1:2">
      <c r="A1571" s="86">
        <v>251603</v>
      </c>
      <c r="B1571" s="108" t="s">
        <v>1170</v>
      </c>
    </row>
    <row r="1572" spans="1:2">
      <c r="A1572" s="86">
        <v>251604</v>
      </c>
      <c r="B1572" s="108" t="s">
        <v>1170</v>
      </c>
    </row>
    <row r="1573" spans="1:2">
      <c r="A1573" s="86">
        <v>251605</v>
      </c>
      <c r="B1573" s="108" t="s">
        <v>1170</v>
      </c>
    </row>
    <row r="1574" spans="1:2">
      <c r="A1574" s="86">
        <v>251606</v>
      </c>
      <c r="B1574" s="108" t="s">
        <v>1170</v>
      </c>
    </row>
    <row r="1575" spans="1:2">
      <c r="A1575" s="86">
        <v>251607</v>
      </c>
      <c r="B1575" s="108" t="s">
        <v>1170</v>
      </c>
    </row>
    <row r="1576" spans="1:2">
      <c r="A1576" s="86">
        <v>251608</v>
      </c>
      <c r="B1576" s="108" t="s">
        <v>1170</v>
      </c>
    </row>
    <row r="1577" spans="1:2">
      <c r="A1577" s="86">
        <v>251609</v>
      </c>
      <c r="B1577" s="108" t="s">
        <v>1170</v>
      </c>
    </row>
    <row r="1578" spans="1:2">
      <c r="A1578" s="86">
        <v>251610</v>
      </c>
      <c r="B1578" s="108" t="s">
        <v>1170</v>
      </c>
    </row>
    <row r="1579" spans="1:2">
      <c r="A1579" s="94"/>
      <c r="B1579" s="109"/>
    </row>
    <row r="1580" spans="1:2">
      <c r="A1580" s="86">
        <v>251701</v>
      </c>
      <c r="B1580" s="108" t="s">
        <v>1171</v>
      </c>
    </row>
    <row r="1581" spans="1:2">
      <c r="A1581" s="86">
        <v>251702</v>
      </c>
      <c r="B1581" s="108" t="s">
        <v>1171</v>
      </c>
    </row>
    <row r="1582" spans="1:2">
      <c r="A1582" s="86">
        <v>251703</v>
      </c>
      <c r="B1582" s="108" t="s">
        <v>1171</v>
      </c>
    </row>
    <row r="1583" spans="1:2">
      <c r="A1583" s="86">
        <v>251704</v>
      </c>
      <c r="B1583" s="108" t="s">
        <v>1171</v>
      </c>
    </row>
    <row r="1584" spans="1:2">
      <c r="A1584" s="86">
        <v>251705</v>
      </c>
      <c r="B1584" s="108" t="s">
        <v>1171</v>
      </c>
    </row>
    <row r="1585" spans="1:2">
      <c r="A1585" s="86">
        <v>251706</v>
      </c>
      <c r="B1585" s="108" t="s">
        <v>1171</v>
      </c>
    </row>
    <row r="1586" spans="1:2">
      <c r="A1586" s="86">
        <v>251707</v>
      </c>
      <c r="B1586" s="108" t="s">
        <v>1171</v>
      </c>
    </row>
    <row r="1587" spans="1:2">
      <c r="A1587" s="86">
        <v>251708</v>
      </c>
      <c r="B1587" s="108" t="s">
        <v>1171</v>
      </c>
    </row>
    <row r="1588" spans="1:2">
      <c r="A1588" s="86">
        <v>251709</v>
      </c>
      <c r="B1588" s="108" t="s">
        <v>1171</v>
      </c>
    </row>
    <row r="1589" spans="1:2">
      <c r="A1589" s="86">
        <v>251710</v>
      </c>
      <c r="B1589" s="108" t="s">
        <v>1171</v>
      </c>
    </row>
    <row r="1590" spans="1:2">
      <c r="A1590" s="94"/>
      <c r="B1590" s="109"/>
    </row>
    <row r="1591" spans="1:2">
      <c r="A1591" s="86">
        <v>251801</v>
      </c>
      <c r="B1591" s="108" t="s">
        <v>1172</v>
      </c>
    </row>
    <row r="1592" spans="1:2">
      <c r="A1592" s="86">
        <v>251802</v>
      </c>
      <c r="B1592" s="108" t="s">
        <v>1172</v>
      </c>
    </row>
    <row r="1593" spans="1:2">
      <c r="A1593" s="86">
        <v>251803</v>
      </c>
      <c r="B1593" s="108" t="s">
        <v>1172</v>
      </c>
    </row>
    <row r="1594" spans="1:2">
      <c r="A1594" s="86">
        <v>251804</v>
      </c>
      <c r="B1594" s="108" t="s">
        <v>1172</v>
      </c>
    </row>
    <row r="1595" spans="1:2">
      <c r="A1595" s="86">
        <v>251805</v>
      </c>
      <c r="B1595" s="108" t="s">
        <v>1172</v>
      </c>
    </row>
    <row r="1596" spans="1:2">
      <c r="A1596" s="86">
        <v>251806</v>
      </c>
      <c r="B1596" s="108" t="s">
        <v>1172</v>
      </c>
    </row>
    <row r="1597" spans="1:2">
      <c r="A1597" s="86">
        <v>251807</v>
      </c>
      <c r="B1597" s="108" t="s">
        <v>1172</v>
      </c>
    </row>
    <row r="1598" spans="1:2">
      <c r="A1598" s="86">
        <v>251808</v>
      </c>
      <c r="B1598" s="108" t="s">
        <v>1172</v>
      </c>
    </row>
    <row r="1599" spans="1:2">
      <c r="A1599" s="86">
        <v>251809</v>
      </c>
      <c r="B1599" s="108" t="s">
        <v>1172</v>
      </c>
    </row>
    <row r="1600" spans="1:2">
      <c r="A1600" s="86">
        <v>251810</v>
      </c>
      <c r="B1600" s="108" t="s">
        <v>1172</v>
      </c>
    </row>
    <row r="1601" spans="1:2">
      <c r="A1601" s="94"/>
      <c r="B1601" s="109"/>
    </row>
    <row r="1602" spans="1:2">
      <c r="A1602" s="86">
        <v>251901</v>
      </c>
      <c r="B1602" s="108" t="s">
        <v>1173</v>
      </c>
    </row>
    <row r="1603" spans="1:2">
      <c r="A1603" s="86">
        <v>251902</v>
      </c>
      <c r="B1603" s="108" t="s">
        <v>1173</v>
      </c>
    </row>
    <row r="1604" spans="1:2">
      <c r="A1604" s="86">
        <v>251903</v>
      </c>
      <c r="B1604" s="108" t="s">
        <v>1173</v>
      </c>
    </row>
    <row r="1605" spans="1:2">
      <c r="A1605" s="86">
        <v>251904</v>
      </c>
      <c r="B1605" s="108" t="s">
        <v>1173</v>
      </c>
    </row>
    <row r="1606" spans="1:2">
      <c r="A1606" s="86">
        <v>251905</v>
      </c>
      <c r="B1606" s="108" t="s">
        <v>1173</v>
      </c>
    </row>
    <row r="1607" spans="1:2">
      <c r="A1607" s="86">
        <v>251906</v>
      </c>
      <c r="B1607" s="108" t="s">
        <v>1173</v>
      </c>
    </row>
    <row r="1608" spans="1:2">
      <c r="A1608" s="86">
        <v>251907</v>
      </c>
      <c r="B1608" s="108" t="s">
        <v>1173</v>
      </c>
    </row>
    <row r="1609" spans="1:2">
      <c r="A1609" s="86">
        <v>251908</v>
      </c>
      <c r="B1609" s="108" t="s">
        <v>1173</v>
      </c>
    </row>
    <row r="1610" spans="1:2">
      <c r="A1610" s="86">
        <v>251909</v>
      </c>
      <c r="B1610" s="108" t="s">
        <v>1173</v>
      </c>
    </row>
    <row r="1611" spans="1:2">
      <c r="A1611" s="86">
        <v>251910</v>
      </c>
      <c r="B1611" s="108" t="s">
        <v>1173</v>
      </c>
    </row>
    <row r="1612" spans="1:2">
      <c r="A1612" s="94"/>
      <c r="B1612" s="109"/>
    </row>
    <row r="1613" spans="1:2">
      <c r="A1613" s="86">
        <v>252001</v>
      </c>
      <c r="B1613" s="108" t="s">
        <v>1174</v>
      </c>
    </row>
    <row r="1614" spans="1:2">
      <c r="A1614" s="86">
        <v>252002</v>
      </c>
      <c r="B1614" s="108" t="s">
        <v>1174</v>
      </c>
    </row>
    <row r="1615" spans="1:2">
      <c r="A1615" s="86">
        <v>252003</v>
      </c>
      <c r="B1615" s="108" t="s">
        <v>1174</v>
      </c>
    </row>
    <row r="1616" spans="1:2">
      <c r="A1616" s="86">
        <v>252004</v>
      </c>
      <c r="B1616" s="108" t="s">
        <v>1174</v>
      </c>
    </row>
    <row r="1617" spans="1:2">
      <c r="A1617" s="86">
        <v>252005</v>
      </c>
      <c r="B1617" s="108" t="s">
        <v>1174</v>
      </c>
    </row>
    <row r="1618" spans="1:2">
      <c r="A1618" s="86">
        <v>252006</v>
      </c>
      <c r="B1618" s="108" t="s">
        <v>1174</v>
      </c>
    </row>
    <row r="1619" spans="1:2">
      <c r="A1619" s="86">
        <v>252007</v>
      </c>
      <c r="B1619" s="108" t="s">
        <v>1174</v>
      </c>
    </row>
    <row r="1620" spans="1:2">
      <c r="A1620" s="86">
        <v>252008</v>
      </c>
      <c r="B1620" s="108" t="s">
        <v>1174</v>
      </c>
    </row>
    <row r="1621" spans="1:2">
      <c r="A1621" s="86">
        <v>252009</v>
      </c>
      <c r="B1621" s="108" t="s">
        <v>1174</v>
      </c>
    </row>
    <row r="1622" spans="1:2">
      <c r="A1622" s="86">
        <v>252010</v>
      </c>
      <c r="B1622" s="108" t="s">
        <v>1174</v>
      </c>
    </row>
    <row r="1623" spans="1:2">
      <c r="A1623" s="94"/>
      <c r="B1623" s="109"/>
    </row>
    <row r="1624" spans="1:2">
      <c r="A1624" s="86">
        <v>252101</v>
      </c>
      <c r="B1624" s="108" t="s">
        <v>1175</v>
      </c>
    </row>
    <row r="1625" spans="1:2">
      <c r="A1625" s="86">
        <v>252102</v>
      </c>
      <c r="B1625" s="108" t="s">
        <v>1175</v>
      </c>
    </row>
    <row r="1626" spans="1:2">
      <c r="A1626" s="86">
        <v>252103</v>
      </c>
      <c r="B1626" s="108" t="s">
        <v>1175</v>
      </c>
    </row>
    <row r="1627" spans="1:2">
      <c r="A1627" s="86">
        <v>252104</v>
      </c>
      <c r="B1627" s="108" t="s">
        <v>1175</v>
      </c>
    </row>
    <row r="1628" spans="1:2">
      <c r="A1628" s="86">
        <v>252105</v>
      </c>
      <c r="B1628" s="108" t="s">
        <v>1175</v>
      </c>
    </row>
    <row r="1629" spans="1:2">
      <c r="A1629" s="86">
        <v>252106</v>
      </c>
      <c r="B1629" s="108" t="s">
        <v>1175</v>
      </c>
    </row>
    <row r="1630" spans="1:2">
      <c r="A1630" s="86">
        <v>252107</v>
      </c>
      <c r="B1630" s="108" t="s">
        <v>1175</v>
      </c>
    </row>
    <row r="1631" spans="1:2">
      <c r="A1631" s="86">
        <v>252108</v>
      </c>
      <c r="B1631" s="108" t="s">
        <v>1175</v>
      </c>
    </row>
    <row r="1632" spans="1:2">
      <c r="A1632" s="86">
        <v>252109</v>
      </c>
      <c r="B1632" s="108" t="s">
        <v>1175</v>
      </c>
    </row>
    <row r="1633" spans="1:2">
      <c r="A1633" s="86">
        <v>252110</v>
      </c>
      <c r="B1633" s="108" t="s">
        <v>1175</v>
      </c>
    </row>
    <row r="1634" spans="1:2">
      <c r="A1634" s="94"/>
      <c r="B1634" s="109"/>
    </row>
    <row r="1635" spans="1:2">
      <c r="A1635" s="86">
        <v>252201</v>
      </c>
      <c r="B1635" s="108" t="s">
        <v>1176</v>
      </c>
    </row>
    <row r="1636" spans="1:2">
      <c r="A1636" s="86">
        <v>252202</v>
      </c>
      <c r="B1636" s="108" t="s">
        <v>1176</v>
      </c>
    </row>
    <row r="1637" spans="1:2">
      <c r="A1637" s="86">
        <v>252203</v>
      </c>
      <c r="B1637" s="108" t="s">
        <v>1176</v>
      </c>
    </row>
    <row r="1638" spans="1:2">
      <c r="A1638" s="86">
        <v>252204</v>
      </c>
      <c r="B1638" s="108" t="s">
        <v>1176</v>
      </c>
    </row>
    <row r="1639" spans="1:2">
      <c r="A1639" s="86">
        <v>252205</v>
      </c>
      <c r="B1639" s="108" t="s">
        <v>1176</v>
      </c>
    </row>
    <row r="1640" spans="1:2">
      <c r="A1640" s="86">
        <v>252206</v>
      </c>
      <c r="B1640" s="108" t="s">
        <v>1176</v>
      </c>
    </row>
    <row r="1641" spans="1:2">
      <c r="A1641" s="86">
        <v>252207</v>
      </c>
      <c r="B1641" s="108" t="s">
        <v>1176</v>
      </c>
    </row>
    <row r="1642" spans="1:2">
      <c r="A1642" s="86">
        <v>252208</v>
      </c>
      <c r="B1642" s="108" t="s">
        <v>1176</v>
      </c>
    </row>
    <row r="1643" spans="1:2">
      <c r="A1643" s="86">
        <v>252209</v>
      </c>
      <c r="B1643" s="108" t="s">
        <v>1176</v>
      </c>
    </row>
    <row r="1644" spans="1:2">
      <c r="A1644" s="86">
        <v>252210</v>
      </c>
      <c r="B1644" s="108" t="s">
        <v>1176</v>
      </c>
    </row>
    <row r="1645" spans="1:2">
      <c r="A1645" s="94"/>
      <c r="B1645" s="109"/>
    </row>
    <row r="1646" spans="1:2">
      <c r="A1646" s="86">
        <v>252301</v>
      </c>
      <c r="B1646" s="108" t="s">
        <v>1177</v>
      </c>
    </row>
    <row r="1647" spans="1:2">
      <c r="A1647" s="86">
        <v>252302</v>
      </c>
      <c r="B1647" s="108" t="s">
        <v>1177</v>
      </c>
    </row>
    <row r="1648" spans="1:2">
      <c r="A1648" s="86">
        <v>252303</v>
      </c>
      <c r="B1648" s="108" t="s">
        <v>1177</v>
      </c>
    </row>
    <row r="1649" spans="1:2">
      <c r="A1649" s="86">
        <v>252304</v>
      </c>
      <c r="B1649" s="108" t="s">
        <v>1177</v>
      </c>
    </row>
    <row r="1650" spans="1:2">
      <c r="A1650" s="86">
        <v>252305</v>
      </c>
      <c r="B1650" s="108" t="s">
        <v>1177</v>
      </c>
    </row>
    <row r="1651" spans="1:2">
      <c r="A1651" s="86">
        <v>252306</v>
      </c>
      <c r="B1651" s="108" t="s">
        <v>1177</v>
      </c>
    </row>
    <row r="1652" spans="1:2">
      <c r="A1652" s="86">
        <v>252307</v>
      </c>
      <c r="B1652" s="108" t="s">
        <v>1177</v>
      </c>
    </row>
    <row r="1653" spans="1:2">
      <c r="A1653" s="86">
        <v>252308</v>
      </c>
      <c r="B1653" s="108" t="s">
        <v>1177</v>
      </c>
    </row>
    <row r="1654" spans="1:2">
      <c r="A1654" s="86">
        <v>252309</v>
      </c>
      <c r="B1654" s="108" t="s">
        <v>1177</v>
      </c>
    </row>
    <row r="1655" spans="1:2">
      <c r="A1655" s="86">
        <v>252310</v>
      </c>
      <c r="B1655" s="108" t="s">
        <v>1177</v>
      </c>
    </row>
    <row r="1656" spans="1:2">
      <c r="A1656" s="94"/>
      <c r="B1656" s="109"/>
    </row>
    <row r="1657" spans="1:2">
      <c r="A1657" s="86">
        <v>252401</v>
      </c>
      <c r="B1657" s="108" t="s">
        <v>1178</v>
      </c>
    </row>
    <row r="1658" spans="1:2">
      <c r="A1658" s="86">
        <v>252402</v>
      </c>
      <c r="B1658" s="108" t="s">
        <v>1178</v>
      </c>
    </row>
    <row r="1659" spans="1:2">
      <c r="A1659" s="86">
        <v>252403</v>
      </c>
      <c r="B1659" s="108" t="s">
        <v>1178</v>
      </c>
    </row>
    <row r="1660" spans="1:2">
      <c r="A1660" s="86">
        <v>252404</v>
      </c>
      <c r="B1660" s="108" t="s">
        <v>1178</v>
      </c>
    </row>
    <row r="1661" spans="1:2">
      <c r="A1661" s="86">
        <v>252405</v>
      </c>
      <c r="B1661" s="108" t="s">
        <v>1178</v>
      </c>
    </row>
    <row r="1662" spans="1:2">
      <c r="A1662" s="86">
        <v>252406</v>
      </c>
      <c r="B1662" s="108" t="s">
        <v>1178</v>
      </c>
    </row>
    <row r="1663" spans="1:2">
      <c r="A1663" s="86">
        <v>252407</v>
      </c>
      <c r="B1663" s="108" t="s">
        <v>1178</v>
      </c>
    </row>
    <row r="1664" spans="1:2">
      <c r="A1664" s="86">
        <v>252408</v>
      </c>
      <c r="B1664" s="108" t="s">
        <v>1178</v>
      </c>
    </row>
    <row r="1665" spans="1:2">
      <c r="A1665" s="86">
        <v>252409</v>
      </c>
      <c r="B1665" s="108" t="s">
        <v>1178</v>
      </c>
    </row>
    <row r="1666" spans="1:2">
      <c r="A1666" s="86">
        <v>252410</v>
      </c>
      <c r="B1666" s="108" t="s">
        <v>1178</v>
      </c>
    </row>
    <row r="1667" spans="1:2">
      <c r="A1667" s="94"/>
      <c r="B1667" s="108"/>
    </row>
    <row r="1668" spans="1:2">
      <c r="A1668" s="85"/>
      <c r="B1668" s="96" t="s">
        <v>3205</v>
      </c>
    </row>
    <row r="1669" spans="1:2">
      <c r="A1669" s="86">
        <v>290001</v>
      </c>
      <c r="B1669" s="108" t="s">
        <v>949</v>
      </c>
    </row>
    <row r="1670" spans="1:2">
      <c r="A1670" s="86">
        <v>290003</v>
      </c>
      <c r="B1670" s="108" t="s">
        <v>3206</v>
      </c>
    </row>
    <row r="1671" spans="1:2">
      <c r="A1671" s="86">
        <v>290006</v>
      </c>
      <c r="B1671" s="108" t="s">
        <v>950</v>
      </c>
    </row>
    <row r="1672" spans="1:2">
      <c r="A1672" s="86">
        <v>290007</v>
      </c>
      <c r="B1672" s="108" t="s">
        <v>368</v>
      </c>
    </row>
    <row r="1673" spans="1:2">
      <c r="A1673" s="86">
        <v>290008</v>
      </c>
      <c r="B1673" s="108" t="s">
        <v>369</v>
      </c>
    </row>
    <row r="1674" spans="1:2">
      <c r="A1674" s="86">
        <v>290009</v>
      </c>
      <c r="B1674" s="108" t="s">
        <v>370</v>
      </c>
    </row>
    <row r="1675" spans="1:2">
      <c r="A1675" s="86">
        <v>290010</v>
      </c>
      <c r="B1675" s="108" t="s">
        <v>371</v>
      </c>
    </row>
    <row r="1676" spans="1:2">
      <c r="A1676" s="86">
        <v>290011</v>
      </c>
      <c r="B1676" s="108" t="s">
        <v>372</v>
      </c>
    </row>
    <row r="1677" spans="1:2">
      <c r="A1677" s="86">
        <v>290012</v>
      </c>
      <c r="B1677" s="108" t="s">
        <v>373</v>
      </c>
    </row>
    <row r="1678" spans="1:2">
      <c r="A1678" s="86">
        <v>290013</v>
      </c>
      <c r="B1678" s="108" t="s">
        <v>374</v>
      </c>
    </row>
    <row r="1679" spans="1:2">
      <c r="A1679" s="86">
        <v>290014</v>
      </c>
      <c r="B1679" s="108" t="s">
        <v>375</v>
      </c>
    </row>
    <row r="1680" spans="1:2">
      <c r="A1680" s="85"/>
      <c r="B1680" s="96" t="s">
        <v>3207</v>
      </c>
    </row>
    <row r="1681" spans="1:2">
      <c r="A1681" s="86">
        <v>300001</v>
      </c>
      <c r="B1681" s="105" t="s">
        <v>3208</v>
      </c>
    </row>
    <row r="1682" spans="1:2">
      <c r="A1682" s="86">
        <v>300002</v>
      </c>
      <c r="B1682" s="105" t="s">
        <v>3209</v>
      </c>
    </row>
    <row r="1683" spans="1:2">
      <c r="A1683" s="86">
        <v>300003</v>
      </c>
      <c r="B1683" s="105" t="s">
        <v>3210</v>
      </c>
    </row>
    <row r="1684" spans="1:2">
      <c r="A1684" s="86">
        <v>300004</v>
      </c>
      <c r="B1684" s="105" t="s">
        <v>3211</v>
      </c>
    </row>
    <row r="1685" spans="1:2">
      <c r="A1685" s="86">
        <v>300005</v>
      </c>
      <c r="B1685" s="105" t="s">
        <v>3212</v>
      </c>
    </row>
    <row r="1686" spans="1:2">
      <c r="A1686" s="86">
        <v>300006</v>
      </c>
      <c r="B1686" s="105" t="s">
        <v>383</v>
      </c>
    </row>
    <row r="1687" spans="1:2">
      <c r="A1687" s="86">
        <v>300007</v>
      </c>
      <c r="B1687" s="105" t="s">
        <v>384</v>
      </c>
    </row>
    <row r="1688" spans="1:2">
      <c r="A1688" s="86">
        <v>300008</v>
      </c>
      <c r="B1688" s="105" t="s">
        <v>385</v>
      </c>
    </row>
    <row r="1689" spans="1:2">
      <c r="A1689" s="86">
        <v>300009</v>
      </c>
      <c r="B1689" s="105" t="s">
        <v>386</v>
      </c>
    </row>
    <row r="1690" spans="1:2">
      <c r="A1690" s="86">
        <v>300010</v>
      </c>
      <c r="B1690" s="105" t="s">
        <v>387</v>
      </c>
    </row>
    <row r="1691" spans="1:2">
      <c r="A1691" s="86">
        <v>300011</v>
      </c>
      <c r="B1691" s="105" t="s">
        <v>3213</v>
      </c>
    </row>
    <row r="1692" spans="1:2">
      <c r="A1692" s="86">
        <v>300013</v>
      </c>
      <c r="B1692" s="105" t="s">
        <v>389</v>
      </c>
    </row>
    <row r="1693" spans="1:2">
      <c r="A1693" s="86">
        <v>300014</v>
      </c>
      <c r="B1693" s="105" t="s">
        <v>3214</v>
      </c>
    </row>
    <row r="1694" spans="1:2">
      <c r="A1694" s="86">
        <v>300016</v>
      </c>
      <c r="B1694" s="105" t="s">
        <v>3215</v>
      </c>
    </row>
    <row r="1695" spans="1:2">
      <c r="A1695" s="86">
        <v>300017</v>
      </c>
      <c r="B1695" s="105" t="s">
        <v>392</v>
      </c>
    </row>
    <row r="1696" spans="1:2">
      <c r="A1696" s="86">
        <v>300018</v>
      </c>
      <c r="B1696" s="105" t="s">
        <v>393</v>
      </c>
    </row>
    <row r="1697" spans="1:2">
      <c r="A1697" s="86">
        <v>300019</v>
      </c>
      <c r="B1697" s="105" t="s">
        <v>394</v>
      </c>
    </row>
    <row r="1698" spans="1:2">
      <c r="A1698" s="86">
        <v>300020</v>
      </c>
      <c r="B1698" s="105" t="s">
        <v>3216</v>
      </c>
    </row>
    <row r="1699" spans="1:2">
      <c r="A1699" s="86">
        <v>300021</v>
      </c>
      <c r="B1699" s="105" t="s">
        <v>396</v>
      </c>
    </row>
    <row r="1700" spans="1:2">
      <c r="A1700" s="86">
        <v>300022</v>
      </c>
      <c r="B1700" s="105" t="s">
        <v>397</v>
      </c>
    </row>
    <row r="1701" spans="1:2">
      <c r="A1701" s="86">
        <v>300023</v>
      </c>
      <c r="B1701" s="105" t="s">
        <v>3217</v>
      </c>
    </row>
    <row r="1702" spans="1:2">
      <c r="A1702" s="86">
        <v>300025</v>
      </c>
      <c r="B1702" s="105" t="s">
        <v>399</v>
      </c>
    </row>
    <row r="1703" spans="1:2">
      <c r="A1703" s="86">
        <v>300026</v>
      </c>
      <c r="B1703" s="105" t="s">
        <v>3218</v>
      </c>
    </row>
    <row r="1704" spans="1:2">
      <c r="A1704" s="86">
        <v>300028</v>
      </c>
      <c r="B1704" s="105" t="s">
        <v>401</v>
      </c>
    </row>
    <row r="1705" spans="1:2">
      <c r="A1705" s="86">
        <v>300029</v>
      </c>
      <c r="B1705" s="105" t="s">
        <v>402</v>
      </c>
    </row>
    <row r="1706" spans="1:2">
      <c r="A1706" s="86">
        <v>300030</v>
      </c>
      <c r="B1706" s="105" t="s">
        <v>3219</v>
      </c>
    </row>
    <row r="1707" spans="1:2">
      <c r="A1707" s="86">
        <v>300031</v>
      </c>
      <c r="B1707" s="105" t="s">
        <v>3220</v>
      </c>
    </row>
    <row r="1708" spans="1:2">
      <c r="A1708" s="86">
        <v>300032</v>
      </c>
      <c r="B1708" s="105" t="s">
        <v>3221</v>
      </c>
    </row>
    <row r="1709" spans="1:2">
      <c r="A1709" s="86">
        <v>300033</v>
      </c>
      <c r="B1709" s="105" t="s">
        <v>3222</v>
      </c>
    </row>
    <row r="1710" spans="1:2">
      <c r="A1710" s="86">
        <v>300035</v>
      </c>
      <c r="B1710" s="105" t="s">
        <v>406</v>
      </c>
    </row>
    <row r="1711" spans="1:2">
      <c r="A1711" s="86">
        <v>300036</v>
      </c>
      <c r="B1711" s="105" t="s">
        <v>3223</v>
      </c>
    </row>
    <row r="1712" spans="1:2">
      <c r="A1712" s="86">
        <v>300037</v>
      </c>
      <c r="B1712" s="105" t="s">
        <v>407</v>
      </c>
    </row>
    <row r="1713" spans="1:2">
      <c r="A1713" s="86">
        <v>300038</v>
      </c>
      <c r="B1713" s="105" t="s">
        <v>408</v>
      </c>
    </row>
    <row r="1714" spans="1:2">
      <c r="A1714" s="86">
        <v>300039</v>
      </c>
      <c r="B1714" s="105" t="s">
        <v>3224</v>
      </c>
    </row>
    <row r="1715" spans="1:2">
      <c r="A1715" s="86">
        <v>300040</v>
      </c>
      <c r="B1715" s="105" t="s">
        <v>3225</v>
      </c>
    </row>
    <row r="1716" spans="1:2">
      <c r="A1716" s="86">
        <v>300041</v>
      </c>
      <c r="B1716" s="105" t="s">
        <v>3226</v>
      </c>
    </row>
    <row r="1717" spans="1:2">
      <c r="A1717" s="86">
        <v>300042</v>
      </c>
      <c r="B1717" s="105" t="s">
        <v>3227</v>
      </c>
    </row>
    <row r="1718" spans="1:2">
      <c r="A1718" s="86">
        <v>300044</v>
      </c>
      <c r="B1718" s="105" t="s">
        <v>3228</v>
      </c>
    </row>
    <row r="1719" spans="1:2">
      <c r="A1719" s="86">
        <v>300045</v>
      </c>
      <c r="B1719" s="105" t="s">
        <v>3229</v>
      </c>
    </row>
    <row r="1720" spans="1:2">
      <c r="A1720" s="86">
        <v>300046</v>
      </c>
      <c r="B1720" s="105" t="s">
        <v>3356</v>
      </c>
    </row>
    <row r="1721" spans="1:2">
      <c r="A1721" s="86">
        <v>300047</v>
      </c>
      <c r="B1721" s="105" t="s">
        <v>3357</v>
      </c>
    </row>
    <row r="1722" spans="1:2">
      <c r="A1722" s="86">
        <v>300048</v>
      </c>
      <c r="B1722" s="105" t="s">
        <v>3358</v>
      </c>
    </row>
    <row r="1723" spans="1:2">
      <c r="A1723" s="86">
        <v>300049</v>
      </c>
      <c r="B1723" s="105" t="s">
        <v>3359</v>
      </c>
    </row>
    <row r="1724" spans="1:2">
      <c r="A1724" s="86">
        <v>300050</v>
      </c>
      <c r="B1724" s="105" t="s">
        <v>3360</v>
      </c>
    </row>
    <row r="1725" spans="1:2">
      <c r="A1725" s="86">
        <v>300051</v>
      </c>
      <c r="B1725" s="105" t="s">
        <v>3361</v>
      </c>
    </row>
    <row r="1726" spans="1:2">
      <c r="A1726" s="86">
        <v>300052</v>
      </c>
      <c r="B1726" s="105" t="s">
        <v>3362</v>
      </c>
    </row>
    <row r="1727" spans="1:2">
      <c r="A1727" s="86">
        <v>300053</v>
      </c>
      <c r="B1727" s="105" t="s">
        <v>3363</v>
      </c>
    </row>
    <row r="1728" spans="1:2">
      <c r="A1728" s="86">
        <v>300054</v>
      </c>
      <c r="B1728" s="105" t="s">
        <v>3364</v>
      </c>
    </row>
    <row r="1729" spans="1:2">
      <c r="A1729" s="86">
        <v>300055</v>
      </c>
      <c r="B1729" s="105" t="s">
        <v>3365</v>
      </c>
    </row>
    <row r="1730" spans="1:2">
      <c r="A1730" s="86">
        <v>300056</v>
      </c>
      <c r="B1730" s="105" t="s">
        <v>3366</v>
      </c>
    </row>
    <row r="1731" spans="1:2">
      <c r="A1731" s="86">
        <v>300057</v>
      </c>
      <c r="B1731" s="105" t="s">
        <v>3367</v>
      </c>
    </row>
    <row r="1732" spans="1:2">
      <c r="A1732" s="86">
        <v>300058</v>
      </c>
      <c r="B1732" s="105" t="s">
        <v>3368</v>
      </c>
    </row>
    <row r="1733" spans="1:2">
      <c r="A1733" s="86">
        <v>300059</v>
      </c>
      <c r="B1733" s="105" t="s">
        <v>3369</v>
      </c>
    </row>
    <row r="1734" spans="1:2">
      <c r="A1734" s="86">
        <v>300060</v>
      </c>
      <c r="B1734" s="105" t="s">
        <v>3370</v>
      </c>
    </row>
    <row r="1735" spans="1:2">
      <c r="A1735" s="86">
        <v>300061</v>
      </c>
      <c r="B1735" s="105" t="s">
        <v>3371</v>
      </c>
    </row>
    <row r="1736" spans="1:2">
      <c r="A1736" s="86"/>
    </row>
    <row r="1737" spans="1:2">
      <c r="A1737" s="86"/>
      <c r="B1737" s="96" t="s">
        <v>3230</v>
      </c>
    </row>
    <row r="1738" spans="1:2">
      <c r="A1738" s="86">
        <v>330001</v>
      </c>
      <c r="B1738" s="105" t="s">
        <v>497</v>
      </c>
    </row>
    <row r="1739" spans="1:2">
      <c r="A1739" s="86">
        <v>330002</v>
      </c>
      <c r="B1739" s="105" t="s">
        <v>498</v>
      </c>
    </row>
    <row r="1740" spans="1:2">
      <c r="A1740" s="86">
        <v>330003</v>
      </c>
      <c r="B1740" s="105" t="s">
        <v>499</v>
      </c>
    </row>
    <row r="1741" spans="1:2">
      <c r="A1741" s="86">
        <v>330004</v>
      </c>
      <c r="B1741" s="105" t="s">
        <v>500</v>
      </c>
    </row>
    <row r="1742" spans="1:2">
      <c r="A1742" s="86">
        <v>330005</v>
      </c>
      <c r="B1742" s="105" t="s">
        <v>3231</v>
      </c>
    </row>
    <row r="1743" spans="1:2">
      <c r="A1743" s="86">
        <v>330006</v>
      </c>
      <c r="B1743" s="105" t="s">
        <v>502</v>
      </c>
    </row>
    <row r="1744" spans="1:2">
      <c r="A1744" s="86">
        <v>330007</v>
      </c>
      <c r="B1744" s="105" t="s">
        <v>503</v>
      </c>
    </row>
    <row r="1745" spans="1:2">
      <c r="A1745" s="86">
        <v>330008</v>
      </c>
      <c r="B1745" s="105" t="s">
        <v>951</v>
      </c>
    </row>
    <row r="1746" spans="1:2">
      <c r="A1746" s="86">
        <v>330009</v>
      </c>
      <c r="B1746" s="105" t="s">
        <v>505</v>
      </c>
    </row>
    <row r="1747" spans="1:2">
      <c r="A1747" s="86">
        <v>330010</v>
      </c>
      <c r="B1747" s="105" t="s">
        <v>3232</v>
      </c>
    </row>
    <row r="1748" spans="1:2">
      <c r="A1748" s="86">
        <v>330011</v>
      </c>
      <c r="B1748" s="105" t="s">
        <v>506</v>
      </c>
    </row>
    <row r="1749" spans="1:2">
      <c r="A1749" s="86">
        <v>330012</v>
      </c>
      <c r="B1749" s="105" t="s">
        <v>507</v>
      </c>
    </row>
    <row r="1750" spans="1:2">
      <c r="A1750" s="86">
        <v>330013</v>
      </c>
      <c r="B1750" s="105" t="s">
        <v>508</v>
      </c>
    </row>
    <row r="1751" spans="1:2">
      <c r="A1751" s="86">
        <v>330014</v>
      </c>
      <c r="B1751" s="105" t="s">
        <v>509</v>
      </c>
    </row>
    <row r="1752" spans="1:2">
      <c r="A1752" s="86">
        <v>330015</v>
      </c>
      <c r="B1752" s="105" t="s">
        <v>510</v>
      </c>
    </row>
    <row r="1753" spans="1:2">
      <c r="A1753" s="86">
        <v>330016</v>
      </c>
      <c r="B1753" s="105" t="s">
        <v>511</v>
      </c>
    </row>
    <row r="1754" spans="1:2">
      <c r="A1754" s="86">
        <v>330017</v>
      </c>
      <c r="B1754" s="105" t="s">
        <v>512</v>
      </c>
    </row>
    <row r="1755" spans="1:2">
      <c r="A1755" s="86">
        <v>330018</v>
      </c>
      <c r="B1755" s="105" t="s">
        <v>513</v>
      </c>
    </row>
    <row r="1756" spans="1:2">
      <c r="A1756" s="86">
        <v>330019</v>
      </c>
      <c r="B1756" s="105" t="s">
        <v>514</v>
      </c>
    </row>
    <row r="1757" spans="1:2">
      <c r="A1757" s="86">
        <v>330020</v>
      </c>
      <c r="B1757" s="105" t="s">
        <v>3233</v>
      </c>
    </row>
    <row r="1758" spans="1:2">
      <c r="A1758" s="86">
        <v>330021</v>
      </c>
      <c r="B1758" s="105" t="s">
        <v>516</v>
      </c>
    </row>
    <row r="1759" spans="1:2">
      <c r="A1759" s="86">
        <v>330022</v>
      </c>
      <c r="B1759" s="105" t="s">
        <v>517</v>
      </c>
    </row>
    <row r="1760" spans="1:2">
      <c r="A1760" s="86">
        <v>330023</v>
      </c>
      <c r="B1760" s="105" t="s">
        <v>1181</v>
      </c>
    </row>
    <row r="1761" spans="1:2">
      <c r="A1761" s="86">
        <v>330024</v>
      </c>
      <c r="B1761" s="105" t="s">
        <v>952</v>
      </c>
    </row>
    <row r="1762" spans="1:2">
      <c r="A1762" s="86">
        <v>330025</v>
      </c>
      <c r="B1762" s="105" t="s">
        <v>518</v>
      </c>
    </row>
    <row r="1763" spans="1:2">
      <c r="A1763" s="86">
        <v>330026</v>
      </c>
      <c r="B1763" s="97" t="s">
        <v>953</v>
      </c>
    </row>
    <row r="1764" spans="1:2">
      <c r="A1764" s="86">
        <v>330027</v>
      </c>
      <c r="B1764" s="105" t="s">
        <v>3234</v>
      </c>
    </row>
    <row r="1765" spans="1:2">
      <c r="A1765" s="86">
        <v>330028</v>
      </c>
      <c r="B1765" s="105" t="s">
        <v>3235</v>
      </c>
    </row>
    <row r="1766" spans="1:2">
      <c r="A1766" s="86">
        <v>330029</v>
      </c>
      <c r="B1766" s="105" t="s">
        <v>3236</v>
      </c>
    </row>
    <row r="1767" spans="1:2">
      <c r="B1767" s="96" t="s">
        <v>3237</v>
      </c>
    </row>
    <row r="1768" spans="1:2">
      <c r="A1768" s="85">
        <v>340001</v>
      </c>
      <c r="B1768" s="105" t="s">
        <v>1182</v>
      </c>
    </row>
    <row r="1769" spans="1:2">
      <c r="A1769" s="85">
        <v>340002</v>
      </c>
      <c r="B1769" s="105" t="s">
        <v>954</v>
      </c>
    </row>
    <row r="1770" spans="1:2">
      <c r="A1770" s="85">
        <v>340003</v>
      </c>
      <c r="B1770" s="105" t="s">
        <v>3238</v>
      </c>
    </row>
    <row r="1771" spans="1:2">
      <c r="A1771" s="85">
        <v>340004</v>
      </c>
      <c r="B1771" s="105" t="s">
        <v>955</v>
      </c>
    </row>
    <row r="1772" spans="1:2">
      <c r="A1772" s="85">
        <v>340005</v>
      </c>
      <c r="B1772" s="105" t="s">
        <v>1183</v>
      </c>
    </row>
    <row r="1773" spans="1:2">
      <c r="A1773" s="85">
        <v>340006</v>
      </c>
      <c r="B1773" s="105" t="s">
        <v>956</v>
      </c>
    </row>
    <row r="1774" spans="1:2">
      <c r="A1774" s="85">
        <v>340007</v>
      </c>
      <c r="B1774" s="105" t="s">
        <v>520</v>
      </c>
    </row>
    <row r="1775" spans="1:2">
      <c r="A1775" s="85">
        <v>340008</v>
      </c>
      <c r="B1775" s="105" t="s">
        <v>957</v>
      </c>
    </row>
    <row r="1776" spans="1:2">
      <c r="A1776" s="85">
        <v>340009</v>
      </c>
      <c r="B1776" s="105" t="s">
        <v>958</v>
      </c>
    </row>
    <row r="1777" spans="1:2">
      <c r="A1777" s="85">
        <v>340010</v>
      </c>
      <c r="B1777" s="105" t="s">
        <v>1184</v>
      </c>
    </row>
    <row r="1778" spans="1:2">
      <c r="A1778" s="85">
        <v>340011</v>
      </c>
      <c r="B1778" s="105" t="s">
        <v>959</v>
      </c>
    </row>
    <row r="1779" spans="1:2">
      <c r="A1779" s="85">
        <v>340012</v>
      </c>
      <c r="B1779" s="105" t="s">
        <v>960</v>
      </c>
    </row>
    <row r="1780" spans="1:2">
      <c r="A1780" s="85">
        <v>340013</v>
      </c>
      <c r="B1780" s="105" t="s">
        <v>961</v>
      </c>
    </row>
    <row r="1781" spans="1:2">
      <c r="A1781" s="85">
        <v>340014</v>
      </c>
      <c r="B1781" s="105" t="s">
        <v>962</v>
      </c>
    </row>
    <row r="1782" spans="1:2">
      <c r="A1782" s="85">
        <v>340015</v>
      </c>
      <c r="B1782" s="105" t="s">
        <v>1185</v>
      </c>
    </row>
    <row r="1783" spans="1:2">
      <c r="A1783" s="85">
        <v>340016</v>
      </c>
      <c r="B1783" s="105" t="s">
        <v>963</v>
      </c>
    </row>
    <row r="1784" spans="1:2">
      <c r="A1784" s="85">
        <v>340017</v>
      </c>
      <c r="B1784" s="105" t="s">
        <v>964</v>
      </c>
    </row>
    <row r="1785" spans="1:2">
      <c r="A1785" s="85">
        <v>340018</v>
      </c>
      <c r="B1785" s="105" t="s">
        <v>1186</v>
      </c>
    </row>
    <row r="1786" spans="1:2">
      <c r="A1786" s="85">
        <v>340019</v>
      </c>
      <c r="B1786" s="105" t="s">
        <v>965</v>
      </c>
    </row>
    <row r="1787" spans="1:2">
      <c r="A1787" s="85">
        <v>340020</v>
      </c>
      <c r="B1787" s="105" t="s">
        <v>966</v>
      </c>
    </row>
    <row r="1788" spans="1:2">
      <c r="A1788" s="85">
        <v>340021</v>
      </c>
      <c r="B1788" s="105" t="s">
        <v>967</v>
      </c>
    </row>
    <row r="1789" spans="1:2">
      <c r="A1789" s="85">
        <v>340022</v>
      </c>
      <c r="B1789" s="105" t="s">
        <v>968</v>
      </c>
    </row>
    <row r="1790" spans="1:2">
      <c r="A1790" s="85">
        <v>340023</v>
      </c>
      <c r="B1790" s="105" t="s">
        <v>1187</v>
      </c>
    </row>
    <row r="1791" spans="1:2">
      <c r="A1791" s="85">
        <v>340024</v>
      </c>
      <c r="B1791" s="105" t="s">
        <v>3239</v>
      </c>
    </row>
    <row r="1792" spans="1:2">
      <c r="A1792" s="85">
        <v>340025</v>
      </c>
      <c r="B1792" s="105" t="s">
        <v>3240</v>
      </c>
    </row>
    <row r="1793" spans="1:2">
      <c r="A1793" s="85">
        <v>340026</v>
      </c>
      <c r="B1793" s="105" t="s">
        <v>3241</v>
      </c>
    </row>
    <row r="1794" spans="1:2">
      <c r="A1794" s="85">
        <v>340027</v>
      </c>
      <c r="B1794" s="105" t="s">
        <v>3242</v>
      </c>
    </row>
    <row r="1795" spans="1:2">
      <c r="A1795" s="85">
        <v>340028</v>
      </c>
      <c r="B1795" s="105" t="s">
        <v>3372</v>
      </c>
    </row>
    <row r="1796" spans="1:2">
      <c r="A1796" s="85">
        <v>340029</v>
      </c>
      <c r="B1796" s="105" t="s">
        <v>3243</v>
      </c>
    </row>
    <row r="1797" spans="1:2">
      <c r="A1797" s="85">
        <v>340030</v>
      </c>
      <c r="B1797" s="105" t="s">
        <v>3244</v>
      </c>
    </row>
    <row r="1798" spans="1:2">
      <c r="A1798" s="85">
        <v>340031</v>
      </c>
      <c r="B1798" s="105" t="s">
        <v>3245</v>
      </c>
    </row>
    <row r="1799" spans="1:2">
      <c r="A1799" s="85">
        <v>340032</v>
      </c>
      <c r="B1799" s="105" t="s">
        <v>3373</v>
      </c>
    </row>
    <row r="1800" spans="1:2">
      <c r="A1800" s="85">
        <v>340033</v>
      </c>
      <c r="B1800" s="105" t="s">
        <v>3374</v>
      </c>
    </row>
    <row r="1801" spans="1:2">
      <c r="A1801" s="85">
        <v>340034</v>
      </c>
      <c r="B1801" s="105" t="s">
        <v>3375</v>
      </c>
    </row>
    <row r="1802" spans="1:2">
      <c r="A1802" s="85">
        <v>340035</v>
      </c>
      <c r="B1802" s="105" t="s">
        <v>3376</v>
      </c>
    </row>
    <row r="1803" spans="1:2">
      <c r="A1803" s="85">
        <v>340036</v>
      </c>
      <c r="B1803" s="105" t="s">
        <v>3246</v>
      </c>
    </row>
    <row r="1804" spans="1:2">
      <c r="A1804" s="85">
        <v>340037</v>
      </c>
      <c r="B1804" s="105" t="s">
        <v>3247</v>
      </c>
    </row>
    <row r="1805" spans="1:2">
      <c r="A1805" s="85">
        <v>340038</v>
      </c>
      <c r="B1805" s="105" t="s">
        <v>3248</v>
      </c>
    </row>
    <row r="1806" spans="1:2">
      <c r="A1806" s="85">
        <v>340039</v>
      </c>
      <c r="B1806" s="105" t="s">
        <v>3249</v>
      </c>
    </row>
    <row r="1807" spans="1:2">
      <c r="A1807" s="90">
        <v>340040</v>
      </c>
      <c r="B1807" s="105" t="s">
        <v>3377</v>
      </c>
    </row>
    <row r="1808" spans="1:2">
      <c r="A1808" s="90">
        <v>340041</v>
      </c>
      <c r="B1808" s="105" t="s">
        <v>3378</v>
      </c>
    </row>
    <row r="1809" spans="1:2">
      <c r="A1809" s="85"/>
    </row>
    <row r="1810" spans="1:2">
      <c r="A1810" s="85">
        <v>340201</v>
      </c>
      <c r="B1810" s="105" t="s">
        <v>969</v>
      </c>
    </row>
    <row r="1811" spans="1:2">
      <c r="A1811" s="85">
        <v>340202</v>
      </c>
      <c r="B1811" s="105" t="s">
        <v>970</v>
      </c>
    </row>
    <row r="1812" spans="1:2">
      <c r="A1812" s="85">
        <v>340203</v>
      </c>
      <c r="B1812" s="105" t="s">
        <v>971</v>
      </c>
    </row>
    <row r="1813" spans="1:2">
      <c r="A1813" s="85">
        <v>340204</v>
      </c>
      <c r="B1813" s="105" t="s">
        <v>972</v>
      </c>
    </row>
    <row r="1814" spans="1:2">
      <c r="A1814" s="85">
        <v>340205</v>
      </c>
      <c r="B1814" s="105" t="s">
        <v>973</v>
      </c>
    </row>
    <row r="1815" spans="1:2">
      <c r="A1815" s="85">
        <v>340206</v>
      </c>
      <c r="B1815" s="105" t="s">
        <v>974</v>
      </c>
    </row>
    <row r="1816" spans="1:2">
      <c r="A1816" s="85">
        <v>340207</v>
      </c>
      <c r="B1816" s="105" t="s">
        <v>975</v>
      </c>
    </row>
    <row r="1817" spans="1:2">
      <c r="A1817" s="85">
        <v>340208</v>
      </c>
      <c r="B1817" s="105" t="s">
        <v>976</v>
      </c>
    </row>
    <row r="1818" spans="1:2">
      <c r="A1818" s="85">
        <v>340209</v>
      </c>
      <c r="B1818" s="105" t="s">
        <v>3250</v>
      </c>
    </row>
    <row r="1819" spans="1:2">
      <c r="A1819" s="85">
        <v>340210</v>
      </c>
      <c r="B1819" s="105" t="s">
        <v>977</v>
      </c>
    </row>
    <row r="1820" spans="1:2">
      <c r="A1820" s="85">
        <v>340211</v>
      </c>
      <c r="B1820" s="105" t="s">
        <v>978</v>
      </c>
    </row>
    <row r="1821" spans="1:2">
      <c r="A1821" s="85">
        <v>340212</v>
      </c>
      <c r="B1821" s="105" t="s">
        <v>979</v>
      </c>
    </row>
    <row r="1822" spans="1:2">
      <c r="A1822" s="85">
        <v>340213</v>
      </c>
      <c r="B1822" s="105" t="s">
        <v>3251</v>
      </c>
    </row>
    <row r="1823" spans="1:2">
      <c r="A1823" s="85">
        <v>340214</v>
      </c>
      <c r="B1823" s="105" t="s">
        <v>980</v>
      </c>
    </row>
    <row r="1824" spans="1:2">
      <c r="A1824" s="85">
        <v>340215</v>
      </c>
      <c r="B1824" s="105" t="s">
        <v>981</v>
      </c>
    </row>
    <row r="1825" spans="1:2">
      <c r="A1825" s="85">
        <v>340216</v>
      </c>
      <c r="B1825" s="105" t="s">
        <v>982</v>
      </c>
    </row>
    <row r="1826" spans="1:2">
      <c r="A1826" s="85">
        <v>340217</v>
      </c>
      <c r="B1826" s="105" t="s">
        <v>983</v>
      </c>
    </row>
    <row r="1827" spans="1:2">
      <c r="A1827" s="85">
        <v>340218</v>
      </c>
      <c r="B1827" s="105" t="s">
        <v>984</v>
      </c>
    </row>
    <row r="1828" spans="1:2">
      <c r="A1828" s="85">
        <v>340219</v>
      </c>
      <c r="B1828" s="105" t="s">
        <v>985</v>
      </c>
    </row>
    <row r="1829" spans="1:2">
      <c r="A1829" s="85">
        <v>340220</v>
      </c>
      <c r="B1829" s="105" t="s">
        <v>3252</v>
      </c>
    </row>
    <row r="1830" spans="1:2">
      <c r="A1830" s="85">
        <v>340221</v>
      </c>
      <c r="B1830" s="105" t="s">
        <v>986</v>
      </c>
    </row>
    <row r="1831" spans="1:2">
      <c r="A1831" s="85">
        <v>340222</v>
      </c>
      <c r="B1831" s="105" t="s">
        <v>987</v>
      </c>
    </row>
    <row r="1832" spans="1:2">
      <c r="A1832" s="85">
        <v>340223</v>
      </c>
      <c r="B1832" s="105" t="s">
        <v>988</v>
      </c>
    </row>
    <row r="1833" spans="1:2">
      <c r="A1833" s="85">
        <v>340224</v>
      </c>
      <c r="B1833" s="105" t="s">
        <v>989</v>
      </c>
    </row>
    <row r="1834" spans="1:2">
      <c r="A1834" s="85">
        <v>340225</v>
      </c>
      <c r="B1834" s="105" t="s">
        <v>990</v>
      </c>
    </row>
    <row r="1835" spans="1:2">
      <c r="A1835" s="85"/>
      <c r="B1835" s="96" t="s">
        <v>3253</v>
      </c>
    </row>
    <row r="1836" spans="1:2">
      <c r="A1836" s="86">
        <v>350001</v>
      </c>
      <c r="B1836" s="105" t="s">
        <v>3254</v>
      </c>
    </row>
    <row r="1837" spans="1:2">
      <c r="A1837" s="86">
        <v>350002</v>
      </c>
      <c r="B1837" s="105" t="s">
        <v>3255</v>
      </c>
    </row>
    <row r="1838" spans="1:2">
      <c r="A1838" s="86">
        <v>350003</v>
      </c>
      <c r="B1838" s="105" t="s">
        <v>3379</v>
      </c>
    </row>
    <row r="1839" spans="1:2">
      <c r="A1839" s="86">
        <v>350004</v>
      </c>
      <c r="B1839" s="105" t="s">
        <v>3380</v>
      </c>
    </row>
    <row r="1840" spans="1:2">
      <c r="A1840" s="90">
        <v>350005</v>
      </c>
      <c r="B1840" s="105" t="s">
        <v>3381</v>
      </c>
    </row>
    <row r="1841" spans="1:2">
      <c r="A1841" s="85"/>
      <c r="B1841" s="96" t="s">
        <v>3256</v>
      </c>
    </row>
    <row r="1842" spans="1:2">
      <c r="A1842" s="85">
        <v>600001</v>
      </c>
      <c r="B1842" s="105" t="s">
        <v>3257</v>
      </c>
    </row>
    <row r="1843" spans="1:2">
      <c r="A1843" s="85">
        <v>600002</v>
      </c>
      <c r="B1843" s="97" t="s">
        <v>3382</v>
      </c>
    </row>
    <row r="1844" spans="1:2">
      <c r="A1844" s="85">
        <v>600003</v>
      </c>
      <c r="B1844" s="97" t="s">
        <v>3383</v>
      </c>
    </row>
    <row r="1845" spans="1:2">
      <c r="A1845" s="85">
        <v>600004</v>
      </c>
      <c r="B1845" s="97" t="s">
        <v>3258</v>
      </c>
    </row>
    <row r="1846" spans="1:2">
      <c r="A1846" s="85">
        <v>600005</v>
      </c>
      <c r="B1846" s="101" t="s">
        <v>3259</v>
      </c>
    </row>
    <row r="1847" spans="1:2">
      <c r="A1847" s="85">
        <v>600006</v>
      </c>
      <c r="B1847" s="97" t="s">
        <v>3260</v>
      </c>
    </row>
    <row r="1848" spans="1:2">
      <c r="A1848" s="85">
        <v>600007</v>
      </c>
      <c r="B1848" s="97" t="s">
        <v>3261</v>
      </c>
    </row>
    <row r="1849" spans="1:2">
      <c r="A1849" s="85">
        <v>600008</v>
      </c>
      <c r="B1849" s="97" t="s">
        <v>3262</v>
      </c>
    </row>
    <row r="1850" spans="1:2">
      <c r="A1850" s="86"/>
      <c r="B1850" s="101"/>
    </row>
    <row r="1851" spans="1:2">
      <c r="B1851" s="96" t="s">
        <v>3263</v>
      </c>
    </row>
    <row r="1852" spans="1:2">
      <c r="A1852" s="94">
        <v>999997</v>
      </c>
      <c r="B1852" s="108" t="s">
        <v>3384</v>
      </c>
    </row>
    <row r="1853" spans="1:2">
      <c r="A1853" s="94">
        <v>999998</v>
      </c>
      <c r="B1853" s="108" t="s">
        <v>3385</v>
      </c>
    </row>
    <row r="1854" spans="1:2">
      <c r="A1854" s="94">
        <v>999999</v>
      </c>
      <c r="B1854" s="108" t="s">
        <v>3386</v>
      </c>
    </row>
    <row r="1856" spans="1:2">
      <c r="A1856" s="85"/>
      <c r="B1856" s="96" t="s">
        <v>3264</v>
      </c>
    </row>
    <row r="1857" spans="1:2">
      <c r="A1857" s="86">
        <v>1010110</v>
      </c>
      <c r="B1857" s="97" t="s">
        <v>3387</v>
      </c>
    </row>
    <row r="1858" spans="1:2">
      <c r="A1858" s="86">
        <v>1010111</v>
      </c>
      <c r="B1858" s="97" t="s">
        <v>3003</v>
      </c>
    </row>
    <row r="1859" spans="1:2">
      <c r="A1859" s="86">
        <v>1110110</v>
      </c>
      <c r="B1859" s="97" t="s">
        <v>3387</v>
      </c>
    </row>
    <row r="1860" spans="1:2">
      <c r="A1860" s="86">
        <v>1110111</v>
      </c>
      <c r="B1860" s="97" t="s">
        <v>3003</v>
      </c>
    </row>
    <row r="1861" spans="1:2">
      <c r="A1861" s="86">
        <v>1210110</v>
      </c>
      <c r="B1861" s="97" t="s">
        <v>3387</v>
      </c>
    </row>
    <row r="1862" spans="1:2">
      <c r="A1862" s="86">
        <v>1210111</v>
      </c>
      <c r="B1862" s="97" t="s">
        <v>3003</v>
      </c>
    </row>
    <row r="1863" spans="1:2">
      <c r="A1863" s="86">
        <v>1010120</v>
      </c>
      <c r="B1863" s="97" t="s">
        <v>3388</v>
      </c>
    </row>
    <row r="1864" spans="1:2">
      <c r="A1864" s="86">
        <v>1110120</v>
      </c>
      <c r="B1864" s="97" t="s">
        <v>3388</v>
      </c>
    </row>
    <row r="1865" spans="1:2">
      <c r="A1865" s="86">
        <v>1210120</v>
      </c>
      <c r="B1865" s="97" t="s">
        <v>3388</v>
      </c>
    </row>
    <row r="1866" spans="1:2">
      <c r="A1866" s="86">
        <v>1010201</v>
      </c>
      <c r="B1866" s="97" t="s">
        <v>3265</v>
      </c>
    </row>
    <row r="1867" spans="1:2">
      <c r="A1867" s="86">
        <v>1110201</v>
      </c>
      <c r="B1867" s="97" t="s">
        <v>3265</v>
      </c>
    </row>
    <row r="1868" spans="1:2">
      <c r="A1868" s="86">
        <v>1210201</v>
      </c>
      <c r="B1868" s="97" t="s">
        <v>3265</v>
      </c>
    </row>
    <row r="1869" spans="1:2">
      <c r="A1869" s="86">
        <v>1010210</v>
      </c>
      <c r="B1869" s="97" t="s">
        <v>3389</v>
      </c>
    </row>
    <row r="1870" spans="1:2">
      <c r="A1870" s="86">
        <v>1010211</v>
      </c>
      <c r="B1870" s="97" t="s">
        <v>3390</v>
      </c>
    </row>
    <row r="1871" spans="1:2">
      <c r="A1871" s="86">
        <v>1110210</v>
      </c>
      <c r="B1871" s="97" t="s">
        <v>3389</v>
      </c>
    </row>
    <row r="1872" spans="1:2">
      <c r="A1872" s="86">
        <v>1110211</v>
      </c>
      <c r="B1872" s="97" t="s">
        <v>3390</v>
      </c>
    </row>
    <row r="1873" spans="1:2">
      <c r="A1873" s="86">
        <v>1210210</v>
      </c>
      <c r="B1873" s="97" t="s">
        <v>3389</v>
      </c>
    </row>
    <row r="1874" spans="1:2">
      <c r="A1874" s="86">
        <v>1210211</v>
      </c>
      <c r="B1874" s="97" t="s">
        <v>3390</v>
      </c>
    </row>
    <row r="1875" spans="1:2">
      <c r="A1875" s="86">
        <v>1010220</v>
      </c>
      <c r="B1875" s="97" t="s">
        <v>3391</v>
      </c>
    </row>
    <row r="1876" spans="1:2">
      <c r="A1876" s="86">
        <v>1110220</v>
      </c>
      <c r="B1876" s="97" t="s">
        <v>3391</v>
      </c>
    </row>
    <row r="1877" spans="1:2">
      <c r="A1877" s="86">
        <v>1210220</v>
      </c>
      <c r="B1877" s="97" t="s">
        <v>3391</v>
      </c>
    </row>
    <row r="1878" spans="1:2">
      <c r="A1878" s="86">
        <v>1010301</v>
      </c>
      <c r="B1878" s="97" t="s">
        <v>3007</v>
      </c>
    </row>
    <row r="1879" spans="1:2">
      <c r="A1879" s="86">
        <v>1110301</v>
      </c>
      <c r="B1879" s="97" t="s">
        <v>3007</v>
      </c>
    </row>
    <row r="1880" spans="1:2">
      <c r="A1880" s="86">
        <v>1210301</v>
      </c>
      <c r="B1880" s="97" t="s">
        <v>3007</v>
      </c>
    </row>
    <row r="1881" spans="1:2">
      <c r="A1881" s="86">
        <v>1010310</v>
      </c>
      <c r="B1881" s="97" t="s">
        <v>3392</v>
      </c>
    </row>
    <row r="1882" spans="1:2">
      <c r="A1882" s="86">
        <v>1110310</v>
      </c>
      <c r="B1882" s="97" t="s">
        <v>3392</v>
      </c>
    </row>
    <row r="1883" spans="1:2">
      <c r="A1883" s="86">
        <v>1210310</v>
      </c>
      <c r="B1883" s="97" t="s">
        <v>3392</v>
      </c>
    </row>
    <row r="1884" spans="1:2">
      <c r="A1884" s="86">
        <v>1010320</v>
      </c>
      <c r="B1884" s="97" t="s">
        <v>3393</v>
      </c>
    </row>
    <row r="1885" spans="1:2">
      <c r="A1885" s="86">
        <v>1110320</v>
      </c>
      <c r="B1885" s="97" t="s">
        <v>3393</v>
      </c>
    </row>
    <row r="1886" spans="1:2">
      <c r="A1886" s="86">
        <v>1210320</v>
      </c>
      <c r="B1886" s="97" t="s">
        <v>3393</v>
      </c>
    </row>
    <row r="1887" spans="1:2">
      <c r="A1887" s="86">
        <v>1010401</v>
      </c>
      <c r="B1887" s="97" t="s">
        <v>3008</v>
      </c>
    </row>
    <row r="1888" spans="1:2">
      <c r="A1888" s="86">
        <v>1010402</v>
      </c>
      <c r="B1888" s="97" t="s">
        <v>3009</v>
      </c>
    </row>
    <row r="1889" spans="1:2">
      <c r="A1889" s="86">
        <v>1110401</v>
      </c>
      <c r="B1889" s="97" t="s">
        <v>3008</v>
      </c>
    </row>
    <row r="1890" spans="1:2">
      <c r="A1890" s="86">
        <v>1110402</v>
      </c>
      <c r="B1890" s="97" t="s">
        <v>3009</v>
      </c>
    </row>
    <row r="1891" spans="1:2">
      <c r="A1891" s="86">
        <v>1210401</v>
      </c>
      <c r="B1891" s="97" t="s">
        <v>3008</v>
      </c>
    </row>
    <row r="1892" spans="1:2">
      <c r="A1892" s="86">
        <v>1210402</v>
      </c>
      <c r="B1892" s="97" t="s">
        <v>3009</v>
      </c>
    </row>
    <row r="1893" spans="1:2">
      <c r="A1893" s="86">
        <v>1010410</v>
      </c>
      <c r="B1893" s="97" t="s">
        <v>3394</v>
      </c>
    </row>
    <row r="1894" spans="1:2">
      <c r="A1894" s="86">
        <v>1010411</v>
      </c>
      <c r="B1894" s="97" t="s">
        <v>3395</v>
      </c>
    </row>
    <row r="1895" spans="1:2">
      <c r="A1895" s="86">
        <v>1010412</v>
      </c>
      <c r="B1895" s="97" t="s">
        <v>3396</v>
      </c>
    </row>
    <row r="1896" spans="1:2">
      <c r="A1896" s="86">
        <v>1110410</v>
      </c>
      <c r="B1896" s="97" t="s">
        <v>3394</v>
      </c>
    </row>
    <row r="1897" spans="1:2">
      <c r="A1897" s="86">
        <v>1110411</v>
      </c>
      <c r="B1897" s="97" t="s">
        <v>3395</v>
      </c>
    </row>
    <row r="1898" spans="1:2">
      <c r="A1898" s="86">
        <v>1110412</v>
      </c>
      <c r="B1898" s="97" t="s">
        <v>3396</v>
      </c>
    </row>
    <row r="1899" spans="1:2">
      <c r="A1899" s="86">
        <v>1110413</v>
      </c>
      <c r="B1899" s="97" t="s">
        <v>3397</v>
      </c>
    </row>
    <row r="1900" spans="1:2">
      <c r="A1900" s="86">
        <v>1210410</v>
      </c>
      <c r="B1900" s="97" t="s">
        <v>3394</v>
      </c>
    </row>
    <row r="1901" spans="1:2">
      <c r="A1901" s="86">
        <v>1210411</v>
      </c>
      <c r="B1901" s="97" t="s">
        <v>3395</v>
      </c>
    </row>
    <row r="1902" spans="1:2">
      <c r="A1902" s="86">
        <v>1210412</v>
      </c>
      <c r="B1902" s="97" t="s">
        <v>3396</v>
      </c>
    </row>
    <row r="1903" spans="1:2">
      <c r="A1903" s="86">
        <v>1210413</v>
      </c>
      <c r="B1903" s="97" t="s">
        <v>3397</v>
      </c>
    </row>
    <row r="1904" spans="1:2">
      <c r="A1904" s="86">
        <v>1010420</v>
      </c>
      <c r="B1904" s="97" t="s">
        <v>3398</v>
      </c>
    </row>
    <row r="1905" spans="1:2">
      <c r="A1905" s="86">
        <v>1110420</v>
      </c>
      <c r="B1905" s="97" t="s">
        <v>3398</v>
      </c>
    </row>
    <row r="1906" spans="1:2">
      <c r="A1906" s="86">
        <v>1210420</v>
      </c>
      <c r="B1906" s="97" t="s">
        <v>3398</v>
      </c>
    </row>
    <row r="1907" spans="1:2">
      <c r="A1907" s="86">
        <v>1010501</v>
      </c>
      <c r="B1907" s="97" t="s">
        <v>3010</v>
      </c>
    </row>
    <row r="1908" spans="1:2">
      <c r="A1908" s="86">
        <v>1010502</v>
      </c>
      <c r="B1908" s="97" t="s">
        <v>3011</v>
      </c>
    </row>
    <row r="1909" spans="1:2">
      <c r="A1909" s="86">
        <v>1010503</v>
      </c>
      <c r="B1909" s="97" t="s">
        <v>3012</v>
      </c>
    </row>
    <row r="1910" spans="1:2">
      <c r="A1910" s="86">
        <v>1110501</v>
      </c>
      <c r="B1910" s="97" t="s">
        <v>3010</v>
      </c>
    </row>
    <row r="1911" spans="1:2">
      <c r="A1911" s="86">
        <v>1110502</v>
      </c>
      <c r="B1911" s="97" t="s">
        <v>3011</v>
      </c>
    </row>
    <row r="1912" spans="1:2">
      <c r="A1912" s="86">
        <v>1110503</v>
      </c>
      <c r="B1912" s="97" t="s">
        <v>3012</v>
      </c>
    </row>
    <row r="1913" spans="1:2">
      <c r="A1913" s="86">
        <v>1210501</v>
      </c>
      <c r="B1913" s="97" t="s">
        <v>3010</v>
      </c>
    </row>
    <row r="1914" spans="1:2">
      <c r="A1914" s="86">
        <v>1210502</v>
      </c>
      <c r="B1914" s="97" t="s">
        <v>3011</v>
      </c>
    </row>
    <row r="1915" spans="1:2">
      <c r="A1915" s="86">
        <v>1210503</v>
      </c>
      <c r="B1915" s="97" t="s">
        <v>3012</v>
      </c>
    </row>
    <row r="1916" spans="1:2">
      <c r="A1916" s="86">
        <v>1010510</v>
      </c>
      <c r="B1916" s="97" t="s">
        <v>3399</v>
      </c>
    </row>
    <row r="1917" spans="1:2">
      <c r="A1917" s="86">
        <v>1010511</v>
      </c>
      <c r="B1917" s="97" t="s">
        <v>3400</v>
      </c>
    </row>
    <row r="1918" spans="1:2">
      <c r="A1918" s="86">
        <v>1110510</v>
      </c>
      <c r="B1918" s="97" t="s">
        <v>3399</v>
      </c>
    </row>
    <row r="1919" spans="1:2">
      <c r="A1919" s="86">
        <v>1110511</v>
      </c>
      <c r="B1919" s="97" t="s">
        <v>3400</v>
      </c>
    </row>
    <row r="1920" spans="1:2">
      <c r="A1920" s="86">
        <v>1210510</v>
      </c>
      <c r="B1920" s="97" t="s">
        <v>3399</v>
      </c>
    </row>
    <row r="1921" spans="1:2">
      <c r="A1921" s="86">
        <v>1210511</v>
      </c>
      <c r="B1921" s="97" t="s">
        <v>3400</v>
      </c>
    </row>
    <row r="1922" spans="1:2">
      <c r="A1922" s="86">
        <v>1010520</v>
      </c>
      <c r="B1922" s="97" t="s">
        <v>3401</v>
      </c>
    </row>
    <row r="1923" spans="1:2">
      <c r="A1923" s="86">
        <v>1110520</v>
      </c>
      <c r="B1923" s="97" t="s">
        <v>3401</v>
      </c>
    </row>
    <row r="1924" spans="1:2">
      <c r="A1924" s="86">
        <v>1210520</v>
      </c>
      <c r="B1924" s="97" t="s">
        <v>3401</v>
      </c>
    </row>
    <row r="1925" spans="1:2">
      <c r="A1925" s="86">
        <v>1010601</v>
      </c>
      <c r="B1925" s="97" t="s">
        <v>3013</v>
      </c>
    </row>
    <row r="1926" spans="1:2">
      <c r="A1926" s="86">
        <v>1010602</v>
      </c>
      <c r="B1926" s="97" t="s">
        <v>3014</v>
      </c>
    </row>
    <row r="1927" spans="1:2">
      <c r="A1927" s="86">
        <v>1010603</v>
      </c>
      <c r="B1927" s="97" t="s">
        <v>3402</v>
      </c>
    </row>
    <row r="1928" spans="1:2">
      <c r="A1928" s="86">
        <v>1010604</v>
      </c>
      <c r="B1928" s="97" t="s">
        <v>3403</v>
      </c>
    </row>
    <row r="1929" spans="1:2">
      <c r="A1929" s="86">
        <v>1110601</v>
      </c>
      <c r="B1929" s="97" t="s">
        <v>3013</v>
      </c>
    </row>
    <row r="1930" spans="1:2">
      <c r="A1930" s="86">
        <v>1110602</v>
      </c>
      <c r="B1930" s="97" t="s">
        <v>3014</v>
      </c>
    </row>
    <row r="1931" spans="1:2">
      <c r="A1931" s="86">
        <v>1110603</v>
      </c>
      <c r="B1931" s="97" t="s">
        <v>3402</v>
      </c>
    </row>
    <row r="1932" spans="1:2">
      <c r="A1932" s="86">
        <v>1110604</v>
      </c>
      <c r="B1932" s="97" t="s">
        <v>3403</v>
      </c>
    </row>
    <row r="1933" spans="1:2">
      <c r="A1933" s="86">
        <v>1210601</v>
      </c>
      <c r="B1933" s="97" t="s">
        <v>3013</v>
      </c>
    </row>
    <row r="1934" spans="1:2">
      <c r="A1934" s="86">
        <v>1210602</v>
      </c>
      <c r="B1934" s="97" t="s">
        <v>3014</v>
      </c>
    </row>
    <row r="1935" spans="1:2">
      <c r="A1935" s="86">
        <v>1210603</v>
      </c>
      <c r="B1935" s="97" t="s">
        <v>3402</v>
      </c>
    </row>
    <row r="1936" spans="1:2">
      <c r="A1936" s="86">
        <v>1210604</v>
      </c>
      <c r="B1936" s="97" t="s">
        <v>3403</v>
      </c>
    </row>
    <row r="1937" spans="1:2">
      <c r="A1937" s="86">
        <v>1010610</v>
      </c>
      <c r="B1937" s="97" t="s">
        <v>3404</v>
      </c>
    </row>
    <row r="1938" spans="1:2">
      <c r="A1938" s="86">
        <v>1010611</v>
      </c>
      <c r="B1938" s="97" t="s">
        <v>3015</v>
      </c>
    </row>
    <row r="1939" spans="1:2">
      <c r="A1939" s="86">
        <v>1010612</v>
      </c>
      <c r="B1939" s="97" t="s">
        <v>3405</v>
      </c>
    </row>
    <row r="1940" spans="1:2">
      <c r="A1940" s="86">
        <v>1010613</v>
      </c>
      <c r="B1940" s="97" t="s">
        <v>3406</v>
      </c>
    </row>
    <row r="1941" spans="1:2">
      <c r="A1941" s="86">
        <v>1010614</v>
      </c>
      <c r="B1941" s="97" t="s">
        <v>3407</v>
      </c>
    </row>
    <row r="1942" spans="1:2">
      <c r="A1942" s="86">
        <v>1110610</v>
      </c>
      <c r="B1942" s="97" t="s">
        <v>3404</v>
      </c>
    </row>
    <row r="1943" spans="1:2">
      <c r="A1943" s="86">
        <v>1110611</v>
      </c>
      <c r="B1943" s="97" t="s">
        <v>3015</v>
      </c>
    </row>
    <row r="1944" spans="1:2">
      <c r="A1944" s="86">
        <v>1110612</v>
      </c>
      <c r="B1944" s="97" t="s">
        <v>3405</v>
      </c>
    </row>
    <row r="1945" spans="1:2">
      <c r="A1945" s="86">
        <v>1110613</v>
      </c>
      <c r="B1945" s="97" t="s">
        <v>3406</v>
      </c>
    </row>
    <row r="1946" spans="1:2">
      <c r="A1946" s="86">
        <v>1110614</v>
      </c>
      <c r="B1946" s="97" t="s">
        <v>3407</v>
      </c>
    </row>
    <row r="1947" spans="1:2">
      <c r="A1947" s="86">
        <v>1210610</v>
      </c>
      <c r="B1947" s="97" t="s">
        <v>3404</v>
      </c>
    </row>
    <row r="1948" spans="1:2">
      <c r="A1948" s="86">
        <v>1210611</v>
      </c>
      <c r="B1948" s="97" t="s">
        <v>3015</v>
      </c>
    </row>
    <row r="1949" spans="1:2">
      <c r="A1949" s="86">
        <v>1210612</v>
      </c>
      <c r="B1949" s="97" t="s">
        <v>3405</v>
      </c>
    </row>
    <row r="1950" spans="1:2">
      <c r="A1950" s="86">
        <v>1210613</v>
      </c>
      <c r="B1950" s="97" t="s">
        <v>3406</v>
      </c>
    </row>
    <row r="1951" spans="1:2">
      <c r="A1951" s="86">
        <v>1210614</v>
      </c>
      <c r="B1951" s="97" t="s">
        <v>3407</v>
      </c>
    </row>
    <row r="1952" spans="1:2">
      <c r="A1952" s="86">
        <v>1010620</v>
      </c>
      <c r="B1952" s="97" t="s">
        <v>3408</v>
      </c>
    </row>
    <row r="1953" spans="1:2">
      <c r="A1953" s="86">
        <v>1110620</v>
      </c>
      <c r="B1953" s="97" t="s">
        <v>3408</v>
      </c>
    </row>
    <row r="1954" spans="1:2">
      <c r="A1954" s="86">
        <v>1210620</v>
      </c>
      <c r="B1954" s="97" t="s">
        <v>3408</v>
      </c>
    </row>
    <row r="1955" spans="1:2">
      <c r="A1955" s="86">
        <v>1010701</v>
      </c>
      <c r="B1955" s="97" t="s">
        <v>3017</v>
      </c>
    </row>
    <row r="1956" spans="1:2">
      <c r="A1956" s="86">
        <v>1110701</v>
      </c>
      <c r="B1956" s="97" t="s">
        <v>3017</v>
      </c>
    </row>
    <row r="1957" spans="1:2">
      <c r="A1957" s="86">
        <v>1210701</v>
      </c>
      <c r="B1957" s="97" t="s">
        <v>3017</v>
      </c>
    </row>
    <row r="1958" spans="1:2">
      <c r="A1958" s="86">
        <v>1010710</v>
      </c>
      <c r="B1958" s="97" t="s">
        <v>3409</v>
      </c>
    </row>
    <row r="1959" spans="1:2">
      <c r="A1959" s="86">
        <v>1110710</v>
      </c>
      <c r="B1959" s="97" t="s">
        <v>3409</v>
      </c>
    </row>
    <row r="1960" spans="1:2">
      <c r="A1960" s="86">
        <v>1210710</v>
      </c>
      <c r="B1960" s="97" t="s">
        <v>3409</v>
      </c>
    </row>
    <row r="1961" spans="1:2">
      <c r="A1961" s="86">
        <v>1010720</v>
      </c>
      <c r="B1961" s="97" t="s">
        <v>3410</v>
      </c>
    </row>
    <row r="1962" spans="1:2">
      <c r="A1962" s="86">
        <v>1110720</v>
      </c>
      <c r="B1962" s="97" t="s">
        <v>3410</v>
      </c>
    </row>
    <row r="1963" spans="1:2">
      <c r="A1963" s="86">
        <v>1210720</v>
      </c>
      <c r="B1963" s="97" t="s">
        <v>3410</v>
      </c>
    </row>
    <row r="1964" spans="1:2">
      <c r="A1964" s="86">
        <v>1010810</v>
      </c>
      <c r="B1964" s="97" t="s">
        <v>3411</v>
      </c>
    </row>
    <row r="1965" spans="1:2">
      <c r="A1965" s="86">
        <v>1110810</v>
      </c>
      <c r="B1965" s="97" t="s">
        <v>3411</v>
      </c>
    </row>
    <row r="1966" spans="1:2">
      <c r="A1966" s="86">
        <v>1210810</v>
      </c>
      <c r="B1966" s="97" t="s">
        <v>3411</v>
      </c>
    </row>
    <row r="1967" spans="1:2">
      <c r="A1967" s="86">
        <v>1010820</v>
      </c>
      <c r="B1967" s="97" t="s">
        <v>3266</v>
      </c>
    </row>
    <row r="1968" spans="1:2">
      <c r="A1968" s="86">
        <v>1110820</v>
      </c>
      <c r="B1968" s="97" t="s">
        <v>3266</v>
      </c>
    </row>
    <row r="1969" spans="1:2">
      <c r="A1969" s="86">
        <v>1210820</v>
      </c>
      <c r="B1969" s="97" t="s">
        <v>3266</v>
      </c>
    </row>
    <row r="1970" spans="1:2">
      <c r="A1970" s="86">
        <v>1010901</v>
      </c>
      <c r="B1970" s="97" t="s">
        <v>3020</v>
      </c>
    </row>
    <row r="1971" spans="1:2">
      <c r="A1971" s="86">
        <v>1010902</v>
      </c>
      <c r="B1971" s="97" t="s">
        <v>3021</v>
      </c>
    </row>
    <row r="1972" spans="1:2">
      <c r="A1972" s="86">
        <v>1110901</v>
      </c>
      <c r="B1972" s="97" t="s">
        <v>3020</v>
      </c>
    </row>
    <row r="1973" spans="1:2">
      <c r="A1973" s="86">
        <v>1110902</v>
      </c>
      <c r="B1973" s="97" t="s">
        <v>3021</v>
      </c>
    </row>
    <row r="1974" spans="1:2">
      <c r="A1974" s="86">
        <v>1210901</v>
      </c>
      <c r="B1974" s="97" t="s">
        <v>3020</v>
      </c>
    </row>
    <row r="1975" spans="1:2">
      <c r="A1975" s="86">
        <v>1210902</v>
      </c>
      <c r="B1975" s="97" t="s">
        <v>3021</v>
      </c>
    </row>
    <row r="1976" spans="1:2">
      <c r="A1976" s="86">
        <v>1010910</v>
      </c>
      <c r="B1976" s="97" t="s">
        <v>3412</v>
      </c>
    </row>
    <row r="1977" spans="1:2">
      <c r="A1977" s="86">
        <v>1010911</v>
      </c>
      <c r="B1977" s="97" t="s">
        <v>3022</v>
      </c>
    </row>
    <row r="1978" spans="1:2">
      <c r="A1978" s="86">
        <v>1010912</v>
      </c>
      <c r="B1978" s="97" t="s">
        <v>3413</v>
      </c>
    </row>
    <row r="1979" spans="1:2">
      <c r="A1979" s="86">
        <v>1010913</v>
      </c>
      <c r="B1979" s="97" t="s">
        <v>3414</v>
      </c>
    </row>
    <row r="1980" spans="1:2">
      <c r="A1980" s="86">
        <v>1110910</v>
      </c>
      <c r="B1980" s="97" t="s">
        <v>3412</v>
      </c>
    </row>
    <row r="1981" spans="1:2">
      <c r="A1981" s="86">
        <v>1110911</v>
      </c>
      <c r="B1981" s="97" t="s">
        <v>3022</v>
      </c>
    </row>
    <row r="1982" spans="1:2">
      <c r="A1982" s="86">
        <v>1110912</v>
      </c>
      <c r="B1982" s="97" t="s">
        <v>3413</v>
      </c>
    </row>
    <row r="1983" spans="1:2">
      <c r="A1983" s="86">
        <v>1110913</v>
      </c>
      <c r="B1983" s="97" t="s">
        <v>3414</v>
      </c>
    </row>
    <row r="1984" spans="1:2">
      <c r="A1984" s="86">
        <v>1210910</v>
      </c>
      <c r="B1984" s="97" t="s">
        <v>3412</v>
      </c>
    </row>
    <row r="1985" spans="1:2">
      <c r="A1985" s="86">
        <v>1210911</v>
      </c>
      <c r="B1985" s="97" t="s">
        <v>3022</v>
      </c>
    </row>
    <row r="1986" spans="1:2">
      <c r="A1986" s="86">
        <v>1210912</v>
      </c>
      <c r="B1986" s="97" t="s">
        <v>3413</v>
      </c>
    </row>
    <row r="1987" spans="1:2">
      <c r="A1987" s="86">
        <v>1210913</v>
      </c>
      <c r="B1987" s="97" t="s">
        <v>3414</v>
      </c>
    </row>
    <row r="1988" spans="1:2">
      <c r="A1988" s="86">
        <v>1010920</v>
      </c>
      <c r="B1988" s="97" t="s">
        <v>3415</v>
      </c>
    </row>
    <row r="1989" spans="1:2">
      <c r="A1989" s="86">
        <v>1110920</v>
      </c>
      <c r="B1989" s="97" t="s">
        <v>3415</v>
      </c>
    </row>
    <row r="1990" spans="1:2">
      <c r="A1990" s="86">
        <v>1210920</v>
      </c>
      <c r="B1990" s="97" t="s">
        <v>3415</v>
      </c>
    </row>
    <row r="1991" spans="1:2">
      <c r="A1991" s="86">
        <v>1011001</v>
      </c>
      <c r="B1991" s="97" t="s">
        <v>3023</v>
      </c>
    </row>
    <row r="1992" spans="1:2">
      <c r="A1992" s="86">
        <v>1011002</v>
      </c>
      <c r="B1992" s="97" t="s">
        <v>3024</v>
      </c>
    </row>
    <row r="1993" spans="1:2">
      <c r="A1993" s="86">
        <v>1111001</v>
      </c>
      <c r="B1993" s="97" t="s">
        <v>3023</v>
      </c>
    </row>
    <row r="1994" spans="1:2">
      <c r="A1994" s="86">
        <v>1111002</v>
      </c>
      <c r="B1994" s="97" t="s">
        <v>3024</v>
      </c>
    </row>
    <row r="1995" spans="1:2">
      <c r="A1995" s="86">
        <v>1211001</v>
      </c>
      <c r="B1995" s="97" t="s">
        <v>3023</v>
      </c>
    </row>
    <row r="1996" spans="1:2">
      <c r="A1996" s="86">
        <v>1211002</v>
      </c>
      <c r="B1996" s="97" t="s">
        <v>3024</v>
      </c>
    </row>
    <row r="1997" spans="1:2">
      <c r="A1997" s="86">
        <v>1011010</v>
      </c>
      <c r="B1997" s="97" t="s">
        <v>3416</v>
      </c>
    </row>
    <row r="1998" spans="1:2">
      <c r="A1998" s="86">
        <v>1111010</v>
      </c>
      <c r="B1998" s="97" t="s">
        <v>3416</v>
      </c>
    </row>
    <row r="1999" spans="1:2">
      <c r="A1999" s="86">
        <v>1211010</v>
      </c>
      <c r="B1999" s="97" t="s">
        <v>3416</v>
      </c>
    </row>
    <row r="2000" spans="1:2">
      <c r="A2000" s="86">
        <v>1011020</v>
      </c>
      <c r="B2000" s="97" t="s">
        <v>3417</v>
      </c>
    </row>
    <row r="2001" spans="1:2">
      <c r="A2001" s="86">
        <v>1111020</v>
      </c>
      <c r="B2001" s="97" t="s">
        <v>3417</v>
      </c>
    </row>
    <row r="2002" spans="1:2">
      <c r="A2002" s="86">
        <v>1211020</v>
      </c>
      <c r="B2002" s="97" t="s">
        <v>3417</v>
      </c>
    </row>
    <row r="2003" spans="1:2">
      <c r="A2003" s="86">
        <v>1011101</v>
      </c>
      <c r="B2003" s="97" t="s">
        <v>3025</v>
      </c>
    </row>
    <row r="2004" spans="1:2">
      <c r="A2004" s="86">
        <v>1111101</v>
      </c>
      <c r="B2004" s="97" t="s">
        <v>3025</v>
      </c>
    </row>
    <row r="2005" spans="1:2">
      <c r="A2005" s="86">
        <v>1211101</v>
      </c>
      <c r="B2005" s="97" t="s">
        <v>3025</v>
      </c>
    </row>
    <row r="2006" spans="1:2">
      <c r="A2006" s="86">
        <v>1011110</v>
      </c>
      <c r="B2006" s="97" t="s">
        <v>3418</v>
      </c>
    </row>
    <row r="2007" spans="1:2">
      <c r="A2007" s="86">
        <v>1011111</v>
      </c>
      <c r="B2007" s="97" t="s">
        <v>3026</v>
      </c>
    </row>
    <row r="2008" spans="1:2">
      <c r="A2008" s="86">
        <v>1111110</v>
      </c>
      <c r="B2008" s="97" t="s">
        <v>3418</v>
      </c>
    </row>
    <row r="2009" spans="1:2">
      <c r="A2009" s="86">
        <v>1111111</v>
      </c>
      <c r="B2009" s="97" t="s">
        <v>3026</v>
      </c>
    </row>
    <row r="2010" spans="1:2">
      <c r="A2010" s="86">
        <v>1211110</v>
      </c>
      <c r="B2010" s="97" t="s">
        <v>3418</v>
      </c>
    </row>
    <row r="2011" spans="1:2">
      <c r="A2011" s="86">
        <v>1211111</v>
      </c>
      <c r="B2011" s="97" t="s">
        <v>3026</v>
      </c>
    </row>
    <row r="2012" spans="1:2">
      <c r="A2012" s="86">
        <v>1011120</v>
      </c>
      <c r="B2012" s="97" t="s">
        <v>3419</v>
      </c>
    </row>
    <row r="2013" spans="1:2">
      <c r="A2013" s="86">
        <v>1111120</v>
      </c>
      <c r="B2013" s="97" t="s">
        <v>3419</v>
      </c>
    </row>
    <row r="2014" spans="1:2">
      <c r="A2014" s="86">
        <v>1211120</v>
      </c>
      <c r="B2014" s="97" t="s">
        <v>3419</v>
      </c>
    </row>
    <row r="2015" spans="1:2">
      <c r="A2015" s="86">
        <v>1011210</v>
      </c>
      <c r="B2015" s="97" t="s">
        <v>3420</v>
      </c>
    </row>
    <row r="2016" spans="1:2">
      <c r="A2016" s="86">
        <v>1011211</v>
      </c>
      <c r="B2016" s="97" t="s">
        <v>3028</v>
      </c>
    </row>
    <row r="2017" spans="1:2">
      <c r="A2017" s="86">
        <v>1111210</v>
      </c>
      <c r="B2017" s="97" t="s">
        <v>3420</v>
      </c>
    </row>
    <row r="2018" spans="1:2">
      <c r="A2018" s="86">
        <v>1111211</v>
      </c>
      <c r="B2018" s="97" t="s">
        <v>3028</v>
      </c>
    </row>
    <row r="2019" spans="1:2">
      <c r="A2019" s="86">
        <v>1211210</v>
      </c>
      <c r="B2019" s="97" t="s">
        <v>3420</v>
      </c>
    </row>
    <row r="2020" spans="1:2">
      <c r="A2020" s="86">
        <v>1211211</v>
      </c>
      <c r="B2020" s="97" t="s">
        <v>3028</v>
      </c>
    </row>
    <row r="2021" spans="1:2">
      <c r="A2021" s="86">
        <v>1011220</v>
      </c>
      <c r="B2021" s="97" t="s">
        <v>3421</v>
      </c>
    </row>
    <row r="2022" spans="1:2">
      <c r="A2022" s="86">
        <v>1111220</v>
      </c>
      <c r="B2022" s="97" t="s">
        <v>3421</v>
      </c>
    </row>
    <row r="2023" spans="1:2">
      <c r="A2023" s="86">
        <v>1211220</v>
      </c>
      <c r="B2023" s="97" t="s">
        <v>3421</v>
      </c>
    </row>
    <row r="2024" spans="1:2">
      <c r="A2024" s="86">
        <v>1011301</v>
      </c>
      <c r="B2024" s="97" t="s">
        <v>3029</v>
      </c>
    </row>
    <row r="2025" spans="1:2">
      <c r="A2025" s="86">
        <v>1011302</v>
      </c>
      <c r="B2025" s="97" t="s">
        <v>3030</v>
      </c>
    </row>
    <row r="2026" spans="1:2">
      <c r="A2026" s="86">
        <v>1111301</v>
      </c>
      <c r="B2026" s="97" t="s">
        <v>3029</v>
      </c>
    </row>
    <row r="2027" spans="1:2">
      <c r="A2027" s="86">
        <v>1111302</v>
      </c>
      <c r="B2027" s="97" t="s">
        <v>3030</v>
      </c>
    </row>
    <row r="2028" spans="1:2">
      <c r="A2028" s="86">
        <v>1211301</v>
      </c>
      <c r="B2028" s="97" t="s">
        <v>3029</v>
      </c>
    </row>
    <row r="2029" spans="1:2">
      <c r="A2029" s="86">
        <v>1211302</v>
      </c>
      <c r="B2029" s="97" t="s">
        <v>3030</v>
      </c>
    </row>
    <row r="2030" spans="1:2">
      <c r="A2030" s="86">
        <v>1011310</v>
      </c>
      <c r="B2030" s="97" t="s">
        <v>3422</v>
      </c>
    </row>
    <row r="2031" spans="1:2">
      <c r="A2031" s="86">
        <v>1111310</v>
      </c>
      <c r="B2031" s="97" t="s">
        <v>3422</v>
      </c>
    </row>
    <row r="2032" spans="1:2">
      <c r="A2032" s="86">
        <v>1211310</v>
      </c>
      <c r="B2032" s="97" t="s">
        <v>3422</v>
      </c>
    </row>
    <row r="2033" spans="1:2">
      <c r="A2033" s="86">
        <v>1011320</v>
      </c>
      <c r="B2033" s="97" t="s">
        <v>3423</v>
      </c>
    </row>
    <row r="2034" spans="1:2">
      <c r="A2034" s="86">
        <v>1111320</v>
      </c>
      <c r="B2034" s="97" t="s">
        <v>3423</v>
      </c>
    </row>
    <row r="2035" spans="1:2">
      <c r="A2035" s="86">
        <v>1211320</v>
      </c>
      <c r="B2035" s="97" t="s">
        <v>3423</v>
      </c>
    </row>
    <row r="2036" spans="1:2">
      <c r="A2036" s="86">
        <v>1011401</v>
      </c>
      <c r="B2036" s="97" t="s">
        <v>3031</v>
      </c>
    </row>
    <row r="2037" spans="1:2">
      <c r="A2037" s="86">
        <v>1011402</v>
      </c>
      <c r="B2037" s="97" t="s">
        <v>3424</v>
      </c>
    </row>
    <row r="2038" spans="1:2">
      <c r="A2038" s="86">
        <v>1011403</v>
      </c>
      <c r="B2038" s="97" t="s">
        <v>3032</v>
      </c>
    </row>
    <row r="2039" spans="1:2">
      <c r="A2039" s="86">
        <v>1111401</v>
      </c>
      <c r="B2039" s="97" t="s">
        <v>3031</v>
      </c>
    </row>
    <row r="2040" spans="1:2">
      <c r="A2040" s="86">
        <v>1111402</v>
      </c>
      <c r="B2040" s="97" t="s">
        <v>3424</v>
      </c>
    </row>
    <row r="2041" spans="1:2">
      <c r="A2041" s="86">
        <v>1111403</v>
      </c>
      <c r="B2041" s="97" t="s">
        <v>3032</v>
      </c>
    </row>
    <row r="2042" spans="1:2">
      <c r="A2042" s="86">
        <v>1211401</v>
      </c>
      <c r="B2042" s="97" t="s">
        <v>3031</v>
      </c>
    </row>
    <row r="2043" spans="1:2">
      <c r="A2043" s="86">
        <v>1211402</v>
      </c>
      <c r="B2043" s="97" t="s">
        <v>3424</v>
      </c>
    </row>
    <row r="2044" spans="1:2">
      <c r="A2044" s="86">
        <v>1211403</v>
      </c>
      <c r="B2044" s="97" t="s">
        <v>3032</v>
      </c>
    </row>
    <row r="2045" spans="1:2">
      <c r="A2045" s="86">
        <v>1011410</v>
      </c>
      <c r="B2045" s="97" t="s">
        <v>3425</v>
      </c>
    </row>
    <row r="2046" spans="1:2">
      <c r="A2046" s="86">
        <v>1011411</v>
      </c>
      <c r="B2046" s="97" t="s">
        <v>3033</v>
      </c>
    </row>
    <row r="2047" spans="1:2">
      <c r="A2047" s="86">
        <v>1111410</v>
      </c>
      <c r="B2047" s="97" t="s">
        <v>3425</v>
      </c>
    </row>
    <row r="2048" spans="1:2">
      <c r="A2048" s="86">
        <v>1111411</v>
      </c>
      <c r="B2048" s="97" t="s">
        <v>3033</v>
      </c>
    </row>
    <row r="2049" spans="1:2">
      <c r="A2049" s="86">
        <v>1211410</v>
      </c>
      <c r="B2049" s="97" t="s">
        <v>3425</v>
      </c>
    </row>
    <row r="2050" spans="1:2">
      <c r="A2050" s="86">
        <v>1211411</v>
      </c>
      <c r="B2050" s="97" t="s">
        <v>3033</v>
      </c>
    </row>
    <row r="2051" spans="1:2">
      <c r="A2051" s="86">
        <v>1011420</v>
      </c>
      <c r="B2051" s="97" t="s">
        <v>3426</v>
      </c>
    </row>
    <row r="2052" spans="1:2">
      <c r="A2052" s="86">
        <v>1111420</v>
      </c>
      <c r="B2052" s="97" t="s">
        <v>3426</v>
      </c>
    </row>
    <row r="2053" spans="1:2">
      <c r="A2053" s="86">
        <v>1211420</v>
      </c>
      <c r="B2053" s="97" t="s">
        <v>3426</v>
      </c>
    </row>
    <row r="2054" spans="1:2">
      <c r="A2054" s="86">
        <v>1011501</v>
      </c>
      <c r="B2054" s="97" t="s">
        <v>3034</v>
      </c>
    </row>
    <row r="2055" spans="1:2">
      <c r="A2055" s="86">
        <v>1011502</v>
      </c>
      <c r="B2055" s="97" t="s">
        <v>3035</v>
      </c>
    </row>
    <row r="2056" spans="1:2">
      <c r="A2056" s="86">
        <v>1111501</v>
      </c>
      <c r="B2056" s="97" t="s">
        <v>3034</v>
      </c>
    </row>
    <row r="2057" spans="1:2">
      <c r="A2057" s="86">
        <v>1111502</v>
      </c>
      <c r="B2057" s="97" t="s">
        <v>3035</v>
      </c>
    </row>
    <row r="2058" spans="1:2">
      <c r="A2058" s="86">
        <v>1211501</v>
      </c>
      <c r="B2058" s="97" t="s">
        <v>3034</v>
      </c>
    </row>
    <row r="2059" spans="1:2">
      <c r="A2059" s="86">
        <v>1211502</v>
      </c>
      <c r="B2059" s="97" t="s">
        <v>3035</v>
      </c>
    </row>
    <row r="2060" spans="1:2">
      <c r="A2060" s="86">
        <v>1011510</v>
      </c>
      <c r="B2060" s="97" t="s">
        <v>3427</v>
      </c>
    </row>
    <row r="2061" spans="1:2">
      <c r="A2061" s="86">
        <v>1111510</v>
      </c>
      <c r="B2061" s="97" t="s">
        <v>3427</v>
      </c>
    </row>
    <row r="2062" spans="1:2">
      <c r="A2062" s="86">
        <v>1211510</v>
      </c>
      <c r="B2062" s="97" t="s">
        <v>3427</v>
      </c>
    </row>
    <row r="2063" spans="1:2">
      <c r="A2063" s="86">
        <v>1011520</v>
      </c>
      <c r="B2063" s="97" t="s">
        <v>3428</v>
      </c>
    </row>
    <row r="2064" spans="1:2">
      <c r="A2064" s="86">
        <v>1111520</v>
      </c>
      <c r="B2064" s="97" t="s">
        <v>3428</v>
      </c>
    </row>
    <row r="2065" spans="1:2">
      <c r="A2065" s="86">
        <v>1211520</v>
      </c>
      <c r="B2065" s="97" t="s">
        <v>3428</v>
      </c>
    </row>
    <row r="2066" spans="1:2">
      <c r="A2066" s="86">
        <v>1011610</v>
      </c>
      <c r="B2066" s="97" t="s">
        <v>3429</v>
      </c>
    </row>
    <row r="2067" spans="1:2">
      <c r="A2067" s="86">
        <v>1011611</v>
      </c>
      <c r="B2067" s="97" t="s">
        <v>3037</v>
      </c>
    </row>
    <row r="2068" spans="1:2">
      <c r="A2068" s="86">
        <v>1111610</v>
      </c>
      <c r="B2068" s="97" t="s">
        <v>3429</v>
      </c>
    </row>
    <row r="2069" spans="1:2">
      <c r="A2069" s="86">
        <v>1111611</v>
      </c>
      <c r="B2069" s="97" t="s">
        <v>3037</v>
      </c>
    </row>
    <row r="2070" spans="1:2">
      <c r="A2070" s="86">
        <v>1211610</v>
      </c>
      <c r="B2070" s="97" t="s">
        <v>3429</v>
      </c>
    </row>
    <row r="2071" spans="1:2">
      <c r="A2071" s="86">
        <v>1211611</v>
      </c>
      <c r="B2071" s="97" t="s">
        <v>3037</v>
      </c>
    </row>
    <row r="2072" spans="1:2">
      <c r="A2072" s="86">
        <v>1011620</v>
      </c>
      <c r="B2072" s="97" t="s">
        <v>3430</v>
      </c>
    </row>
    <row r="2073" spans="1:2">
      <c r="A2073" s="86">
        <v>1111620</v>
      </c>
      <c r="B2073" s="97" t="s">
        <v>3430</v>
      </c>
    </row>
    <row r="2074" spans="1:2">
      <c r="A2074" s="86">
        <v>1211620</v>
      </c>
      <c r="B2074" s="97" t="s">
        <v>3430</v>
      </c>
    </row>
    <row r="2075" spans="1:2">
      <c r="A2075" s="86">
        <v>1011701</v>
      </c>
      <c r="B2075" s="97" t="s">
        <v>3038</v>
      </c>
    </row>
    <row r="2076" spans="1:2">
      <c r="A2076" s="86">
        <v>1011702</v>
      </c>
      <c r="B2076" s="97" t="s">
        <v>3039</v>
      </c>
    </row>
    <row r="2077" spans="1:2">
      <c r="A2077" s="86">
        <v>1111701</v>
      </c>
      <c r="B2077" s="97" t="s">
        <v>3038</v>
      </c>
    </row>
    <row r="2078" spans="1:2">
      <c r="A2078" s="86">
        <v>1111702</v>
      </c>
      <c r="B2078" s="97" t="s">
        <v>3039</v>
      </c>
    </row>
    <row r="2079" spans="1:2">
      <c r="A2079" s="86">
        <v>1211701</v>
      </c>
      <c r="B2079" s="97" t="s">
        <v>3038</v>
      </c>
    </row>
    <row r="2080" spans="1:2">
      <c r="A2080" s="86">
        <v>1211702</v>
      </c>
      <c r="B2080" s="97" t="s">
        <v>3039</v>
      </c>
    </row>
    <row r="2081" spans="1:2">
      <c r="A2081" s="86">
        <v>1011710</v>
      </c>
      <c r="B2081" s="97" t="s">
        <v>3431</v>
      </c>
    </row>
    <row r="2082" spans="1:2">
      <c r="A2082" s="86">
        <v>1111710</v>
      </c>
      <c r="B2082" s="97" t="s">
        <v>3431</v>
      </c>
    </row>
    <row r="2083" spans="1:2">
      <c r="A2083" s="86">
        <v>1211710</v>
      </c>
      <c r="B2083" s="97" t="s">
        <v>3431</v>
      </c>
    </row>
    <row r="2084" spans="1:2">
      <c r="A2084" s="86">
        <v>1011720</v>
      </c>
      <c r="B2084" s="97" t="s">
        <v>3432</v>
      </c>
    </row>
    <row r="2085" spans="1:2">
      <c r="A2085" s="86">
        <v>1111720</v>
      </c>
      <c r="B2085" s="97" t="s">
        <v>3432</v>
      </c>
    </row>
    <row r="2086" spans="1:2">
      <c r="A2086" s="86">
        <v>1211720</v>
      </c>
      <c r="B2086" s="97" t="s">
        <v>3432</v>
      </c>
    </row>
    <row r="2087" spans="1:2">
      <c r="A2087" s="86">
        <v>1011801</v>
      </c>
      <c r="B2087" s="97" t="s">
        <v>3040</v>
      </c>
    </row>
    <row r="2088" spans="1:2">
      <c r="A2088" s="86">
        <v>1011802</v>
      </c>
      <c r="B2088" s="97" t="s">
        <v>3041</v>
      </c>
    </row>
    <row r="2089" spans="1:2">
      <c r="A2089" s="86">
        <v>1111801</v>
      </c>
      <c r="B2089" s="97" t="s">
        <v>3040</v>
      </c>
    </row>
    <row r="2090" spans="1:2">
      <c r="A2090" s="86">
        <v>1111802</v>
      </c>
      <c r="B2090" s="97" t="s">
        <v>3041</v>
      </c>
    </row>
    <row r="2091" spans="1:2">
      <c r="A2091" s="86">
        <v>1211801</v>
      </c>
      <c r="B2091" s="97" t="s">
        <v>3040</v>
      </c>
    </row>
    <row r="2092" spans="1:2">
      <c r="A2092" s="86">
        <v>1211802</v>
      </c>
      <c r="B2092" s="97" t="s">
        <v>3041</v>
      </c>
    </row>
    <row r="2093" spans="1:2">
      <c r="A2093" s="86">
        <v>1011810</v>
      </c>
      <c r="B2093" s="97" t="s">
        <v>3433</v>
      </c>
    </row>
    <row r="2094" spans="1:2">
      <c r="A2094" s="86">
        <v>1111810</v>
      </c>
      <c r="B2094" s="97" t="s">
        <v>3433</v>
      </c>
    </row>
    <row r="2095" spans="1:2">
      <c r="A2095" s="86">
        <v>1211810</v>
      </c>
      <c r="B2095" s="97" t="s">
        <v>3433</v>
      </c>
    </row>
    <row r="2096" spans="1:2">
      <c r="A2096" s="86">
        <v>1011820</v>
      </c>
      <c r="B2096" s="97" t="s">
        <v>3434</v>
      </c>
    </row>
    <row r="2097" spans="1:2">
      <c r="A2097" s="86">
        <v>1111820</v>
      </c>
      <c r="B2097" s="97" t="s">
        <v>3434</v>
      </c>
    </row>
    <row r="2098" spans="1:2">
      <c r="A2098" s="86">
        <v>1211820</v>
      </c>
      <c r="B2098" s="97" t="s">
        <v>3434</v>
      </c>
    </row>
    <row r="2099" spans="1:2">
      <c r="A2099" s="86">
        <v>1011901</v>
      </c>
      <c r="B2099" s="97" t="s">
        <v>3042</v>
      </c>
    </row>
    <row r="2100" spans="1:2">
      <c r="A2100" s="86">
        <v>1011902</v>
      </c>
      <c r="B2100" s="97" t="s">
        <v>3043</v>
      </c>
    </row>
    <row r="2101" spans="1:2">
      <c r="A2101" s="86">
        <v>1111901</v>
      </c>
      <c r="B2101" s="97" t="s">
        <v>3042</v>
      </c>
    </row>
    <row r="2102" spans="1:2">
      <c r="A2102" s="86">
        <v>1111902</v>
      </c>
      <c r="B2102" s="97" t="s">
        <v>3043</v>
      </c>
    </row>
    <row r="2103" spans="1:2">
      <c r="A2103" s="86">
        <v>1211901</v>
      </c>
      <c r="B2103" s="97" t="s">
        <v>3042</v>
      </c>
    </row>
    <row r="2104" spans="1:2">
      <c r="A2104" s="86">
        <v>1211902</v>
      </c>
      <c r="B2104" s="97" t="s">
        <v>3043</v>
      </c>
    </row>
    <row r="2105" spans="1:2">
      <c r="A2105" s="86">
        <v>1011910</v>
      </c>
      <c r="B2105" s="97" t="s">
        <v>3435</v>
      </c>
    </row>
    <row r="2106" spans="1:2">
      <c r="A2106" s="86">
        <v>1011911</v>
      </c>
      <c r="B2106" s="97" t="s">
        <v>3044</v>
      </c>
    </row>
    <row r="2107" spans="1:2">
      <c r="A2107" s="86">
        <v>1111910</v>
      </c>
      <c r="B2107" s="97" t="s">
        <v>3435</v>
      </c>
    </row>
    <row r="2108" spans="1:2">
      <c r="A2108" s="86">
        <v>1111911</v>
      </c>
      <c r="B2108" s="97" t="s">
        <v>3044</v>
      </c>
    </row>
    <row r="2109" spans="1:2">
      <c r="A2109" s="86">
        <v>1211910</v>
      </c>
      <c r="B2109" s="97" t="s">
        <v>3435</v>
      </c>
    </row>
    <row r="2110" spans="1:2">
      <c r="A2110" s="86">
        <v>1211911</v>
      </c>
      <c r="B2110" s="97" t="s">
        <v>3044</v>
      </c>
    </row>
    <row r="2111" spans="1:2">
      <c r="A2111" s="86">
        <v>1011920</v>
      </c>
      <c r="B2111" s="97" t="s">
        <v>3436</v>
      </c>
    </row>
    <row r="2112" spans="1:2">
      <c r="A2112" s="86">
        <v>1111920</v>
      </c>
      <c r="B2112" s="97" t="s">
        <v>3436</v>
      </c>
    </row>
    <row r="2113" spans="1:2">
      <c r="A2113" s="86">
        <v>1211920</v>
      </c>
      <c r="B2113" s="97" t="s">
        <v>3436</v>
      </c>
    </row>
    <row r="2114" spans="1:2">
      <c r="A2114" s="86">
        <v>1012001</v>
      </c>
      <c r="B2114" s="97" t="s">
        <v>3045</v>
      </c>
    </row>
    <row r="2115" spans="1:2">
      <c r="A2115" s="86">
        <v>1012002</v>
      </c>
      <c r="B2115" s="97" t="s">
        <v>3046</v>
      </c>
    </row>
    <row r="2116" spans="1:2">
      <c r="A2116" s="86">
        <v>1112001</v>
      </c>
      <c r="B2116" s="97" t="s">
        <v>3045</v>
      </c>
    </row>
    <row r="2117" spans="1:2">
      <c r="A2117" s="86">
        <v>1112002</v>
      </c>
      <c r="B2117" s="97" t="s">
        <v>3046</v>
      </c>
    </row>
    <row r="2118" spans="1:2">
      <c r="A2118" s="86">
        <v>1212001</v>
      </c>
      <c r="B2118" s="97" t="s">
        <v>3045</v>
      </c>
    </row>
    <row r="2119" spans="1:2">
      <c r="A2119" s="86">
        <v>1212002</v>
      </c>
      <c r="B2119" s="97" t="s">
        <v>3046</v>
      </c>
    </row>
    <row r="2120" spans="1:2">
      <c r="A2120" s="86">
        <v>1012010</v>
      </c>
      <c r="B2120" s="97" t="s">
        <v>3437</v>
      </c>
    </row>
    <row r="2121" spans="1:2">
      <c r="A2121" s="86">
        <v>1112010</v>
      </c>
      <c r="B2121" s="97" t="s">
        <v>3437</v>
      </c>
    </row>
    <row r="2122" spans="1:2">
      <c r="A2122" s="86">
        <v>1212010</v>
      </c>
      <c r="B2122" s="97" t="s">
        <v>3437</v>
      </c>
    </row>
    <row r="2123" spans="1:2">
      <c r="A2123" s="86">
        <v>1012020</v>
      </c>
      <c r="B2123" s="97" t="s">
        <v>3438</v>
      </c>
    </row>
    <row r="2124" spans="1:2">
      <c r="A2124" s="86">
        <v>1112020</v>
      </c>
      <c r="B2124" s="97" t="s">
        <v>3438</v>
      </c>
    </row>
    <row r="2125" spans="1:2">
      <c r="A2125" s="86">
        <v>1212020</v>
      </c>
      <c r="B2125" s="97" t="s">
        <v>3438</v>
      </c>
    </row>
    <row r="2126" spans="1:2">
      <c r="A2126" s="86">
        <v>1012101</v>
      </c>
      <c r="B2126" s="97" t="s">
        <v>3047</v>
      </c>
    </row>
    <row r="2127" spans="1:2">
      <c r="A2127" s="86">
        <v>1012102</v>
      </c>
      <c r="B2127" s="97" t="s">
        <v>3048</v>
      </c>
    </row>
    <row r="2128" spans="1:2">
      <c r="A2128" s="86">
        <v>1112101</v>
      </c>
      <c r="B2128" s="97" t="s">
        <v>3047</v>
      </c>
    </row>
    <row r="2129" spans="1:2">
      <c r="A2129" s="86">
        <v>1112102</v>
      </c>
      <c r="B2129" s="97" t="s">
        <v>3048</v>
      </c>
    </row>
    <row r="2130" spans="1:2">
      <c r="A2130" s="86">
        <v>1212101</v>
      </c>
      <c r="B2130" s="97" t="s">
        <v>3047</v>
      </c>
    </row>
    <row r="2131" spans="1:2">
      <c r="A2131" s="86">
        <v>1212102</v>
      </c>
      <c r="B2131" s="97" t="s">
        <v>3048</v>
      </c>
    </row>
    <row r="2132" spans="1:2">
      <c r="A2132" s="86">
        <v>1012110</v>
      </c>
      <c r="B2132" s="97" t="s">
        <v>3439</v>
      </c>
    </row>
    <row r="2133" spans="1:2">
      <c r="A2133" s="86">
        <v>1112111</v>
      </c>
      <c r="B2133" s="97" t="s">
        <v>3049</v>
      </c>
    </row>
    <row r="2134" spans="1:2">
      <c r="A2134" s="86">
        <v>1212110</v>
      </c>
      <c r="B2134" s="97" t="s">
        <v>3439</v>
      </c>
    </row>
    <row r="2135" spans="1:2">
      <c r="A2135" s="86">
        <v>1012111</v>
      </c>
      <c r="B2135" s="97" t="s">
        <v>3049</v>
      </c>
    </row>
    <row r="2136" spans="1:2">
      <c r="A2136" s="86">
        <v>1112110</v>
      </c>
      <c r="B2136" s="97" t="s">
        <v>3439</v>
      </c>
    </row>
    <row r="2137" spans="1:2">
      <c r="A2137" s="86">
        <v>1212111</v>
      </c>
      <c r="B2137" s="97" t="s">
        <v>3049</v>
      </c>
    </row>
    <row r="2138" spans="1:2">
      <c r="A2138" s="86">
        <v>1012120</v>
      </c>
      <c r="B2138" s="97" t="s">
        <v>3440</v>
      </c>
    </row>
    <row r="2139" spans="1:2">
      <c r="A2139" s="86">
        <v>1112120</v>
      </c>
      <c r="B2139" s="97" t="s">
        <v>3440</v>
      </c>
    </row>
    <row r="2140" spans="1:2">
      <c r="A2140" s="86">
        <v>1212120</v>
      </c>
      <c r="B2140" s="97" t="s">
        <v>3440</v>
      </c>
    </row>
    <row r="2141" spans="1:2">
      <c r="A2141" s="86">
        <v>1012201</v>
      </c>
      <c r="B2141" s="97" t="s">
        <v>3050</v>
      </c>
    </row>
    <row r="2142" spans="1:2">
      <c r="A2142" s="86">
        <v>1012202</v>
      </c>
      <c r="B2142" s="97" t="s">
        <v>3051</v>
      </c>
    </row>
    <row r="2143" spans="1:2">
      <c r="A2143" s="86">
        <v>1112201</v>
      </c>
      <c r="B2143" s="97" t="s">
        <v>3050</v>
      </c>
    </row>
    <row r="2144" spans="1:2">
      <c r="A2144" s="86">
        <v>1112202</v>
      </c>
      <c r="B2144" s="97" t="s">
        <v>3051</v>
      </c>
    </row>
    <row r="2145" spans="1:2">
      <c r="A2145" s="86">
        <v>1212201</v>
      </c>
      <c r="B2145" s="97" t="s">
        <v>3050</v>
      </c>
    </row>
    <row r="2146" spans="1:2">
      <c r="A2146" s="86">
        <v>1212202</v>
      </c>
      <c r="B2146" s="97" t="s">
        <v>3051</v>
      </c>
    </row>
    <row r="2147" spans="1:2">
      <c r="A2147" s="86">
        <v>1012210</v>
      </c>
      <c r="B2147" s="97" t="s">
        <v>3441</v>
      </c>
    </row>
    <row r="2148" spans="1:2">
      <c r="A2148" s="86">
        <v>1012211</v>
      </c>
      <c r="B2148" s="97" t="s">
        <v>3052</v>
      </c>
    </row>
    <row r="2149" spans="1:2">
      <c r="A2149" s="86">
        <v>1112210</v>
      </c>
      <c r="B2149" s="97" t="s">
        <v>3441</v>
      </c>
    </row>
    <row r="2150" spans="1:2">
      <c r="A2150" s="86">
        <v>1112211</v>
      </c>
      <c r="B2150" s="97" t="s">
        <v>3052</v>
      </c>
    </row>
    <row r="2151" spans="1:2">
      <c r="A2151" s="86">
        <v>1212210</v>
      </c>
      <c r="B2151" s="97" t="s">
        <v>3441</v>
      </c>
    </row>
    <row r="2152" spans="1:2">
      <c r="A2152" s="86">
        <v>1212211</v>
      </c>
      <c r="B2152" s="97" t="s">
        <v>3052</v>
      </c>
    </row>
    <row r="2153" spans="1:2">
      <c r="A2153" s="86">
        <v>1012220</v>
      </c>
      <c r="B2153" s="97" t="s">
        <v>3442</v>
      </c>
    </row>
    <row r="2154" spans="1:2">
      <c r="A2154" s="86">
        <v>1112220</v>
      </c>
      <c r="B2154" s="97" t="s">
        <v>3442</v>
      </c>
    </row>
    <row r="2155" spans="1:2">
      <c r="A2155" s="86">
        <v>1212220</v>
      </c>
      <c r="B2155" s="97" t="s">
        <v>3442</v>
      </c>
    </row>
    <row r="2156" spans="1:2">
      <c r="A2156" s="86">
        <v>1012301</v>
      </c>
      <c r="B2156" s="97" t="s">
        <v>3053</v>
      </c>
    </row>
    <row r="2157" spans="1:2">
      <c r="A2157" s="86">
        <v>1012302</v>
      </c>
      <c r="B2157" s="97" t="s">
        <v>3054</v>
      </c>
    </row>
    <row r="2158" spans="1:2">
      <c r="A2158" s="86">
        <v>1112301</v>
      </c>
      <c r="B2158" s="97" t="s">
        <v>3053</v>
      </c>
    </row>
    <row r="2159" spans="1:2">
      <c r="A2159" s="86">
        <v>1112302</v>
      </c>
      <c r="B2159" s="97" t="s">
        <v>3054</v>
      </c>
    </row>
    <row r="2160" spans="1:2">
      <c r="A2160" s="86">
        <v>1212301</v>
      </c>
      <c r="B2160" s="97" t="s">
        <v>3053</v>
      </c>
    </row>
    <row r="2161" spans="1:2">
      <c r="A2161" s="86">
        <v>1212302</v>
      </c>
      <c r="B2161" s="97" t="s">
        <v>3054</v>
      </c>
    </row>
    <row r="2162" spans="1:2">
      <c r="A2162" s="86">
        <v>1012310</v>
      </c>
      <c r="B2162" s="97" t="s">
        <v>3443</v>
      </c>
    </row>
    <row r="2163" spans="1:2">
      <c r="A2163" s="86">
        <v>1012311</v>
      </c>
      <c r="B2163" s="97" t="s">
        <v>3444</v>
      </c>
    </row>
    <row r="2164" spans="1:2">
      <c r="A2164" s="86">
        <v>1012312</v>
      </c>
      <c r="B2164" s="97" t="s">
        <v>3445</v>
      </c>
    </row>
    <row r="2165" spans="1:2">
      <c r="A2165" s="86">
        <v>1112310</v>
      </c>
      <c r="B2165" s="97" t="s">
        <v>3443</v>
      </c>
    </row>
    <row r="2166" spans="1:2">
      <c r="A2166" s="86">
        <v>1112311</v>
      </c>
      <c r="B2166" s="97" t="s">
        <v>3444</v>
      </c>
    </row>
    <row r="2167" spans="1:2">
      <c r="A2167" s="86">
        <v>1112312</v>
      </c>
      <c r="B2167" s="97" t="s">
        <v>3445</v>
      </c>
    </row>
    <row r="2168" spans="1:2">
      <c r="A2168" s="86">
        <v>1212310</v>
      </c>
      <c r="B2168" s="97" t="s">
        <v>3443</v>
      </c>
    </row>
    <row r="2169" spans="1:2">
      <c r="A2169" s="86">
        <v>1212311</v>
      </c>
      <c r="B2169" s="97" t="s">
        <v>3444</v>
      </c>
    </row>
    <row r="2170" spans="1:2">
      <c r="A2170" s="86">
        <v>1212312</v>
      </c>
      <c r="B2170" s="97" t="s">
        <v>3445</v>
      </c>
    </row>
    <row r="2171" spans="1:2">
      <c r="A2171" s="86">
        <v>1012320</v>
      </c>
      <c r="B2171" s="97" t="s">
        <v>3446</v>
      </c>
    </row>
    <row r="2172" spans="1:2">
      <c r="A2172" s="86">
        <v>1112320</v>
      </c>
      <c r="B2172" s="97" t="s">
        <v>3446</v>
      </c>
    </row>
    <row r="2173" spans="1:2">
      <c r="A2173" s="86">
        <v>1212320</v>
      </c>
      <c r="B2173" s="97" t="s">
        <v>3446</v>
      </c>
    </row>
    <row r="2174" spans="1:2">
      <c r="A2174" s="86">
        <v>1012401</v>
      </c>
      <c r="B2174" s="97" t="s">
        <v>3055</v>
      </c>
    </row>
    <row r="2175" spans="1:2">
      <c r="A2175" s="86">
        <v>1012402</v>
      </c>
      <c r="B2175" s="97" t="s">
        <v>3267</v>
      </c>
    </row>
    <row r="2176" spans="1:2">
      <c r="A2176" s="86">
        <v>1112401</v>
      </c>
      <c r="B2176" s="97" t="s">
        <v>3055</v>
      </c>
    </row>
    <row r="2177" spans="1:2">
      <c r="A2177" s="86">
        <v>1112402</v>
      </c>
      <c r="B2177" s="97" t="s">
        <v>3267</v>
      </c>
    </row>
    <row r="2178" spans="1:2">
      <c r="A2178" s="86">
        <v>1212401</v>
      </c>
      <c r="B2178" s="97" t="s">
        <v>3055</v>
      </c>
    </row>
    <row r="2179" spans="1:2">
      <c r="A2179" s="86">
        <v>1212402</v>
      </c>
      <c r="B2179" s="97" t="s">
        <v>3267</v>
      </c>
    </row>
    <row r="2180" spans="1:2">
      <c r="A2180" s="86">
        <v>1012410</v>
      </c>
      <c r="B2180" s="97" t="s">
        <v>3057</v>
      </c>
    </row>
    <row r="2181" spans="1:2">
      <c r="A2181" s="86">
        <v>1112410</v>
      </c>
      <c r="B2181" s="97" t="s">
        <v>3057</v>
      </c>
    </row>
    <row r="2182" spans="1:2">
      <c r="A2182" s="86">
        <v>1212410</v>
      </c>
      <c r="B2182" s="97" t="s">
        <v>3057</v>
      </c>
    </row>
    <row r="2183" spans="1:2">
      <c r="A2183" s="86">
        <v>1012420</v>
      </c>
      <c r="B2183" s="97" t="s">
        <v>3058</v>
      </c>
    </row>
    <row r="2184" spans="1:2">
      <c r="A2184" s="86">
        <v>1112420</v>
      </c>
      <c r="B2184" s="97" t="s">
        <v>3058</v>
      </c>
    </row>
    <row r="2185" spans="1:2">
      <c r="A2185" s="86">
        <v>1212420</v>
      </c>
      <c r="B2185" s="97" t="s">
        <v>3058</v>
      </c>
    </row>
    <row r="2186" spans="1:2">
      <c r="A2186" s="86">
        <v>1012501</v>
      </c>
      <c r="B2186" s="97" t="s">
        <v>3059</v>
      </c>
    </row>
    <row r="2187" spans="1:2">
      <c r="A2187" s="86">
        <v>1012502</v>
      </c>
      <c r="B2187" s="97" t="s">
        <v>3060</v>
      </c>
    </row>
    <row r="2188" spans="1:2">
      <c r="A2188" s="86">
        <v>1112501</v>
      </c>
      <c r="B2188" s="97" t="s">
        <v>3059</v>
      </c>
    </row>
    <row r="2189" spans="1:2">
      <c r="A2189" s="86">
        <v>1112502</v>
      </c>
      <c r="B2189" s="97" t="s">
        <v>3060</v>
      </c>
    </row>
    <row r="2190" spans="1:2">
      <c r="A2190" s="86">
        <v>1212501</v>
      </c>
      <c r="B2190" s="97" t="s">
        <v>3059</v>
      </c>
    </row>
    <row r="2191" spans="1:2">
      <c r="A2191" s="86">
        <v>1212502</v>
      </c>
      <c r="B2191" s="97" t="s">
        <v>3060</v>
      </c>
    </row>
    <row r="2192" spans="1:2">
      <c r="A2192" s="86">
        <v>1012510</v>
      </c>
      <c r="B2192" s="97" t="s">
        <v>3324</v>
      </c>
    </row>
    <row r="2193" spans="1:2">
      <c r="A2193" s="86">
        <v>1112510</v>
      </c>
      <c r="B2193" s="97" t="s">
        <v>3324</v>
      </c>
    </row>
    <row r="2194" spans="1:2">
      <c r="A2194" s="86">
        <v>1212510</v>
      </c>
      <c r="B2194" s="97" t="s">
        <v>3324</v>
      </c>
    </row>
    <row r="2195" spans="1:2">
      <c r="A2195" s="86">
        <v>1012520</v>
      </c>
      <c r="B2195" s="97" t="s">
        <v>3447</v>
      </c>
    </row>
    <row r="2196" spans="1:2">
      <c r="A2196" s="86">
        <v>1112520</v>
      </c>
      <c r="B2196" s="97" t="s">
        <v>3447</v>
      </c>
    </row>
    <row r="2197" spans="1:2">
      <c r="A2197" s="86">
        <v>1212520</v>
      </c>
      <c r="B2197" s="97" t="s">
        <v>3447</v>
      </c>
    </row>
    <row r="2198" spans="1:2">
      <c r="A2198" s="86">
        <v>1012601</v>
      </c>
      <c r="B2198" s="97" t="s">
        <v>3061</v>
      </c>
    </row>
    <row r="2199" spans="1:2">
      <c r="A2199" s="86">
        <v>1012602</v>
      </c>
      <c r="B2199" s="97" t="s">
        <v>3062</v>
      </c>
    </row>
    <row r="2200" spans="1:2">
      <c r="A2200" s="86">
        <v>1012603</v>
      </c>
      <c r="B2200" s="97" t="s">
        <v>3063</v>
      </c>
    </row>
    <row r="2201" spans="1:2">
      <c r="A2201" s="86">
        <v>1112601</v>
      </c>
      <c r="B2201" s="97" t="s">
        <v>3061</v>
      </c>
    </row>
    <row r="2202" spans="1:2">
      <c r="A2202" s="86">
        <v>1112602</v>
      </c>
      <c r="B2202" s="97" t="s">
        <v>3062</v>
      </c>
    </row>
    <row r="2203" spans="1:2">
      <c r="A2203" s="86">
        <v>1112603</v>
      </c>
      <c r="B2203" s="97" t="s">
        <v>3063</v>
      </c>
    </row>
    <row r="2204" spans="1:2">
      <c r="A2204" s="86">
        <v>1212601</v>
      </c>
      <c r="B2204" s="97" t="s">
        <v>3061</v>
      </c>
    </row>
    <row r="2205" spans="1:2">
      <c r="A2205" s="86">
        <v>1212602</v>
      </c>
      <c r="B2205" s="97" t="s">
        <v>3062</v>
      </c>
    </row>
    <row r="2206" spans="1:2">
      <c r="A2206" s="86">
        <v>1212603</v>
      </c>
      <c r="B2206" s="97" t="s">
        <v>3063</v>
      </c>
    </row>
    <row r="2207" spans="1:2">
      <c r="A2207" s="86">
        <v>1012610</v>
      </c>
      <c r="B2207" s="97" t="s">
        <v>3326</v>
      </c>
    </row>
    <row r="2208" spans="1:2">
      <c r="A2208" s="86">
        <v>1112610</v>
      </c>
      <c r="B2208" s="97" t="s">
        <v>3326</v>
      </c>
    </row>
    <row r="2209" spans="1:2">
      <c r="A2209" s="86">
        <v>1212610</v>
      </c>
      <c r="B2209" s="97" t="s">
        <v>3326</v>
      </c>
    </row>
    <row r="2210" spans="1:2">
      <c r="A2210" s="86">
        <v>1012620</v>
      </c>
      <c r="B2210" s="97" t="s">
        <v>3448</v>
      </c>
    </row>
    <row r="2211" spans="1:2">
      <c r="A2211" s="86">
        <v>1112620</v>
      </c>
      <c r="B2211" s="97" t="s">
        <v>3448</v>
      </c>
    </row>
    <row r="2212" spans="1:2">
      <c r="A2212" s="86">
        <v>1212620</v>
      </c>
      <c r="B2212" s="97" t="s">
        <v>3448</v>
      </c>
    </row>
    <row r="2213" spans="1:2">
      <c r="A2213" s="86">
        <v>1012701</v>
      </c>
      <c r="B2213" s="97" t="s">
        <v>3064</v>
      </c>
    </row>
    <row r="2214" spans="1:2">
      <c r="A2214" s="86">
        <v>1012702</v>
      </c>
      <c r="B2214" s="97" t="s">
        <v>3268</v>
      </c>
    </row>
    <row r="2215" spans="1:2">
      <c r="A2215" s="86">
        <v>1112701</v>
      </c>
      <c r="B2215" s="97" t="s">
        <v>3064</v>
      </c>
    </row>
    <row r="2216" spans="1:2">
      <c r="A2216" s="86">
        <v>1112702</v>
      </c>
      <c r="B2216" s="97" t="s">
        <v>3268</v>
      </c>
    </row>
    <row r="2217" spans="1:2">
      <c r="A2217" s="86">
        <v>1212701</v>
      </c>
      <c r="B2217" s="97" t="s">
        <v>3064</v>
      </c>
    </row>
    <row r="2218" spans="1:2">
      <c r="A2218" s="86">
        <v>1212702</v>
      </c>
      <c r="B2218" s="97" t="s">
        <v>3268</v>
      </c>
    </row>
    <row r="2219" spans="1:2">
      <c r="A2219" s="86">
        <v>1012710</v>
      </c>
      <c r="B2219" s="97" t="s">
        <v>3066</v>
      </c>
    </row>
    <row r="2220" spans="1:2">
      <c r="A2220" s="86">
        <v>1112710</v>
      </c>
      <c r="B2220" s="97" t="s">
        <v>3066</v>
      </c>
    </row>
    <row r="2221" spans="1:2">
      <c r="A2221" s="86">
        <v>1212710</v>
      </c>
      <c r="B2221" s="97" t="s">
        <v>3066</v>
      </c>
    </row>
    <row r="2222" spans="1:2">
      <c r="A2222" s="86">
        <v>1012720</v>
      </c>
      <c r="B2222" s="97" t="s">
        <v>3067</v>
      </c>
    </row>
    <row r="2223" spans="1:2">
      <c r="A2223" s="86">
        <v>1112720</v>
      </c>
      <c r="B2223" s="97" t="s">
        <v>3067</v>
      </c>
    </row>
    <row r="2224" spans="1:2">
      <c r="A2224" s="86">
        <v>1212720</v>
      </c>
      <c r="B2224" s="97" t="s">
        <v>3067</v>
      </c>
    </row>
    <row r="2225" spans="1:2">
      <c r="A2225" s="86">
        <v>1012801</v>
      </c>
      <c r="B2225" s="97" t="s">
        <v>3068</v>
      </c>
    </row>
    <row r="2226" spans="1:2">
      <c r="A2226" s="86">
        <v>1012802</v>
      </c>
      <c r="B2226" s="97" t="s">
        <v>3069</v>
      </c>
    </row>
    <row r="2227" spans="1:2">
      <c r="A2227" s="86">
        <v>1112801</v>
      </c>
      <c r="B2227" s="97" t="s">
        <v>3068</v>
      </c>
    </row>
    <row r="2228" spans="1:2">
      <c r="A2228" s="86">
        <v>1112802</v>
      </c>
      <c r="B2228" s="97" t="s">
        <v>3069</v>
      </c>
    </row>
    <row r="2229" spans="1:2">
      <c r="A2229" s="86">
        <v>1212801</v>
      </c>
      <c r="B2229" s="97" t="s">
        <v>3068</v>
      </c>
    </row>
    <row r="2230" spans="1:2">
      <c r="A2230" s="86">
        <v>1212802</v>
      </c>
      <c r="B2230" s="97" t="s">
        <v>3069</v>
      </c>
    </row>
    <row r="2231" spans="1:2">
      <c r="A2231" s="86">
        <v>1012810</v>
      </c>
      <c r="B2231" s="97" t="s">
        <v>3328</v>
      </c>
    </row>
    <row r="2232" spans="1:2">
      <c r="A2232" s="86">
        <v>1112810</v>
      </c>
      <c r="B2232" s="97" t="s">
        <v>3328</v>
      </c>
    </row>
    <row r="2233" spans="1:2">
      <c r="A2233" s="86">
        <v>1212810</v>
      </c>
      <c r="B2233" s="97" t="s">
        <v>3328</v>
      </c>
    </row>
    <row r="2234" spans="1:2">
      <c r="A2234" s="86">
        <v>1012820</v>
      </c>
      <c r="B2234" s="97" t="s">
        <v>3449</v>
      </c>
    </row>
    <row r="2235" spans="1:2">
      <c r="A2235" s="86">
        <v>1112820</v>
      </c>
      <c r="B2235" s="97" t="s">
        <v>3449</v>
      </c>
    </row>
    <row r="2236" spans="1:2">
      <c r="A2236" s="86">
        <v>1212820</v>
      </c>
      <c r="B2236" s="97" t="s">
        <v>3449</v>
      </c>
    </row>
    <row r="2237" spans="1:2">
      <c r="A2237" s="86">
        <v>1012901</v>
      </c>
      <c r="B2237" s="97" t="s">
        <v>3070</v>
      </c>
    </row>
    <row r="2238" spans="1:2">
      <c r="A2238" s="86">
        <v>1012902</v>
      </c>
      <c r="B2238" s="97" t="s">
        <v>3269</v>
      </c>
    </row>
    <row r="2239" spans="1:2">
      <c r="A2239" s="86">
        <v>1112901</v>
      </c>
      <c r="B2239" s="97" t="s">
        <v>3070</v>
      </c>
    </row>
    <row r="2240" spans="1:2">
      <c r="A2240" s="86">
        <v>1112902</v>
      </c>
      <c r="B2240" s="97" t="s">
        <v>3269</v>
      </c>
    </row>
    <row r="2241" spans="1:2">
      <c r="A2241" s="86">
        <v>1212901</v>
      </c>
      <c r="B2241" s="97" t="s">
        <v>3070</v>
      </c>
    </row>
    <row r="2242" spans="1:2">
      <c r="A2242" s="86">
        <v>1212902</v>
      </c>
      <c r="B2242" s="97" t="s">
        <v>3269</v>
      </c>
    </row>
    <row r="2243" spans="1:2">
      <c r="A2243" s="86">
        <v>1012910</v>
      </c>
      <c r="B2243" s="97" t="s">
        <v>3072</v>
      </c>
    </row>
    <row r="2244" spans="1:2">
      <c r="A2244" s="86">
        <v>1012911</v>
      </c>
      <c r="B2244" s="97" t="s">
        <v>3073</v>
      </c>
    </row>
    <row r="2245" spans="1:2">
      <c r="A2245" s="86">
        <v>1012912</v>
      </c>
      <c r="B2245" s="97" t="s">
        <v>3074</v>
      </c>
    </row>
    <row r="2246" spans="1:2">
      <c r="A2246" s="86">
        <v>1112910</v>
      </c>
      <c r="B2246" s="97" t="s">
        <v>3072</v>
      </c>
    </row>
    <row r="2247" spans="1:2">
      <c r="A2247" s="86">
        <v>1112911</v>
      </c>
      <c r="B2247" s="97" t="s">
        <v>3073</v>
      </c>
    </row>
    <row r="2248" spans="1:2">
      <c r="A2248" s="86">
        <v>1112912</v>
      </c>
      <c r="B2248" s="97" t="s">
        <v>3074</v>
      </c>
    </row>
    <row r="2249" spans="1:2">
      <c r="A2249" s="86">
        <v>1212910</v>
      </c>
      <c r="B2249" s="97" t="s">
        <v>3072</v>
      </c>
    </row>
    <row r="2250" spans="1:2">
      <c r="A2250" s="86">
        <v>1212911</v>
      </c>
      <c r="B2250" s="97" t="s">
        <v>3073</v>
      </c>
    </row>
    <row r="2251" spans="1:2">
      <c r="A2251" s="86">
        <v>1212912</v>
      </c>
      <c r="B2251" s="97" t="s">
        <v>3074</v>
      </c>
    </row>
    <row r="2252" spans="1:2">
      <c r="A2252" s="86">
        <v>1012920</v>
      </c>
      <c r="B2252" s="97" t="s">
        <v>3075</v>
      </c>
    </row>
    <row r="2253" spans="1:2">
      <c r="A2253" s="86">
        <v>1112920</v>
      </c>
      <c r="B2253" s="97" t="s">
        <v>3075</v>
      </c>
    </row>
    <row r="2254" spans="1:2">
      <c r="A2254" s="86">
        <v>1212920</v>
      </c>
      <c r="B2254" s="97" t="s">
        <v>3075</v>
      </c>
    </row>
    <row r="2255" spans="1:2">
      <c r="A2255" s="86">
        <v>1013001</v>
      </c>
      <c r="B2255" s="97" t="s">
        <v>3076</v>
      </c>
    </row>
    <row r="2256" spans="1:2">
      <c r="A2256" s="86">
        <v>1013002</v>
      </c>
      <c r="B2256" s="97" t="s">
        <v>3077</v>
      </c>
    </row>
    <row r="2257" spans="1:2">
      <c r="A2257" s="86">
        <v>1013003</v>
      </c>
      <c r="B2257" s="97" t="s">
        <v>3078</v>
      </c>
    </row>
    <row r="2258" spans="1:2">
      <c r="A2258" s="86">
        <v>1113001</v>
      </c>
      <c r="B2258" s="97" t="s">
        <v>3076</v>
      </c>
    </row>
    <row r="2259" spans="1:2">
      <c r="A2259" s="86">
        <v>1113002</v>
      </c>
      <c r="B2259" s="97" t="s">
        <v>3077</v>
      </c>
    </row>
    <row r="2260" spans="1:2">
      <c r="A2260" s="86">
        <v>1113003</v>
      </c>
      <c r="B2260" s="97" t="s">
        <v>3078</v>
      </c>
    </row>
    <row r="2261" spans="1:2">
      <c r="A2261" s="86">
        <v>1213001</v>
      </c>
      <c r="B2261" s="97" t="s">
        <v>3076</v>
      </c>
    </row>
    <row r="2262" spans="1:2">
      <c r="A2262" s="86">
        <v>1213002</v>
      </c>
      <c r="B2262" s="97" t="s">
        <v>3077</v>
      </c>
    </row>
    <row r="2263" spans="1:2">
      <c r="A2263" s="86">
        <v>1213003</v>
      </c>
      <c r="B2263" s="97" t="s">
        <v>3078</v>
      </c>
    </row>
    <row r="2264" spans="1:2">
      <c r="A2264" s="86">
        <v>1013010</v>
      </c>
      <c r="B2264" s="97" t="s">
        <v>3330</v>
      </c>
    </row>
    <row r="2265" spans="1:2">
      <c r="A2265" s="86">
        <v>1113010</v>
      </c>
      <c r="B2265" s="97" t="s">
        <v>3330</v>
      </c>
    </row>
    <row r="2266" spans="1:2">
      <c r="A2266" s="86">
        <v>1213010</v>
      </c>
      <c r="B2266" s="97" t="s">
        <v>3330</v>
      </c>
    </row>
    <row r="2267" spans="1:2">
      <c r="A2267" s="86">
        <v>1013020</v>
      </c>
      <c r="B2267" s="97" t="s">
        <v>3450</v>
      </c>
    </row>
    <row r="2268" spans="1:2">
      <c r="A2268" s="86">
        <v>1113020</v>
      </c>
      <c r="B2268" s="97" t="s">
        <v>3450</v>
      </c>
    </row>
    <row r="2269" spans="1:2">
      <c r="A2269" s="86">
        <v>1213020</v>
      </c>
      <c r="B2269" s="97" t="s">
        <v>3450</v>
      </c>
    </row>
    <row r="2270" spans="1:2">
      <c r="A2270" s="86">
        <v>1013401</v>
      </c>
      <c r="B2270" s="97" t="s">
        <v>3082</v>
      </c>
    </row>
    <row r="2271" spans="1:2">
      <c r="A2271" s="86">
        <v>1113401</v>
      </c>
      <c r="B2271" s="97" t="s">
        <v>3082</v>
      </c>
    </row>
    <row r="2272" spans="1:2">
      <c r="A2272" s="86">
        <v>1213401</v>
      </c>
      <c r="B2272" s="97" t="s">
        <v>3082</v>
      </c>
    </row>
    <row r="2273" spans="1:2">
      <c r="A2273" s="86">
        <v>1013410</v>
      </c>
      <c r="B2273" s="97" t="s">
        <v>3451</v>
      </c>
    </row>
    <row r="2274" spans="1:2">
      <c r="A2274" s="86">
        <v>1113410</v>
      </c>
      <c r="B2274" s="97" t="s">
        <v>3451</v>
      </c>
    </row>
    <row r="2275" spans="1:2">
      <c r="A2275" s="86">
        <v>1213410</v>
      </c>
      <c r="B2275" s="97" t="s">
        <v>3451</v>
      </c>
    </row>
    <row r="2276" spans="1:2">
      <c r="A2276" s="86">
        <v>1013421</v>
      </c>
      <c r="B2276" s="97" t="s">
        <v>3452</v>
      </c>
    </row>
    <row r="2277" spans="1:2">
      <c r="A2277" s="86">
        <v>1113421</v>
      </c>
      <c r="B2277" s="97" t="s">
        <v>3452</v>
      </c>
    </row>
    <row r="2278" spans="1:2">
      <c r="A2278" s="86">
        <v>1213421</v>
      </c>
      <c r="B2278" s="97" t="s">
        <v>3452</v>
      </c>
    </row>
    <row r="2279" spans="1:2">
      <c r="A2279" s="86">
        <v>1013601</v>
      </c>
      <c r="B2279" s="97" t="s">
        <v>3083</v>
      </c>
    </row>
    <row r="2280" spans="1:2">
      <c r="A2280" s="86">
        <v>1013602</v>
      </c>
      <c r="B2280" s="97" t="s">
        <v>3084</v>
      </c>
    </row>
    <row r="2281" spans="1:2">
      <c r="A2281" s="86">
        <v>1113601</v>
      </c>
      <c r="B2281" s="97" t="s">
        <v>3083</v>
      </c>
    </row>
    <row r="2282" spans="1:2">
      <c r="A2282" s="86">
        <v>1113602</v>
      </c>
      <c r="B2282" s="97" t="s">
        <v>3084</v>
      </c>
    </row>
    <row r="2283" spans="1:2">
      <c r="A2283" s="86">
        <v>1213601</v>
      </c>
      <c r="B2283" s="97" t="s">
        <v>3083</v>
      </c>
    </row>
    <row r="2284" spans="1:2">
      <c r="A2284" s="86">
        <v>1213602</v>
      </c>
      <c r="B2284" s="97" t="s">
        <v>3084</v>
      </c>
    </row>
    <row r="2285" spans="1:2">
      <c r="A2285" s="86">
        <v>1013610</v>
      </c>
      <c r="B2285" s="97" t="s">
        <v>3453</v>
      </c>
    </row>
    <row r="2286" spans="1:2">
      <c r="A2286" s="86">
        <v>1113610</v>
      </c>
      <c r="B2286" s="97" t="s">
        <v>3453</v>
      </c>
    </row>
    <row r="2287" spans="1:2">
      <c r="A2287" s="86">
        <v>1213610</v>
      </c>
      <c r="B2287" s="97" t="s">
        <v>3453</v>
      </c>
    </row>
    <row r="2288" spans="1:2">
      <c r="A2288" s="86">
        <v>1013620</v>
      </c>
      <c r="B2288" s="97" t="s">
        <v>3454</v>
      </c>
    </row>
    <row r="2289" spans="1:2">
      <c r="A2289" s="86">
        <v>1113620</v>
      </c>
      <c r="B2289" s="97" t="s">
        <v>3454</v>
      </c>
    </row>
    <row r="2290" spans="1:2">
      <c r="A2290" s="86">
        <v>1213620</v>
      </c>
      <c r="B2290" s="97" t="s">
        <v>3454</v>
      </c>
    </row>
    <row r="2291" spans="1:2">
      <c r="A2291" s="86">
        <v>1013801</v>
      </c>
      <c r="B2291" s="97" t="s">
        <v>3085</v>
      </c>
    </row>
    <row r="2292" spans="1:2">
      <c r="A2292" s="86">
        <v>1013802</v>
      </c>
      <c r="B2292" s="97" t="s">
        <v>3086</v>
      </c>
    </row>
    <row r="2293" spans="1:2">
      <c r="A2293" s="86">
        <v>1013803</v>
      </c>
      <c r="B2293" s="97" t="s">
        <v>3087</v>
      </c>
    </row>
    <row r="2294" spans="1:2">
      <c r="A2294" s="86">
        <v>1113801</v>
      </c>
      <c r="B2294" s="97" t="s">
        <v>3085</v>
      </c>
    </row>
    <row r="2295" spans="1:2">
      <c r="A2295" s="86">
        <v>1113802</v>
      </c>
      <c r="B2295" s="97" t="s">
        <v>3086</v>
      </c>
    </row>
    <row r="2296" spans="1:2">
      <c r="A2296" s="86">
        <v>1113803</v>
      </c>
      <c r="B2296" s="97" t="s">
        <v>3087</v>
      </c>
    </row>
    <row r="2297" spans="1:2">
      <c r="A2297" s="86">
        <v>1213801</v>
      </c>
      <c r="B2297" s="97" t="s">
        <v>3085</v>
      </c>
    </row>
    <row r="2298" spans="1:2">
      <c r="A2298" s="86">
        <v>1213802</v>
      </c>
      <c r="B2298" s="97" t="s">
        <v>3086</v>
      </c>
    </row>
    <row r="2299" spans="1:2">
      <c r="A2299" s="86">
        <v>1213803</v>
      </c>
      <c r="B2299" s="97" t="s">
        <v>3087</v>
      </c>
    </row>
    <row r="2300" spans="1:2">
      <c r="A2300" s="86">
        <v>1013810</v>
      </c>
      <c r="B2300" s="97" t="s">
        <v>3455</v>
      </c>
    </row>
    <row r="2301" spans="1:2">
      <c r="A2301" s="86">
        <v>1113810</v>
      </c>
      <c r="B2301" s="97" t="s">
        <v>3455</v>
      </c>
    </row>
    <row r="2302" spans="1:2">
      <c r="A2302" s="86">
        <v>1213810</v>
      </c>
      <c r="B2302" s="97" t="s">
        <v>3455</v>
      </c>
    </row>
    <row r="2303" spans="1:2">
      <c r="A2303" s="86">
        <v>1013820</v>
      </c>
      <c r="B2303" s="97" t="s">
        <v>3456</v>
      </c>
    </row>
    <row r="2304" spans="1:2">
      <c r="A2304" s="86">
        <v>1113820</v>
      </c>
      <c r="B2304" s="97" t="s">
        <v>3456</v>
      </c>
    </row>
    <row r="2305" spans="1:2">
      <c r="A2305" s="86">
        <v>1213820</v>
      </c>
      <c r="B2305" s="97" t="s">
        <v>3456</v>
      </c>
    </row>
    <row r="2306" spans="1:2">
      <c r="A2306" s="86">
        <v>1013910</v>
      </c>
      <c r="B2306" s="97" t="s">
        <v>3457</v>
      </c>
    </row>
    <row r="2307" spans="1:2">
      <c r="A2307" s="86">
        <v>1013911</v>
      </c>
      <c r="B2307" s="97" t="s">
        <v>3458</v>
      </c>
    </row>
    <row r="2308" spans="1:2">
      <c r="A2308" s="86">
        <v>1113910</v>
      </c>
      <c r="B2308" s="97" t="s">
        <v>3457</v>
      </c>
    </row>
    <row r="2309" spans="1:2">
      <c r="A2309" s="86">
        <v>1113911</v>
      </c>
      <c r="B2309" s="97" t="s">
        <v>3458</v>
      </c>
    </row>
    <row r="2310" spans="1:2">
      <c r="A2310" s="86">
        <v>1213910</v>
      </c>
      <c r="B2310" s="97" t="s">
        <v>3457</v>
      </c>
    </row>
    <row r="2311" spans="1:2">
      <c r="A2311" s="86">
        <v>1213911</v>
      </c>
      <c r="B2311" s="97" t="s">
        <v>3458</v>
      </c>
    </row>
    <row r="2312" spans="1:2">
      <c r="A2312" s="86">
        <v>1013901</v>
      </c>
      <c r="B2312" s="97" t="s">
        <v>3088</v>
      </c>
    </row>
    <row r="2313" spans="1:2">
      <c r="A2313" s="86">
        <v>1013902</v>
      </c>
      <c r="B2313" s="97" t="s">
        <v>3089</v>
      </c>
    </row>
    <row r="2314" spans="1:2">
      <c r="A2314" s="86">
        <v>1113901</v>
      </c>
      <c r="B2314" s="97" t="s">
        <v>3088</v>
      </c>
    </row>
    <row r="2315" spans="1:2">
      <c r="A2315" s="86">
        <v>1113902</v>
      </c>
      <c r="B2315" s="97" t="s">
        <v>3089</v>
      </c>
    </row>
    <row r="2316" spans="1:2">
      <c r="A2316" s="86">
        <v>1213901</v>
      </c>
      <c r="B2316" s="97" t="s">
        <v>3088</v>
      </c>
    </row>
    <row r="2317" spans="1:2">
      <c r="A2317" s="86">
        <v>1213902</v>
      </c>
      <c r="B2317" s="97" t="s">
        <v>3089</v>
      </c>
    </row>
    <row r="2318" spans="1:2">
      <c r="A2318" s="86">
        <v>1013920</v>
      </c>
      <c r="B2318" s="97" t="s">
        <v>3346</v>
      </c>
    </row>
    <row r="2319" spans="1:2">
      <c r="A2319" s="86">
        <v>1113920</v>
      </c>
      <c r="B2319" s="97" t="s">
        <v>3346</v>
      </c>
    </row>
    <row r="2320" spans="1:2">
      <c r="A2320" s="86">
        <v>1213920</v>
      </c>
      <c r="B2320" s="97" t="s">
        <v>3346</v>
      </c>
    </row>
    <row r="2321" spans="1:2">
      <c r="A2321" s="86">
        <v>1014301</v>
      </c>
      <c r="B2321" s="97" t="s">
        <v>2807</v>
      </c>
    </row>
    <row r="2322" spans="1:2">
      <c r="A2322" s="86">
        <v>1014302</v>
      </c>
      <c r="B2322" s="97" t="s">
        <v>3090</v>
      </c>
    </row>
    <row r="2323" spans="1:2">
      <c r="A2323" s="86">
        <v>1114301</v>
      </c>
      <c r="B2323" s="97" t="s">
        <v>2807</v>
      </c>
    </row>
    <row r="2324" spans="1:2">
      <c r="A2324" s="86">
        <v>1114302</v>
      </c>
      <c r="B2324" s="97" t="s">
        <v>3090</v>
      </c>
    </row>
    <row r="2325" spans="1:2">
      <c r="A2325" s="86">
        <v>1214301</v>
      </c>
      <c r="B2325" s="97" t="s">
        <v>2807</v>
      </c>
    </row>
    <row r="2326" spans="1:2">
      <c r="A2326" s="86">
        <v>1214302</v>
      </c>
      <c r="B2326" s="97" t="s">
        <v>3090</v>
      </c>
    </row>
    <row r="2327" spans="1:2">
      <c r="A2327" s="86">
        <v>1014310</v>
      </c>
      <c r="B2327" s="97" t="s">
        <v>3459</v>
      </c>
    </row>
    <row r="2328" spans="1:2">
      <c r="A2328" s="86">
        <v>1114310</v>
      </c>
      <c r="B2328" s="97" t="s">
        <v>3459</v>
      </c>
    </row>
    <row r="2329" spans="1:2">
      <c r="A2329" s="86">
        <v>1214310</v>
      </c>
      <c r="B2329" s="97" t="s">
        <v>3459</v>
      </c>
    </row>
    <row r="2330" spans="1:2">
      <c r="A2330" s="86">
        <v>1014320</v>
      </c>
      <c r="B2330" s="97" t="s">
        <v>3353</v>
      </c>
    </row>
    <row r="2331" spans="1:2">
      <c r="A2331" s="86">
        <v>1114320</v>
      </c>
      <c r="B2331" s="97" t="s">
        <v>3353</v>
      </c>
    </row>
    <row r="2332" spans="1:2">
      <c r="A2332" s="86">
        <v>1214320</v>
      </c>
      <c r="B2332" s="97" t="s">
        <v>3353</v>
      </c>
    </row>
    <row r="2333" spans="1:2">
      <c r="A2333" s="86">
        <v>1014501</v>
      </c>
      <c r="B2333" s="97" t="s">
        <v>3091</v>
      </c>
    </row>
    <row r="2334" spans="1:2">
      <c r="A2334" s="86">
        <v>1014502</v>
      </c>
      <c r="B2334" s="97" t="s">
        <v>3270</v>
      </c>
    </row>
    <row r="2335" spans="1:2">
      <c r="A2335" s="86">
        <v>1114501</v>
      </c>
      <c r="B2335" s="97" t="s">
        <v>3091</v>
      </c>
    </row>
    <row r="2336" spans="1:2">
      <c r="A2336" s="86">
        <v>1114502</v>
      </c>
      <c r="B2336" s="97" t="s">
        <v>3270</v>
      </c>
    </row>
    <row r="2337" spans="1:2">
      <c r="A2337" s="86">
        <v>1214501</v>
      </c>
      <c r="B2337" s="97" t="s">
        <v>3091</v>
      </c>
    </row>
    <row r="2338" spans="1:2">
      <c r="A2338" s="86">
        <v>1214502</v>
      </c>
      <c r="B2338" s="97" t="s">
        <v>3270</v>
      </c>
    </row>
    <row r="2339" spans="1:2">
      <c r="A2339" s="86">
        <v>1014510</v>
      </c>
      <c r="B2339" s="97" t="s">
        <v>3093</v>
      </c>
    </row>
    <row r="2340" spans="1:2">
      <c r="A2340" s="86">
        <v>1114510</v>
      </c>
      <c r="B2340" s="97" t="s">
        <v>3093</v>
      </c>
    </row>
    <row r="2341" spans="1:2">
      <c r="A2341" s="86">
        <v>1214510</v>
      </c>
      <c r="B2341" s="97" t="s">
        <v>3093</v>
      </c>
    </row>
    <row r="2342" spans="1:2">
      <c r="A2342" s="86">
        <v>1014520</v>
      </c>
      <c r="B2342" s="97" t="s">
        <v>3094</v>
      </c>
    </row>
    <row r="2343" spans="1:2">
      <c r="A2343" s="86">
        <v>1114520</v>
      </c>
      <c r="B2343" s="97" t="s">
        <v>3094</v>
      </c>
    </row>
    <row r="2344" spans="1:2">
      <c r="A2344" s="86">
        <v>1214520</v>
      </c>
      <c r="B2344" s="97" t="s">
        <v>3094</v>
      </c>
    </row>
    <row r="2345" spans="1:2">
      <c r="A2345" s="86">
        <v>1014601</v>
      </c>
      <c r="B2345" s="97" t="s">
        <v>3095</v>
      </c>
    </row>
    <row r="2346" spans="1:2">
      <c r="A2346" s="86">
        <v>1014602</v>
      </c>
      <c r="B2346" s="97" t="s">
        <v>3096</v>
      </c>
    </row>
    <row r="2347" spans="1:2">
      <c r="A2347" s="86">
        <v>1014603</v>
      </c>
      <c r="B2347" s="97" t="s">
        <v>3097</v>
      </c>
    </row>
    <row r="2348" spans="1:2">
      <c r="A2348" s="86">
        <v>1114601</v>
      </c>
      <c r="B2348" s="97" t="s">
        <v>3095</v>
      </c>
    </row>
    <row r="2349" spans="1:2">
      <c r="A2349" s="86">
        <v>1114602</v>
      </c>
      <c r="B2349" s="97" t="s">
        <v>3096</v>
      </c>
    </row>
    <row r="2350" spans="1:2">
      <c r="A2350" s="86">
        <v>1114603</v>
      </c>
      <c r="B2350" s="97" t="s">
        <v>3097</v>
      </c>
    </row>
    <row r="2351" spans="1:2">
      <c r="A2351" s="86">
        <v>1214601</v>
      </c>
      <c r="B2351" s="97" t="s">
        <v>3095</v>
      </c>
    </row>
    <row r="2352" spans="1:2">
      <c r="A2352" s="86">
        <v>1214602</v>
      </c>
      <c r="B2352" s="97" t="s">
        <v>3096</v>
      </c>
    </row>
    <row r="2353" spans="1:2">
      <c r="A2353" s="86">
        <v>1214603</v>
      </c>
      <c r="B2353" s="97" t="s">
        <v>3097</v>
      </c>
    </row>
    <row r="2354" spans="1:2">
      <c r="A2354" s="86">
        <v>1014610</v>
      </c>
      <c r="B2354" s="97" t="s">
        <v>3460</v>
      </c>
    </row>
    <row r="2355" spans="1:2">
      <c r="A2355" s="86">
        <v>1114610</v>
      </c>
      <c r="B2355" s="97" t="s">
        <v>3460</v>
      </c>
    </row>
    <row r="2356" spans="1:2">
      <c r="A2356" s="86">
        <v>1214610</v>
      </c>
      <c r="B2356" s="97" t="s">
        <v>3460</v>
      </c>
    </row>
    <row r="2357" spans="1:2">
      <c r="A2357" s="86">
        <v>1014620</v>
      </c>
      <c r="B2357" s="97" t="s">
        <v>3355</v>
      </c>
    </row>
    <row r="2358" spans="1:2">
      <c r="A2358" s="86">
        <v>1114620</v>
      </c>
      <c r="B2358" s="97" t="s">
        <v>3355</v>
      </c>
    </row>
    <row r="2359" spans="1:2">
      <c r="A2359" s="86">
        <v>1214620</v>
      </c>
      <c r="B2359" s="97" t="s">
        <v>3355</v>
      </c>
    </row>
    <row r="2360" spans="1:2">
      <c r="A2360" s="86">
        <v>1030101</v>
      </c>
      <c r="B2360" s="97" t="s">
        <v>3104</v>
      </c>
    </row>
    <row r="2361" spans="1:2">
      <c r="A2361" s="86">
        <v>1030102</v>
      </c>
      <c r="B2361" s="97" t="s">
        <v>3104</v>
      </c>
    </row>
    <row r="2362" spans="1:2">
      <c r="A2362" s="86">
        <v>1130101</v>
      </c>
      <c r="B2362" s="97" t="s">
        <v>3104</v>
      </c>
    </row>
    <row r="2363" spans="1:2">
      <c r="A2363" s="86">
        <v>1130102</v>
      </c>
      <c r="B2363" s="97" t="s">
        <v>3104</v>
      </c>
    </row>
    <row r="2364" spans="1:2">
      <c r="A2364" s="86">
        <v>1230101</v>
      </c>
      <c r="B2364" s="97" t="s">
        <v>3104</v>
      </c>
    </row>
    <row r="2365" spans="1:2">
      <c r="A2365" s="86">
        <v>1230102</v>
      </c>
      <c r="B2365" s="97" t="s">
        <v>3104</v>
      </c>
    </row>
    <row r="2366" spans="1:2">
      <c r="A2366" s="86">
        <v>1030110</v>
      </c>
      <c r="B2366" s="97" t="s">
        <v>1239</v>
      </c>
    </row>
    <row r="2367" spans="1:2">
      <c r="A2367" s="86">
        <v>1130110</v>
      </c>
      <c r="B2367" s="97" t="s">
        <v>1239</v>
      </c>
    </row>
    <row r="2368" spans="1:2">
      <c r="A2368" s="86">
        <v>1230110</v>
      </c>
      <c r="B2368" s="97" t="s">
        <v>1239</v>
      </c>
    </row>
    <row r="2369" spans="1:2">
      <c r="A2369" s="86">
        <v>1030120</v>
      </c>
      <c r="B2369" s="97" t="s">
        <v>3105</v>
      </c>
    </row>
    <row r="2370" spans="1:2">
      <c r="A2370" s="86">
        <v>1130120</v>
      </c>
      <c r="B2370" s="97" t="s">
        <v>3105</v>
      </c>
    </row>
    <row r="2371" spans="1:2">
      <c r="A2371" s="86">
        <v>1230120</v>
      </c>
      <c r="B2371" s="97" t="s">
        <v>3105</v>
      </c>
    </row>
    <row r="2372" spans="1:2">
      <c r="A2372" s="86">
        <v>1030210</v>
      </c>
      <c r="B2372" s="97" t="s">
        <v>1240</v>
      </c>
    </row>
    <row r="2373" spans="1:2">
      <c r="A2373" s="86">
        <v>1030211</v>
      </c>
      <c r="B2373" s="97" t="s">
        <v>3107</v>
      </c>
    </row>
    <row r="2374" spans="1:2">
      <c r="A2374" s="86">
        <v>1130210</v>
      </c>
      <c r="B2374" s="97" t="s">
        <v>1240</v>
      </c>
    </row>
    <row r="2375" spans="1:2">
      <c r="A2375" s="86">
        <v>1130211</v>
      </c>
      <c r="B2375" s="97" t="s">
        <v>3107</v>
      </c>
    </row>
    <row r="2376" spans="1:2">
      <c r="A2376" s="86">
        <v>1230210</v>
      </c>
      <c r="B2376" s="97" t="s">
        <v>1240</v>
      </c>
    </row>
    <row r="2377" spans="1:2">
      <c r="A2377" s="86">
        <v>1230211</v>
      </c>
      <c r="B2377" s="97" t="s">
        <v>3107</v>
      </c>
    </row>
    <row r="2378" spans="1:2">
      <c r="A2378" s="86">
        <v>1030220</v>
      </c>
      <c r="B2378" s="97" t="s">
        <v>1241</v>
      </c>
    </row>
    <row r="2379" spans="1:2">
      <c r="A2379" s="86">
        <v>1130220</v>
      </c>
      <c r="B2379" s="97" t="s">
        <v>1241</v>
      </c>
    </row>
    <row r="2380" spans="1:2">
      <c r="A2380" s="86">
        <v>1230220</v>
      </c>
      <c r="B2380" s="97" t="s">
        <v>1241</v>
      </c>
    </row>
    <row r="2381" spans="1:2">
      <c r="A2381" s="86">
        <v>1030301</v>
      </c>
      <c r="B2381" s="97" t="s">
        <v>3109</v>
      </c>
    </row>
    <row r="2382" spans="1:2">
      <c r="A2382" s="86">
        <v>1030302</v>
      </c>
      <c r="B2382" s="97" t="s">
        <v>3110</v>
      </c>
    </row>
    <row r="2383" spans="1:2">
      <c r="A2383" s="86">
        <v>1030303</v>
      </c>
      <c r="B2383" s="97" t="s">
        <v>3111</v>
      </c>
    </row>
    <row r="2384" spans="1:2">
      <c r="A2384" s="86">
        <v>1130301</v>
      </c>
      <c r="B2384" s="97" t="s">
        <v>3109</v>
      </c>
    </row>
    <row r="2385" spans="1:2">
      <c r="A2385" s="86">
        <v>1130302</v>
      </c>
      <c r="B2385" s="97" t="s">
        <v>3110</v>
      </c>
    </row>
    <row r="2386" spans="1:2">
      <c r="A2386" s="86">
        <v>1130303</v>
      </c>
      <c r="B2386" s="97" t="s">
        <v>3111</v>
      </c>
    </row>
    <row r="2387" spans="1:2">
      <c r="A2387" s="86">
        <v>1230301</v>
      </c>
      <c r="B2387" s="97" t="s">
        <v>3109</v>
      </c>
    </row>
    <row r="2388" spans="1:2">
      <c r="A2388" s="86">
        <v>1230302</v>
      </c>
      <c r="B2388" s="97" t="s">
        <v>3110</v>
      </c>
    </row>
    <row r="2389" spans="1:2">
      <c r="A2389" s="86">
        <v>1230303</v>
      </c>
      <c r="B2389" s="97" t="s">
        <v>3111</v>
      </c>
    </row>
    <row r="2390" spans="1:2">
      <c r="A2390" s="86">
        <v>1030310</v>
      </c>
      <c r="B2390" s="97" t="s">
        <v>3112</v>
      </c>
    </row>
    <row r="2391" spans="1:2">
      <c r="A2391" s="86">
        <v>1130310</v>
      </c>
      <c r="B2391" s="97" t="s">
        <v>3112</v>
      </c>
    </row>
    <row r="2392" spans="1:2">
      <c r="A2392" s="86">
        <v>1230310</v>
      </c>
      <c r="B2392" s="97" t="s">
        <v>3112</v>
      </c>
    </row>
    <row r="2393" spans="1:2">
      <c r="A2393" s="86">
        <v>1030320</v>
      </c>
      <c r="B2393" s="97" t="s">
        <v>3113</v>
      </c>
    </row>
    <row r="2394" spans="1:2">
      <c r="A2394" s="86">
        <v>1130320</v>
      </c>
      <c r="B2394" s="97" t="s">
        <v>3113</v>
      </c>
    </row>
    <row r="2395" spans="1:2">
      <c r="A2395" s="86">
        <v>1230320</v>
      </c>
      <c r="B2395" s="97" t="s">
        <v>3113</v>
      </c>
    </row>
    <row r="2396" spans="1:2">
      <c r="A2396" s="86">
        <v>1030410</v>
      </c>
      <c r="B2396" s="97" t="s">
        <v>1242</v>
      </c>
    </row>
    <row r="2397" spans="1:2">
      <c r="A2397" s="86">
        <v>1030411</v>
      </c>
      <c r="B2397" s="97" t="s">
        <v>3115</v>
      </c>
    </row>
    <row r="2398" spans="1:2">
      <c r="A2398" s="86">
        <v>1130410</v>
      </c>
      <c r="B2398" s="97" t="s">
        <v>1242</v>
      </c>
    </row>
    <row r="2399" spans="1:2">
      <c r="A2399" s="86">
        <v>1130411</v>
      </c>
      <c r="B2399" s="97" t="s">
        <v>3115</v>
      </c>
    </row>
    <row r="2400" spans="1:2">
      <c r="A2400" s="86">
        <v>1230410</v>
      </c>
      <c r="B2400" s="97" t="s">
        <v>1242</v>
      </c>
    </row>
    <row r="2401" spans="1:2">
      <c r="A2401" s="86">
        <v>1230411</v>
      </c>
      <c r="B2401" s="97" t="s">
        <v>3115</v>
      </c>
    </row>
    <row r="2402" spans="1:2">
      <c r="A2402" s="86">
        <v>1030420</v>
      </c>
      <c r="B2402" s="97" t="s">
        <v>1243</v>
      </c>
    </row>
    <row r="2403" spans="1:2">
      <c r="A2403" s="86">
        <v>1130420</v>
      </c>
      <c r="B2403" s="97" t="s">
        <v>1243</v>
      </c>
    </row>
    <row r="2404" spans="1:2">
      <c r="A2404" s="86">
        <v>1230420</v>
      </c>
      <c r="B2404" s="97" t="s">
        <v>1243</v>
      </c>
    </row>
    <row r="2405" spans="1:2">
      <c r="A2405" s="86">
        <v>1030510</v>
      </c>
      <c r="B2405" s="97" t="s">
        <v>3117</v>
      </c>
    </row>
    <row r="2406" spans="1:2">
      <c r="A2406" s="86">
        <v>1130510</v>
      </c>
      <c r="B2406" s="97" t="s">
        <v>3117</v>
      </c>
    </row>
    <row r="2407" spans="1:2">
      <c r="A2407" s="86">
        <v>1230510</v>
      </c>
      <c r="B2407" s="97" t="s">
        <v>3117</v>
      </c>
    </row>
    <row r="2408" spans="1:2">
      <c r="A2408" s="86">
        <v>1030520</v>
      </c>
      <c r="B2408" s="97" t="s">
        <v>3461</v>
      </c>
    </row>
    <row r="2409" spans="1:2">
      <c r="A2409" s="86">
        <v>1130520</v>
      </c>
      <c r="B2409" s="97" t="s">
        <v>3461</v>
      </c>
    </row>
    <row r="2410" spans="1:2">
      <c r="A2410" s="86">
        <v>1230520</v>
      </c>
      <c r="B2410" s="97" t="s">
        <v>3461</v>
      </c>
    </row>
    <row r="2411" spans="1:2">
      <c r="A2411" s="86">
        <v>1030601</v>
      </c>
      <c r="B2411" s="97" t="s">
        <v>3118</v>
      </c>
    </row>
    <row r="2412" spans="1:2">
      <c r="A2412" s="86">
        <v>1030602</v>
      </c>
      <c r="B2412" s="97" t="s">
        <v>3118</v>
      </c>
    </row>
    <row r="2413" spans="1:2">
      <c r="A2413" s="86">
        <v>1130601</v>
      </c>
      <c r="B2413" s="97" t="s">
        <v>3118</v>
      </c>
    </row>
    <row r="2414" spans="1:2">
      <c r="A2414" s="86">
        <v>1130602</v>
      </c>
      <c r="B2414" s="97" t="s">
        <v>3118</v>
      </c>
    </row>
    <row r="2415" spans="1:2">
      <c r="A2415" s="86">
        <v>1230601</v>
      </c>
      <c r="B2415" s="97" t="s">
        <v>3118</v>
      </c>
    </row>
    <row r="2416" spans="1:2">
      <c r="A2416" s="86">
        <v>1230602</v>
      </c>
      <c r="B2416" s="97" t="s">
        <v>3118</v>
      </c>
    </row>
    <row r="2417" spans="1:2">
      <c r="A2417" s="86">
        <v>1030610</v>
      </c>
      <c r="B2417" s="97" t="s">
        <v>1244</v>
      </c>
    </row>
    <row r="2418" spans="1:2">
      <c r="A2418" s="86">
        <v>1130610</v>
      </c>
      <c r="B2418" s="97" t="s">
        <v>1244</v>
      </c>
    </row>
    <row r="2419" spans="1:2">
      <c r="A2419" s="86">
        <v>1230610</v>
      </c>
      <c r="B2419" s="97" t="s">
        <v>1244</v>
      </c>
    </row>
    <row r="2420" spans="1:2">
      <c r="A2420" s="86">
        <v>1030620</v>
      </c>
      <c r="B2420" s="97" t="s">
        <v>1245</v>
      </c>
    </row>
    <row r="2421" spans="1:2">
      <c r="A2421" s="86">
        <v>1130620</v>
      </c>
      <c r="B2421" s="97" t="s">
        <v>1245</v>
      </c>
    </row>
    <row r="2422" spans="1:2">
      <c r="A2422" s="86">
        <v>1230620</v>
      </c>
      <c r="B2422" s="97" t="s">
        <v>1245</v>
      </c>
    </row>
    <row r="2423" spans="1:2">
      <c r="A2423" s="86">
        <v>1030710</v>
      </c>
      <c r="B2423" s="97" t="s">
        <v>1246</v>
      </c>
    </row>
    <row r="2424" spans="1:2">
      <c r="A2424" s="86">
        <v>1130710</v>
      </c>
      <c r="B2424" s="97" t="s">
        <v>1246</v>
      </c>
    </row>
    <row r="2425" spans="1:2">
      <c r="A2425" s="86">
        <v>1230710</v>
      </c>
      <c r="B2425" s="97" t="s">
        <v>1246</v>
      </c>
    </row>
    <row r="2426" spans="1:2">
      <c r="A2426" s="86">
        <v>1030720</v>
      </c>
      <c r="B2426" s="97" t="s">
        <v>1247</v>
      </c>
    </row>
    <row r="2427" spans="1:2">
      <c r="A2427" s="86">
        <v>1130720</v>
      </c>
      <c r="B2427" s="97" t="s">
        <v>1247</v>
      </c>
    </row>
    <row r="2428" spans="1:2">
      <c r="A2428" s="86">
        <v>1230720</v>
      </c>
      <c r="B2428" s="97" t="s">
        <v>1247</v>
      </c>
    </row>
    <row r="2429" spans="1:2">
      <c r="A2429" s="86">
        <v>1030801</v>
      </c>
      <c r="B2429" s="97" t="s">
        <v>3120</v>
      </c>
    </row>
    <row r="2430" spans="1:2">
      <c r="A2430" s="86">
        <v>1030802</v>
      </c>
      <c r="B2430" s="97" t="s">
        <v>3121</v>
      </c>
    </row>
    <row r="2431" spans="1:2">
      <c r="A2431" s="86">
        <v>1130801</v>
      </c>
      <c r="B2431" s="97" t="s">
        <v>3120</v>
      </c>
    </row>
    <row r="2432" spans="1:2">
      <c r="A2432" s="86">
        <v>1130802</v>
      </c>
      <c r="B2432" s="97" t="s">
        <v>3121</v>
      </c>
    </row>
    <row r="2433" spans="1:2">
      <c r="A2433" s="86">
        <v>1230801</v>
      </c>
      <c r="B2433" s="97" t="s">
        <v>3120</v>
      </c>
    </row>
    <row r="2434" spans="1:2">
      <c r="A2434" s="86">
        <v>1230802</v>
      </c>
      <c r="B2434" s="97" t="s">
        <v>3121</v>
      </c>
    </row>
    <row r="2435" spans="1:2">
      <c r="A2435" s="86">
        <v>1030810</v>
      </c>
      <c r="B2435" s="97" t="s">
        <v>3122</v>
      </c>
    </row>
    <row r="2436" spans="1:2">
      <c r="A2436" s="86">
        <v>1130810</v>
      </c>
      <c r="B2436" s="97" t="s">
        <v>3122</v>
      </c>
    </row>
    <row r="2437" spans="1:2">
      <c r="A2437" s="86">
        <v>1230810</v>
      </c>
      <c r="B2437" s="97" t="s">
        <v>3122</v>
      </c>
    </row>
    <row r="2438" spans="1:2">
      <c r="A2438" s="86">
        <v>1030820</v>
      </c>
      <c r="B2438" s="97" t="s">
        <v>3123</v>
      </c>
    </row>
    <row r="2439" spans="1:2">
      <c r="A2439" s="86">
        <v>1130820</v>
      </c>
      <c r="B2439" s="97" t="s">
        <v>3123</v>
      </c>
    </row>
    <row r="2440" spans="1:2">
      <c r="A2440" s="86">
        <v>1230820</v>
      </c>
      <c r="B2440" s="97" t="s">
        <v>3123</v>
      </c>
    </row>
    <row r="2441" spans="1:2">
      <c r="A2441" s="86">
        <v>1030901</v>
      </c>
      <c r="B2441" s="97" t="s">
        <v>3124</v>
      </c>
    </row>
    <row r="2442" spans="1:2">
      <c r="A2442" s="86">
        <v>1130901</v>
      </c>
      <c r="B2442" s="97" t="s">
        <v>3124</v>
      </c>
    </row>
    <row r="2443" spans="1:2">
      <c r="A2443" s="86">
        <v>1230901</v>
      </c>
      <c r="B2443" s="97" t="s">
        <v>3124</v>
      </c>
    </row>
    <row r="2444" spans="1:2">
      <c r="A2444" s="86">
        <v>1030910</v>
      </c>
      <c r="B2444" s="97" t="s">
        <v>1248</v>
      </c>
    </row>
    <row r="2445" spans="1:2">
      <c r="A2445" s="86">
        <v>1030911</v>
      </c>
      <c r="B2445" s="97" t="s">
        <v>3125</v>
      </c>
    </row>
    <row r="2446" spans="1:2">
      <c r="A2446" s="86">
        <v>1030912</v>
      </c>
      <c r="B2446" s="97" t="s">
        <v>3126</v>
      </c>
    </row>
    <row r="2447" spans="1:2">
      <c r="A2447" s="86">
        <v>1030913</v>
      </c>
      <c r="B2447" s="97" t="s">
        <v>3127</v>
      </c>
    </row>
    <row r="2448" spans="1:2">
      <c r="A2448" s="86">
        <v>1030914</v>
      </c>
      <c r="B2448" s="97" t="s">
        <v>3128</v>
      </c>
    </row>
    <row r="2449" spans="1:2">
      <c r="A2449" s="86">
        <v>1130910</v>
      </c>
      <c r="B2449" s="97" t="s">
        <v>1248</v>
      </c>
    </row>
    <row r="2450" spans="1:2">
      <c r="A2450" s="86">
        <v>1130911</v>
      </c>
      <c r="B2450" s="97" t="s">
        <v>3125</v>
      </c>
    </row>
    <row r="2451" spans="1:2">
      <c r="A2451" s="86">
        <v>1130912</v>
      </c>
      <c r="B2451" s="97" t="s">
        <v>3126</v>
      </c>
    </row>
    <row r="2452" spans="1:2">
      <c r="A2452" s="86">
        <v>1130913</v>
      </c>
      <c r="B2452" s="97" t="s">
        <v>3127</v>
      </c>
    </row>
    <row r="2453" spans="1:2">
      <c r="A2453" s="86">
        <v>1130914</v>
      </c>
      <c r="B2453" s="97" t="s">
        <v>3128</v>
      </c>
    </row>
    <row r="2454" spans="1:2">
      <c r="A2454" s="86">
        <v>1230910</v>
      </c>
      <c r="B2454" s="97" t="s">
        <v>1248</v>
      </c>
    </row>
    <row r="2455" spans="1:2">
      <c r="A2455" s="86">
        <v>1230911</v>
      </c>
      <c r="B2455" s="97" t="s">
        <v>3125</v>
      </c>
    </row>
    <row r="2456" spans="1:2">
      <c r="A2456" s="86">
        <v>1230912</v>
      </c>
      <c r="B2456" s="97" t="s">
        <v>3126</v>
      </c>
    </row>
    <row r="2457" spans="1:2">
      <c r="A2457" s="86">
        <v>1230913</v>
      </c>
      <c r="B2457" s="97" t="s">
        <v>3127</v>
      </c>
    </row>
    <row r="2458" spans="1:2">
      <c r="A2458" s="86">
        <v>1230914</v>
      </c>
      <c r="B2458" s="97" t="s">
        <v>3128</v>
      </c>
    </row>
    <row r="2459" spans="1:2">
      <c r="A2459" s="86">
        <v>1030920</v>
      </c>
      <c r="B2459" s="97" t="s">
        <v>1249</v>
      </c>
    </row>
    <row r="2460" spans="1:2">
      <c r="A2460" s="86">
        <v>1130920</v>
      </c>
      <c r="B2460" s="97" t="s">
        <v>1249</v>
      </c>
    </row>
    <row r="2461" spans="1:2">
      <c r="A2461" s="86">
        <v>1230920</v>
      </c>
      <c r="B2461" s="97" t="s">
        <v>1249</v>
      </c>
    </row>
    <row r="2462" spans="1:2">
      <c r="A2462" s="86">
        <v>1031001</v>
      </c>
      <c r="B2462" s="97" t="s">
        <v>3129</v>
      </c>
    </row>
    <row r="2463" spans="1:2">
      <c r="A2463" s="86">
        <v>1031002</v>
      </c>
      <c r="B2463" s="97" t="s">
        <v>3130</v>
      </c>
    </row>
    <row r="2464" spans="1:2">
      <c r="A2464" s="86">
        <v>1131001</v>
      </c>
      <c r="B2464" s="97" t="s">
        <v>3129</v>
      </c>
    </row>
    <row r="2465" spans="1:2">
      <c r="A2465" s="86">
        <v>1131002</v>
      </c>
      <c r="B2465" s="97" t="s">
        <v>3130</v>
      </c>
    </row>
    <row r="2466" spans="1:2">
      <c r="A2466" s="86">
        <v>1231001</v>
      </c>
      <c r="B2466" s="97" t="s">
        <v>3129</v>
      </c>
    </row>
    <row r="2467" spans="1:2">
      <c r="A2467" s="86">
        <v>1231002</v>
      </c>
      <c r="B2467" s="97" t="s">
        <v>3130</v>
      </c>
    </row>
    <row r="2468" spans="1:2">
      <c r="A2468" s="86">
        <v>1031010</v>
      </c>
      <c r="B2468" s="97" t="s">
        <v>1250</v>
      </c>
    </row>
    <row r="2469" spans="1:2">
      <c r="A2469" s="86">
        <v>1131010</v>
      </c>
      <c r="B2469" s="97" t="s">
        <v>1250</v>
      </c>
    </row>
    <row r="2470" spans="1:2">
      <c r="A2470" s="86">
        <v>1231010</v>
      </c>
      <c r="B2470" s="97" t="s">
        <v>1250</v>
      </c>
    </row>
    <row r="2471" spans="1:2">
      <c r="A2471" s="86">
        <v>1031020</v>
      </c>
      <c r="B2471" s="97" t="s">
        <v>1251</v>
      </c>
    </row>
    <row r="2472" spans="1:2">
      <c r="A2472" s="86">
        <v>1131020</v>
      </c>
      <c r="B2472" s="97" t="s">
        <v>1251</v>
      </c>
    </row>
    <row r="2473" spans="1:2">
      <c r="A2473" s="86">
        <v>1231020</v>
      </c>
      <c r="B2473" s="97" t="s">
        <v>1251</v>
      </c>
    </row>
    <row r="2474" spans="1:2">
      <c r="A2474" s="86">
        <v>1031101</v>
      </c>
      <c r="B2474" s="97" t="s">
        <v>3131</v>
      </c>
    </row>
    <row r="2475" spans="1:2">
      <c r="A2475" s="86">
        <v>1031102</v>
      </c>
      <c r="B2475" s="97" t="s">
        <v>3132</v>
      </c>
    </row>
    <row r="2476" spans="1:2">
      <c r="A2476" s="86">
        <v>1131101</v>
      </c>
      <c r="B2476" s="97" t="s">
        <v>3131</v>
      </c>
    </row>
    <row r="2477" spans="1:2">
      <c r="A2477" s="86">
        <v>1131102</v>
      </c>
      <c r="B2477" s="97" t="s">
        <v>3132</v>
      </c>
    </row>
    <row r="2478" spans="1:2">
      <c r="A2478" s="86">
        <v>1231101</v>
      </c>
      <c r="B2478" s="97" t="s">
        <v>3131</v>
      </c>
    </row>
    <row r="2479" spans="1:2">
      <c r="A2479" s="86">
        <v>1231102</v>
      </c>
      <c r="B2479" s="97" t="s">
        <v>3132</v>
      </c>
    </row>
    <row r="2480" spans="1:2">
      <c r="A2480" s="86">
        <v>1031110</v>
      </c>
      <c r="B2480" s="97" t="s">
        <v>3133</v>
      </c>
    </row>
    <row r="2481" spans="1:2">
      <c r="A2481" s="86">
        <v>1131110</v>
      </c>
      <c r="B2481" s="97" t="s">
        <v>3133</v>
      </c>
    </row>
    <row r="2482" spans="1:2">
      <c r="A2482" s="86">
        <v>1231110</v>
      </c>
      <c r="B2482" s="97" t="s">
        <v>3133</v>
      </c>
    </row>
    <row r="2483" spans="1:2">
      <c r="A2483" s="86">
        <v>1031120</v>
      </c>
      <c r="B2483" s="97" t="s">
        <v>3134</v>
      </c>
    </row>
    <row r="2484" spans="1:2">
      <c r="A2484" s="86">
        <v>1131120</v>
      </c>
      <c r="B2484" s="97" t="s">
        <v>3134</v>
      </c>
    </row>
    <row r="2485" spans="1:2">
      <c r="A2485" s="86">
        <v>1231120</v>
      </c>
      <c r="B2485" s="97" t="s">
        <v>3134</v>
      </c>
    </row>
    <row r="2486" spans="1:2">
      <c r="A2486" s="86">
        <v>1031201</v>
      </c>
      <c r="B2486" s="97" t="s">
        <v>3135</v>
      </c>
    </row>
    <row r="2487" spans="1:2">
      <c r="A2487" s="86">
        <v>1031202</v>
      </c>
      <c r="B2487" s="97" t="s">
        <v>3135</v>
      </c>
    </row>
    <row r="2488" spans="1:2">
      <c r="A2488" s="86">
        <v>1131201</v>
      </c>
      <c r="B2488" s="97" t="s">
        <v>3135</v>
      </c>
    </row>
    <row r="2489" spans="1:2">
      <c r="A2489" s="86">
        <v>1131202</v>
      </c>
      <c r="B2489" s="97" t="s">
        <v>3135</v>
      </c>
    </row>
    <row r="2490" spans="1:2">
      <c r="A2490" s="86">
        <v>1231201</v>
      </c>
      <c r="B2490" s="97" t="s">
        <v>3135</v>
      </c>
    </row>
    <row r="2491" spans="1:2">
      <c r="A2491" s="86">
        <v>1231202</v>
      </c>
      <c r="B2491" s="97" t="s">
        <v>3135</v>
      </c>
    </row>
    <row r="2492" spans="1:2">
      <c r="A2492" s="86">
        <v>1031210</v>
      </c>
      <c r="B2492" s="97" t="s">
        <v>3136</v>
      </c>
    </row>
    <row r="2493" spans="1:2">
      <c r="A2493" s="86">
        <v>1031211</v>
      </c>
      <c r="B2493" s="97" t="s">
        <v>3137</v>
      </c>
    </row>
    <row r="2494" spans="1:2">
      <c r="A2494" s="86">
        <v>1131210</v>
      </c>
      <c r="B2494" s="97" t="s">
        <v>3136</v>
      </c>
    </row>
    <row r="2495" spans="1:2">
      <c r="A2495" s="86">
        <v>1131211</v>
      </c>
      <c r="B2495" s="97" t="s">
        <v>3137</v>
      </c>
    </row>
    <row r="2496" spans="1:2">
      <c r="A2496" s="86">
        <v>1231210</v>
      </c>
      <c r="B2496" s="97" t="s">
        <v>3136</v>
      </c>
    </row>
    <row r="2497" spans="1:2">
      <c r="A2497" s="86">
        <v>1231211</v>
      </c>
      <c r="B2497" s="97" t="s">
        <v>3137</v>
      </c>
    </row>
    <row r="2498" spans="1:2">
      <c r="A2498" s="86">
        <v>1031220</v>
      </c>
      <c r="B2498" s="97" t="s">
        <v>1252</v>
      </c>
    </row>
    <row r="2499" spans="1:2">
      <c r="A2499" s="86">
        <v>1131220</v>
      </c>
      <c r="B2499" s="97" t="s">
        <v>1252</v>
      </c>
    </row>
    <row r="2500" spans="1:2">
      <c r="A2500" s="86">
        <v>1231220</v>
      </c>
      <c r="B2500" s="97" t="s">
        <v>1252</v>
      </c>
    </row>
    <row r="2501" spans="1:2">
      <c r="A2501" s="86">
        <v>1031301</v>
      </c>
      <c r="B2501" s="97" t="s">
        <v>3138</v>
      </c>
    </row>
    <row r="2502" spans="1:2">
      <c r="A2502" s="86">
        <v>1031302</v>
      </c>
      <c r="B2502" s="97" t="s">
        <v>3138</v>
      </c>
    </row>
    <row r="2503" spans="1:2">
      <c r="A2503" s="86">
        <v>1131301</v>
      </c>
      <c r="B2503" s="97" t="s">
        <v>3138</v>
      </c>
    </row>
    <row r="2504" spans="1:2">
      <c r="A2504" s="86">
        <v>1131302</v>
      </c>
      <c r="B2504" s="97" t="s">
        <v>3138</v>
      </c>
    </row>
    <row r="2505" spans="1:2">
      <c r="A2505" s="86">
        <v>1231301</v>
      </c>
      <c r="B2505" s="97" t="s">
        <v>3138</v>
      </c>
    </row>
    <row r="2506" spans="1:2">
      <c r="A2506" s="86">
        <v>1231302</v>
      </c>
      <c r="B2506" s="97" t="s">
        <v>3138</v>
      </c>
    </row>
    <row r="2507" spans="1:2">
      <c r="A2507" s="86">
        <v>1031310</v>
      </c>
      <c r="B2507" s="97" t="s">
        <v>1253</v>
      </c>
    </row>
    <row r="2508" spans="1:2">
      <c r="A2508" s="86">
        <v>1131310</v>
      </c>
      <c r="B2508" s="97" t="s">
        <v>1253</v>
      </c>
    </row>
    <row r="2509" spans="1:2">
      <c r="A2509" s="86">
        <v>1231310</v>
      </c>
      <c r="B2509" s="97" t="s">
        <v>1253</v>
      </c>
    </row>
    <row r="2510" spans="1:2">
      <c r="A2510" s="86">
        <v>1031320</v>
      </c>
      <c r="B2510" s="97" t="s">
        <v>3139</v>
      </c>
    </row>
    <row r="2511" spans="1:2">
      <c r="A2511" s="86">
        <v>1131320</v>
      </c>
      <c r="B2511" s="97" t="s">
        <v>3139</v>
      </c>
    </row>
    <row r="2512" spans="1:2">
      <c r="A2512" s="86">
        <v>1231320</v>
      </c>
      <c r="B2512" s="97" t="s">
        <v>3139</v>
      </c>
    </row>
    <row r="2513" spans="1:2">
      <c r="A2513" s="86">
        <v>1031401</v>
      </c>
      <c r="B2513" s="97" t="s">
        <v>3140</v>
      </c>
    </row>
    <row r="2514" spans="1:2">
      <c r="A2514" s="86">
        <v>1131401</v>
      </c>
      <c r="B2514" s="97" t="s">
        <v>3140</v>
      </c>
    </row>
    <row r="2515" spans="1:2">
      <c r="A2515" s="86">
        <v>1231401</v>
      </c>
      <c r="B2515" s="97" t="s">
        <v>3140</v>
      </c>
    </row>
    <row r="2516" spans="1:2">
      <c r="A2516" s="86">
        <v>1031410</v>
      </c>
      <c r="B2516" s="97" t="s">
        <v>1254</v>
      </c>
    </row>
    <row r="2517" spans="1:2">
      <c r="A2517" s="86">
        <v>1131410</v>
      </c>
      <c r="B2517" s="97" t="s">
        <v>1254</v>
      </c>
    </row>
    <row r="2518" spans="1:2">
      <c r="A2518" s="86">
        <v>1231410</v>
      </c>
      <c r="B2518" s="97" t="s">
        <v>1254</v>
      </c>
    </row>
    <row r="2519" spans="1:2">
      <c r="A2519" s="86">
        <v>1031420</v>
      </c>
      <c r="B2519" s="97" t="s">
        <v>1255</v>
      </c>
    </row>
    <row r="2520" spans="1:2">
      <c r="A2520" s="86">
        <v>1131420</v>
      </c>
      <c r="B2520" s="97" t="s">
        <v>1255</v>
      </c>
    </row>
    <row r="2521" spans="1:2">
      <c r="A2521" s="86">
        <v>1231420</v>
      </c>
      <c r="B2521" s="97" t="s">
        <v>1255</v>
      </c>
    </row>
    <row r="2522" spans="1:2">
      <c r="A2522" s="86">
        <v>1031501</v>
      </c>
      <c r="B2522" s="97" t="s">
        <v>3141</v>
      </c>
    </row>
    <row r="2523" spans="1:2">
      <c r="A2523" s="86">
        <v>1031502</v>
      </c>
      <c r="B2523" s="97" t="s">
        <v>3142</v>
      </c>
    </row>
    <row r="2524" spans="1:2">
      <c r="A2524" s="86">
        <v>1131501</v>
      </c>
      <c r="B2524" s="97" t="s">
        <v>3141</v>
      </c>
    </row>
    <row r="2525" spans="1:2">
      <c r="A2525" s="86">
        <v>1131502</v>
      </c>
      <c r="B2525" s="97" t="s">
        <v>3142</v>
      </c>
    </row>
    <row r="2526" spans="1:2">
      <c r="A2526" s="86">
        <v>1231501</v>
      </c>
      <c r="B2526" s="97" t="s">
        <v>3141</v>
      </c>
    </row>
    <row r="2527" spans="1:2">
      <c r="A2527" s="86">
        <v>1231502</v>
      </c>
      <c r="B2527" s="97" t="s">
        <v>3142</v>
      </c>
    </row>
    <row r="2528" spans="1:2">
      <c r="A2528" s="86">
        <v>1031510</v>
      </c>
      <c r="B2528" s="97" t="s">
        <v>1256</v>
      </c>
    </row>
    <row r="2529" spans="1:2">
      <c r="A2529" s="86">
        <v>1131510</v>
      </c>
      <c r="B2529" s="97" t="s">
        <v>1256</v>
      </c>
    </row>
    <row r="2530" spans="1:2">
      <c r="A2530" s="86">
        <v>1231510</v>
      </c>
      <c r="B2530" s="97" t="s">
        <v>1256</v>
      </c>
    </row>
    <row r="2531" spans="1:2">
      <c r="A2531" s="86">
        <v>1031520</v>
      </c>
      <c r="B2531" s="97" t="s">
        <v>1257</v>
      </c>
    </row>
    <row r="2532" spans="1:2">
      <c r="A2532" s="86">
        <v>1131520</v>
      </c>
      <c r="B2532" s="97" t="s">
        <v>1257</v>
      </c>
    </row>
    <row r="2533" spans="1:2">
      <c r="A2533" s="86">
        <v>1231520</v>
      </c>
      <c r="B2533" s="97" t="s">
        <v>1257</v>
      </c>
    </row>
    <row r="2534" spans="1:2">
      <c r="A2534" s="86">
        <v>1031601</v>
      </c>
      <c r="B2534" s="97" t="s">
        <v>3143</v>
      </c>
    </row>
    <row r="2535" spans="1:2">
      <c r="A2535" s="86">
        <v>1031602</v>
      </c>
      <c r="B2535" s="97" t="s">
        <v>3144</v>
      </c>
    </row>
    <row r="2536" spans="1:2">
      <c r="A2536" s="86">
        <v>1131601</v>
      </c>
      <c r="B2536" s="97" t="s">
        <v>3143</v>
      </c>
    </row>
    <row r="2537" spans="1:2">
      <c r="A2537" s="86">
        <v>1131602</v>
      </c>
      <c r="B2537" s="97" t="s">
        <v>3144</v>
      </c>
    </row>
    <row r="2538" spans="1:2">
      <c r="A2538" s="86">
        <v>1231601</v>
      </c>
      <c r="B2538" s="97" t="s">
        <v>3143</v>
      </c>
    </row>
    <row r="2539" spans="1:2">
      <c r="A2539" s="86">
        <v>1231602</v>
      </c>
      <c r="B2539" s="97" t="s">
        <v>3144</v>
      </c>
    </row>
    <row r="2540" spans="1:2">
      <c r="A2540" s="86">
        <v>1031610</v>
      </c>
      <c r="B2540" s="97" t="s">
        <v>3145</v>
      </c>
    </row>
    <row r="2541" spans="1:2">
      <c r="A2541" s="86">
        <v>1131610</v>
      </c>
      <c r="B2541" s="97" t="s">
        <v>3145</v>
      </c>
    </row>
    <row r="2542" spans="1:2">
      <c r="A2542" s="86">
        <v>1231610</v>
      </c>
      <c r="B2542" s="97" t="s">
        <v>3145</v>
      </c>
    </row>
    <row r="2543" spans="1:2">
      <c r="A2543" s="86">
        <v>1031620</v>
      </c>
      <c r="B2543" s="97" t="s">
        <v>1258</v>
      </c>
    </row>
    <row r="2544" spans="1:2">
      <c r="A2544" s="86">
        <v>1131620</v>
      </c>
      <c r="B2544" s="97" t="s">
        <v>1258</v>
      </c>
    </row>
    <row r="2545" spans="1:2">
      <c r="A2545" s="86">
        <v>1231620</v>
      </c>
      <c r="B2545" s="97" t="s">
        <v>1258</v>
      </c>
    </row>
    <row r="2546" spans="1:2">
      <c r="A2546" s="86">
        <v>1031701</v>
      </c>
      <c r="B2546" s="97" t="s">
        <v>3147</v>
      </c>
    </row>
    <row r="2547" spans="1:2">
      <c r="A2547" s="86">
        <v>1131701</v>
      </c>
      <c r="B2547" s="97" t="s">
        <v>3147</v>
      </c>
    </row>
    <row r="2548" spans="1:2">
      <c r="A2548" s="86">
        <v>1231701</v>
      </c>
      <c r="B2548" s="97" t="s">
        <v>3147</v>
      </c>
    </row>
    <row r="2549" spans="1:2">
      <c r="A2549" s="86">
        <v>1031710</v>
      </c>
      <c r="B2549" s="97" t="s">
        <v>1259</v>
      </c>
    </row>
    <row r="2550" spans="1:2">
      <c r="A2550" s="86">
        <v>1031711</v>
      </c>
      <c r="B2550" s="97" t="s">
        <v>3148</v>
      </c>
    </row>
    <row r="2551" spans="1:2">
      <c r="A2551" s="86">
        <v>1131710</v>
      </c>
      <c r="B2551" s="97" t="s">
        <v>1259</v>
      </c>
    </row>
    <row r="2552" spans="1:2">
      <c r="A2552" s="86">
        <v>1131711</v>
      </c>
      <c r="B2552" s="97" t="s">
        <v>3148</v>
      </c>
    </row>
    <row r="2553" spans="1:2">
      <c r="A2553" s="86">
        <v>1231710</v>
      </c>
      <c r="B2553" s="97" t="s">
        <v>1259</v>
      </c>
    </row>
    <row r="2554" spans="1:2">
      <c r="A2554" s="86">
        <v>1231711</v>
      </c>
      <c r="B2554" s="97" t="s">
        <v>3148</v>
      </c>
    </row>
    <row r="2555" spans="1:2">
      <c r="A2555" s="86">
        <v>1031720</v>
      </c>
      <c r="B2555" s="97" t="s">
        <v>3149</v>
      </c>
    </row>
    <row r="2556" spans="1:2">
      <c r="A2556" s="86">
        <v>1131720</v>
      </c>
      <c r="B2556" s="97" t="s">
        <v>3149</v>
      </c>
    </row>
    <row r="2557" spans="1:2">
      <c r="A2557" s="86">
        <v>1231720</v>
      </c>
      <c r="B2557" s="97" t="s">
        <v>3149</v>
      </c>
    </row>
    <row r="2558" spans="1:2">
      <c r="A2558" s="86">
        <v>1031801</v>
      </c>
      <c r="B2558" s="97" t="s">
        <v>3150</v>
      </c>
    </row>
    <row r="2559" spans="1:2">
      <c r="A2559" s="86">
        <v>1031802</v>
      </c>
      <c r="B2559" s="97" t="s">
        <v>3150</v>
      </c>
    </row>
    <row r="2560" spans="1:2">
      <c r="A2560" s="86">
        <v>1031803</v>
      </c>
      <c r="B2560" s="97" t="s">
        <v>3150</v>
      </c>
    </row>
    <row r="2561" spans="1:2">
      <c r="A2561" s="86">
        <v>1131801</v>
      </c>
      <c r="B2561" s="97" t="s">
        <v>3150</v>
      </c>
    </row>
    <row r="2562" spans="1:2">
      <c r="A2562" s="86">
        <v>1131802</v>
      </c>
      <c r="B2562" s="97" t="s">
        <v>3150</v>
      </c>
    </row>
    <row r="2563" spans="1:2">
      <c r="A2563" s="86">
        <v>1131803</v>
      </c>
      <c r="B2563" s="97" t="s">
        <v>3150</v>
      </c>
    </row>
    <row r="2564" spans="1:2">
      <c r="A2564" s="86">
        <v>1231801</v>
      </c>
      <c r="B2564" s="97" t="s">
        <v>3150</v>
      </c>
    </row>
    <row r="2565" spans="1:2">
      <c r="A2565" s="86">
        <v>1231802</v>
      </c>
      <c r="B2565" s="97" t="s">
        <v>3150</v>
      </c>
    </row>
    <row r="2566" spans="1:2">
      <c r="A2566" s="86">
        <v>1231803</v>
      </c>
      <c r="B2566" s="97" t="s">
        <v>3150</v>
      </c>
    </row>
    <row r="2567" spans="1:2">
      <c r="A2567" s="86">
        <v>1031810</v>
      </c>
      <c r="B2567" s="97" t="s">
        <v>3151</v>
      </c>
    </row>
    <row r="2568" spans="1:2">
      <c r="A2568" s="86">
        <v>1031811</v>
      </c>
      <c r="B2568" s="97" t="s">
        <v>3152</v>
      </c>
    </row>
    <row r="2569" spans="1:2">
      <c r="A2569" s="86">
        <v>1131810</v>
      </c>
      <c r="B2569" s="97" t="s">
        <v>3151</v>
      </c>
    </row>
    <row r="2570" spans="1:2">
      <c r="A2570" s="86">
        <v>1131811</v>
      </c>
      <c r="B2570" s="97" t="s">
        <v>3152</v>
      </c>
    </row>
    <row r="2571" spans="1:2">
      <c r="A2571" s="86">
        <v>1231810</v>
      </c>
      <c r="B2571" s="97" t="s">
        <v>3151</v>
      </c>
    </row>
    <row r="2572" spans="1:2">
      <c r="A2572" s="86">
        <v>1231811</v>
      </c>
      <c r="B2572" s="97" t="s">
        <v>3152</v>
      </c>
    </row>
    <row r="2573" spans="1:2">
      <c r="A2573" s="86">
        <v>1031820</v>
      </c>
      <c r="B2573" s="97" t="s">
        <v>1260</v>
      </c>
    </row>
    <row r="2574" spans="1:2">
      <c r="A2574" s="86">
        <v>1131820</v>
      </c>
      <c r="B2574" s="97" t="s">
        <v>1260</v>
      </c>
    </row>
    <row r="2575" spans="1:2">
      <c r="A2575" s="86">
        <v>1231820</v>
      </c>
      <c r="B2575" s="97" t="s">
        <v>1260</v>
      </c>
    </row>
    <row r="2576" spans="1:2">
      <c r="A2576" s="86">
        <v>1031901</v>
      </c>
      <c r="B2576" s="97" t="s">
        <v>3153</v>
      </c>
    </row>
    <row r="2577" spans="1:2">
      <c r="A2577" s="86">
        <v>1131901</v>
      </c>
      <c r="B2577" s="97" t="s">
        <v>3153</v>
      </c>
    </row>
    <row r="2578" spans="1:2">
      <c r="A2578" s="86">
        <v>1231901</v>
      </c>
      <c r="B2578" s="97" t="s">
        <v>3153</v>
      </c>
    </row>
    <row r="2579" spans="1:2">
      <c r="A2579" s="86">
        <v>1031910</v>
      </c>
      <c r="B2579" s="97" t="s">
        <v>3154</v>
      </c>
    </row>
    <row r="2580" spans="1:2">
      <c r="A2580" s="86">
        <v>1131910</v>
      </c>
      <c r="B2580" s="97" t="s">
        <v>3154</v>
      </c>
    </row>
    <row r="2581" spans="1:2">
      <c r="A2581" s="86">
        <v>1231910</v>
      </c>
      <c r="B2581" s="97" t="s">
        <v>3154</v>
      </c>
    </row>
    <row r="2582" spans="1:2">
      <c r="A2582" s="86">
        <v>1031920</v>
      </c>
      <c r="B2582" s="97" t="s">
        <v>1261</v>
      </c>
    </row>
    <row r="2583" spans="1:2">
      <c r="A2583" s="86">
        <v>1131920</v>
      </c>
      <c r="B2583" s="97" t="s">
        <v>1261</v>
      </c>
    </row>
    <row r="2584" spans="1:2">
      <c r="A2584" s="86">
        <v>1231920</v>
      </c>
      <c r="B2584" s="97" t="s">
        <v>1261</v>
      </c>
    </row>
    <row r="2585" spans="1:2">
      <c r="A2585" s="86">
        <v>1032001</v>
      </c>
      <c r="B2585" s="97" t="s">
        <v>3155</v>
      </c>
    </row>
    <row r="2586" spans="1:2">
      <c r="A2586" s="86">
        <v>1032002</v>
      </c>
      <c r="B2586" s="97" t="s">
        <v>3156</v>
      </c>
    </row>
    <row r="2587" spans="1:2">
      <c r="A2587" s="86">
        <v>1032003</v>
      </c>
      <c r="B2587" s="97" t="s">
        <v>3157</v>
      </c>
    </row>
    <row r="2588" spans="1:2">
      <c r="A2588" s="86">
        <v>1132001</v>
      </c>
      <c r="B2588" s="97" t="s">
        <v>3155</v>
      </c>
    </row>
    <row r="2589" spans="1:2">
      <c r="A2589" s="86">
        <v>1132002</v>
      </c>
      <c r="B2589" s="97" t="s">
        <v>3156</v>
      </c>
    </row>
    <row r="2590" spans="1:2">
      <c r="A2590" s="86">
        <v>1132003</v>
      </c>
      <c r="B2590" s="97" t="s">
        <v>3157</v>
      </c>
    </row>
    <row r="2591" spans="1:2">
      <c r="A2591" s="86">
        <v>1232001</v>
      </c>
      <c r="B2591" s="97" t="s">
        <v>3155</v>
      </c>
    </row>
    <row r="2592" spans="1:2">
      <c r="A2592" s="86">
        <v>1232002</v>
      </c>
      <c r="B2592" s="97" t="s">
        <v>3156</v>
      </c>
    </row>
    <row r="2593" spans="1:2">
      <c r="A2593" s="86">
        <v>1232003</v>
      </c>
      <c r="B2593" s="97" t="s">
        <v>3157</v>
      </c>
    </row>
    <row r="2594" spans="1:2">
      <c r="A2594" s="86">
        <v>1032010</v>
      </c>
      <c r="B2594" s="97" t="s">
        <v>3158</v>
      </c>
    </row>
    <row r="2595" spans="1:2">
      <c r="A2595" s="86">
        <v>1132010</v>
      </c>
      <c r="B2595" s="97" t="s">
        <v>3158</v>
      </c>
    </row>
    <row r="2596" spans="1:2">
      <c r="A2596" s="86">
        <v>1232010</v>
      </c>
      <c r="B2596" s="97" t="s">
        <v>3158</v>
      </c>
    </row>
    <row r="2597" spans="1:2">
      <c r="A2597" s="86">
        <v>1032020</v>
      </c>
      <c r="B2597" s="97" t="s">
        <v>1262</v>
      </c>
    </row>
    <row r="2598" spans="1:2">
      <c r="A2598" s="86">
        <v>1132020</v>
      </c>
      <c r="B2598" s="97" t="s">
        <v>1262</v>
      </c>
    </row>
    <row r="2599" spans="1:2">
      <c r="A2599" s="86">
        <v>1232020</v>
      </c>
      <c r="B2599" s="97" t="s">
        <v>1262</v>
      </c>
    </row>
    <row r="2600" spans="1:2">
      <c r="A2600" s="86">
        <v>1032101</v>
      </c>
      <c r="B2600" s="97" t="s">
        <v>3159</v>
      </c>
    </row>
    <row r="2601" spans="1:2">
      <c r="A2601" s="86">
        <v>1032102</v>
      </c>
      <c r="B2601" s="97" t="s">
        <v>3160</v>
      </c>
    </row>
    <row r="2602" spans="1:2">
      <c r="A2602" s="86">
        <v>1132101</v>
      </c>
      <c r="B2602" s="97" t="s">
        <v>3159</v>
      </c>
    </row>
    <row r="2603" spans="1:2">
      <c r="A2603" s="86">
        <v>1132102</v>
      </c>
      <c r="B2603" s="97" t="s">
        <v>3160</v>
      </c>
    </row>
    <row r="2604" spans="1:2">
      <c r="A2604" s="86">
        <v>1232101</v>
      </c>
      <c r="B2604" s="97" t="s">
        <v>3159</v>
      </c>
    </row>
    <row r="2605" spans="1:2">
      <c r="A2605" s="86">
        <v>1232102</v>
      </c>
      <c r="B2605" s="97" t="s">
        <v>3160</v>
      </c>
    </row>
    <row r="2606" spans="1:2">
      <c r="A2606" s="86">
        <v>1032110</v>
      </c>
      <c r="B2606" s="97" t="s">
        <v>1263</v>
      </c>
    </row>
    <row r="2607" spans="1:2">
      <c r="A2607" s="86">
        <v>1032111</v>
      </c>
      <c r="B2607" s="97" t="s">
        <v>3161</v>
      </c>
    </row>
    <row r="2608" spans="1:2">
      <c r="A2608" s="86">
        <v>1132110</v>
      </c>
      <c r="B2608" s="97" t="s">
        <v>1263</v>
      </c>
    </row>
    <row r="2609" spans="1:2">
      <c r="A2609" s="86">
        <v>1132111</v>
      </c>
      <c r="B2609" s="97" t="s">
        <v>3161</v>
      </c>
    </row>
    <row r="2610" spans="1:2">
      <c r="A2610" s="86">
        <v>1232110</v>
      </c>
      <c r="B2610" s="97" t="s">
        <v>1263</v>
      </c>
    </row>
    <row r="2611" spans="1:2">
      <c r="A2611" s="86">
        <v>1232111</v>
      </c>
      <c r="B2611" s="97" t="s">
        <v>3161</v>
      </c>
    </row>
    <row r="2612" spans="1:2">
      <c r="A2612" s="86">
        <v>1032120</v>
      </c>
      <c r="B2612" s="97" t="s">
        <v>1264</v>
      </c>
    </row>
    <row r="2613" spans="1:2">
      <c r="A2613" s="86">
        <v>1132120</v>
      </c>
      <c r="B2613" s="97" t="s">
        <v>1264</v>
      </c>
    </row>
    <row r="2614" spans="1:2">
      <c r="A2614" s="86">
        <v>1232120</v>
      </c>
      <c r="B2614" s="97" t="s">
        <v>1264</v>
      </c>
    </row>
    <row r="2615" spans="1:2">
      <c r="A2615" s="86">
        <v>1032201</v>
      </c>
      <c r="B2615" s="97" t="s">
        <v>3162</v>
      </c>
    </row>
    <row r="2616" spans="1:2">
      <c r="A2616" s="86">
        <v>1132201</v>
      </c>
      <c r="B2616" s="97" t="s">
        <v>3162</v>
      </c>
    </row>
    <row r="2617" spans="1:2">
      <c r="A2617" s="86">
        <v>1232201</v>
      </c>
      <c r="B2617" s="97" t="s">
        <v>3162</v>
      </c>
    </row>
    <row r="2618" spans="1:2">
      <c r="A2618" s="86">
        <v>1032210</v>
      </c>
      <c r="B2618" s="97" t="s">
        <v>1265</v>
      </c>
    </row>
    <row r="2619" spans="1:2">
      <c r="A2619" s="86">
        <v>1032211</v>
      </c>
      <c r="B2619" s="97" t="s">
        <v>3163</v>
      </c>
    </row>
    <row r="2620" spans="1:2">
      <c r="A2620" s="86">
        <v>1132210</v>
      </c>
      <c r="B2620" s="97" t="s">
        <v>1265</v>
      </c>
    </row>
    <row r="2621" spans="1:2">
      <c r="A2621" s="86">
        <v>1132211</v>
      </c>
      <c r="B2621" s="97" t="s">
        <v>3163</v>
      </c>
    </row>
    <row r="2622" spans="1:2">
      <c r="A2622" s="86">
        <v>1232210</v>
      </c>
      <c r="B2622" s="97" t="s">
        <v>1265</v>
      </c>
    </row>
    <row r="2623" spans="1:2">
      <c r="A2623" s="86">
        <v>1232211</v>
      </c>
      <c r="B2623" s="97" t="s">
        <v>3163</v>
      </c>
    </row>
    <row r="2624" spans="1:2">
      <c r="A2624" s="86">
        <v>1032220</v>
      </c>
      <c r="B2624" s="97" t="s">
        <v>3164</v>
      </c>
    </row>
    <row r="2625" spans="1:2">
      <c r="A2625" s="86">
        <v>1132220</v>
      </c>
      <c r="B2625" s="97" t="s">
        <v>3164</v>
      </c>
    </row>
    <row r="2626" spans="1:2">
      <c r="A2626" s="86">
        <v>1232220</v>
      </c>
      <c r="B2626" s="97" t="s">
        <v>3164</v>
      </c>
    </row>
    <row r="2627" spans="1:2">
      <c r="A2627" s="86">
        <v>1032301</v>
      </c>
      <c r="B2627" s="97" t="s">
        <v>3271</v>
      </c>
    </row>
    <row r="2628" spans="1:2">
      <c r="A2628" s="86">
        <v>1132301</v>
      </c>
      <c r="B2628" s="97" t="s">
        <v>3271</v>
      </c>
    </row>
    <row r="2629" spans="1:2">
      <c r="A2629" s="86">
        <v>1232301</v>
      </c>
      <c r="B2629" s="97" t="s">
        <v>3271</v>
      </c>
    </row>
    <row r="2630" spans="1:2">
      <c r="A2630" s="86">
        <v>1032310</v>
      </c>
      <c r="B2630" s="97" t="s">
        <v>1266</v>
      </c>
    </row>
    <row r="2631" spans="1:2">
      <c r="A2631" s="86">
        <v>1132310</v>
      </c>
      <c r="B2631" s="97" t="s">
        <v>1266</v>
      </c>
    </row>
    <row r="2632" spans="1:2">
      <c r="A2632" s="86">
        <v>1232310</v>
      </c>
      <c r="B2632" s="97" t="s">
        <v>1266</v>
      </c>
    </row>
    <row r="2633" spans="1:2">
      <c r="A2633" s="86">
        <v>1032321</v>
      </c>
      <c r="B2633" s="97" t="s">
        <v>1267</v>
      </c>
    </row>
    <row r="2634" spans="1:2">
      <c r="A2634" s="86">
        <v>1132321</v>
      </c>
      <c r="B2634" s="97" t="s">
        <v>1267</v>
      </c>
    </row>
    <row r="2635" spans="1:2">
      <c r="A2635" s="86">
        <v>1232321</v>
      </c>
      <c r="B2635" s="97" t="s">
        <v>1267</v>
      </c>
    </row>
    <row r="2636" spans="1:2">
      <c r="A2636" s="85"/>
      <c r="B2636" s="97"/>
    </row>
    <row r="2637" spans="1:2">
      <c r="A2637" s="85"/>
      <c r="B2637" s="97"/>
    </row>
    <row r="2638" spans="1:2">
      <c r="A2638" s="85"/>
      <c r="B2638" s="97"/>
    </row>
    <row r="2639" spans="1:2">
      <c r="A2639" s="85"/>
      <c r="B2639" s="97"/>
    </row>
  </sheetData>
  <phoneticPr fontId="2"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怪物填表</vt:lpstr>
      <vt:lpstr>獎勵填表</vt:lpstr>
      <vt:lpstr>技能編輯</vt:lpstr>
      <vt:lpstr>英雄表</vt:lpstr>
      <vt:lpstr>道具表</vt:lpstr>
      <vt:lpstr>技能表</vt:lpstr>
    </vt:vector>
  </TitlesOfParts>
  <Company>CMT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dc:creator>
  <cp:lastModifiedBy>scoz</cp:lastModifiedBy>
  <dcterms:created xsi:type="dcterms:W3CDTF">2016-03-30T07:59:07Z</dcterms:created>
  <dcterms:modified xsi:type="dcterms:W3CDTF">2018-06-12T14:32:02Z</dcterms:modified>
</cp:coreProperties>
</file>